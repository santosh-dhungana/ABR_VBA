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Vbexercise\Final_ABR\"/>
    </mc:Choice>
  </mc:AlternateContent>
  <xr:revisionPtr revIDLastSave="0" documentId="13_ncr:1_{8F115297-8CB9-45FA-A255-0094CD2DE897}" xr6:coauthVersionLast="47" xr6:coauthVersionMax="47" xr10:uidLastSave="{00000000-0000-0000-0000-000000000000}"/>
  <bookViews>
    <workbookView xWindow="6345" yWindow="3120" windowWidth="21600" windowHeight="11385" xr2:uid="{00000000-000D-0000-FFFF-FFFF00000000}"/>
  </bookViews>
  <sheets>
    <sheet name="Sheet1" sheetId="1" r:id="rId1"/>
    <sheet name="Drawing" sheetId="4" state="hidden" r:id="rId2"/>
    <sheet name="Norms" sheetId="5" r:id="rId3"/>
  </sheets>
  <functionGroups builtInGroupCount="19"/>
  <externalReferences>
    <externalReference r:id="rId4"/>
    <externalReference r:id="rId5"/>
    <externalReference r:id="rId6"/>
    <externalReference r:id="rId7"/>
  </externalReferences>
  <definedNames>
    <definedName name="Height_above_liquid" localSheetId="1">Drawing!$BR$39</definedName>
    <definedName name="Liqd_D_pipedia" localSheetId="1">Drawing!$D$44</definedName>
    <definedName name="Manhole_entrance" localSheetId="1">Drawing!$P$35,Drawing!$V$35,Drawing!$AB$35,Drawing!$AH$35,Drawing!$AN$35,Drawing!$AT$35,Drawing!$AZ$35,Drawing!$BF$35</definedName>
    <definedName name="Material_for_construction" localSheetId="2">[1]Input!$B$37:$B$39</definedName>
    <definedName name="Material_for_construction">[2]Input!$B$37:$B$39</definedName>
    <definedName name="Size_of_Block" localSheetId="2">Norms!#REF!</definedName>
    <definedName name="Size_of_Block">#REF!</definedName>
    <definedName name="Size_of_blocks">#REF!</definedName>
    <definedName name="Size_of_Brick" localSheetId="2">Norms!#REF!</definedName>
    <definedName name="Size_of_Brick">#REF!</definedName>
    <definedName name="tbBafflewall" localSheetId="1">Drawing!$T$6,Drawing!$Z$6,Drawing!$AF$6,Drawing!$AL$6,Drawing!$AR$6,Drawing!$AX$6,Drawing!$BD$6</definedName>
    <definedName name="tbBaseslab" localSheetId="1">Drawing!$BP$52</definedName>
    <definedName name="tbBreadth" localSheetId="1">Drawing!$BP$15</definedName>
    <definedName name="tbCoverslab" localSheetId="1">Drawing!$BP$37</definedName>
    <definedName name="tbdepth" localSheetId="1">Drawing!$BR$45</definedName>
    <definedName name="tbFreeboard" localSheetId="1">Drawing!$W$39</definedName>
    <definedName name="tblength" localSheetId="1">Drawing!$P$7,Drawing!$V$7,Drawing!$AB$7,Drawing!$AH$7,Drawing!$AN$7,Drawing!$AT$7,Drawing!$AZ$7,Drawing!$BF$7</definedName>
    <definedName name="tbManhole_B" localSheetId="1">Drawing!$E$15</definedName>
    <definedName name="tbManhole_D" localSheetId="1">Drawing!$G$38</definedName>
    <definedName name="tbManhole_L" localSheetId="1">Drawing!$L$11</definedName>
    <definedName name="tbManhole_T" localSheetId="1">Drawing!$D$14,Drawing!$D$18,Drawing!$K$10</definedName>
    <definedName name="tbOuterwall" localSheetId="1">Drawing!$N$6,Drawing!$BJ$6,Drawing!$BP$10,Drawing!$BP$22</definedName>
    <definedName name="tbPCC" localSheetId="1">Drawing!$E$41,Drawing!$BP$53</definedName>
    <definedName name="tbProjBS" localSheetId="1">Drawing!$L$50</definedName>
    <definedName name="tbsoling" localSheetId="1">Drawing!$E$42,Drawing!$BP$54</definedName>
    <definedName name="Total_breadth" localSheetId="1">Drawing!$BR$15</definedName>
    <definedName name="total_section_height" localSheetId="1">Drawing!$BS$44</definedName>
    <definedName name="Totallength" localSheetId="1">Drawing!$N$5</definedName>
    <definedName name="Type_of_Structure" localSheetId="1">[3]InputSetter!$L$3:$L$5</definedName>
    <definedName name="Type_of_Structure" localSheetId="2">#REF!</definedName>
    <definedName name="Type_of_Structur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7" i="5" l="1"/>
  <c r="F76" i="5"/>
  <c r="C76" i="5"/>
  <c r="F74" i="5"/>
  <c r="F73" i="5"/>
  <c r="F72" i="5"/>
  <c r="C72" i="5"/>
  <c r="F48" i="5"/>
  <c r="C48" i="5"/>
  <c r="F47" i="5"/>
  <c r="C47" i="5"/>
  <c r="F44" i="5"/>
  <c r="F40" i="5"/>
  <c r="F36" i="5"/>
  <c r="F31" i="5"/>
  <c r="F27" i="5"/>
  <c r="F17" i="5"/>
  <c r="C14" i="5"/>
  <c r="F13" i="5"/>
  <c r="C13" i="5"/>
  <c r="F8" i="5"/>
  <c r="C8" i="5"/>
  <c r="F7" i="5"/>
  <c r="C7" i="5"/>
  <c r="P35" i="4" l="1"/>
  <c r="Q14" i="4" s="1"/>
  <c r="AB35" i="4"/>
  <c r="AH35" i="4"/>
  <c r="AN35" i="4"/>
  <c r="AT35" i="4"/>
  <c r="AZ35" i="4"/>
  <c r="BF35" i="4"/>
  <c r="BP35" i="4"/>
  <c r="BG58" i="4"/>
  <c r="V35" i="4" l="1"/>
</calcChain>
</file>

<file path=xl/sharedStrings.xml><?xml version="1.0" encoding="utf-8"?>
<sst xmlns="http://schemas.openxmlformats.org/spreadsheetml/2006/main" count="204" uniqueCount="78">
  <si>
    <t>SECTION AT X-X (Not to Scale)</t>
  </si>
  <si>
    <t>100 mm thick PCC</t>
  </si>
  <si>
    <t>Compacted Earth</t>
  </si>
  <si>
    <t>Sludge</t>
  </si>
  <si>
    <t>Downflow Pipe with</t>
  </si>
  <si>
    <t>Liquid</t>
  </si>
  <si>
    <t>`</t>
  </si>
  <si>
    <t>Outlet Pipe with</t>
  </si>
  <si>
    <t>Manhole</t>
  </si>
  <si>
    <t>Inlet Pipe with</t>
  </si>
  <si>
    <t>PLAN OF ANAEROBIC BAFFLE REACTOR (Not to Scale)</t>
  </si>
  <si>
    <t>X</t>
  </si>
  <si>
    <t>Click Unhide Button first Then</t>
  </si>
  <si>
    <t>Anaerobic Baffle Reactor (ABR)</t>
  </si>
  <si>
    <t>Click Button ABR - 8</t>
  </si>
  <si>
    <t>=Drawing!$L$11</t>
  </si>
  <si>
    <t>Norms for Material and Labour</t>
  </si>
  <si>
    <t>Work</t>
  </si>
  <si>
    <t>Labour</t>
  </si>
  <si>
    <t>mds</t>
  </si>
  <si>
    <t>Materials</t>
  </si>
  <si>
    <t>Unit</t>
  </si>
  <si>
    <t>Quantity</t>
  </si>
  <si>
    <t>Excavation in ordinary soil</t>
  </si>
  <si>
    <t>T&amp; P</t>
  </si>
  <si>
    <t>3% of labor</t>
  </si>
  <si>
    <t>Soil Filling with compaction</t>
  </si>
  <si>
    <t>Dry Flat Brick Soling with sand - 1 sqm</t>
  </si>
  <si>
    <t>Mason</t>
  </si>
  <si>
    <t>Brick</t>
  </si>
  <si>
    <t>Nos</t>
  </si>
  <si>
    <t>Sand</t>
  </si>
  <si>
    <t>cum</t>
  </si>
  <si>
    <t>Dry Stone Soling with sand - 1 cum</t>
  </si>
  <si>
    <t>Stone</t>
  </si>
  <si>
    <t>Edge Dry Brick Soling with sand - 1 sqm</t>
  </si>
  <si>
    <t>Stone work in 1:4 cement mortar</t>
  </si>
  <si>
    <t>Cement</t>
  </si>
  <si>
    <t>kg</t>
  </si>
  <si>
    <t>Cum</t>
  </si>
  <si>
    <t>Stone work in 1:6 cement mortar</t>
  </si>
  <si>
    <t>Stone work in mud mortar</t>
  </si>
  <si>
    <t>Brick work in 1:4 cement mortar</t>
  </si>
  <si>
    <t>Brick work in 1:6 cement mortar</t>
  </si>
  <si>
    <t>Plan cement concrete in foundation (1:3:6 P.C.C.)</t>
  </si>
  <si>
    <t>20-40 mm</t>
  </si>
  <si>
    <t>10-20 mm</t>
  </si>
  <si>
    <t>Aggregate</t>
  </si>
  <si>
    <t>1:2:4 P. C. C.</t>
  </si>
  <si>
    <t>5-10 mm</t>
  </si>
  <si>
    <t>Plain Cement Concrete in superstructure (1:1.5:3 PCC)</t>
  </si>
  <si>
    <t>Reinforcement for RCC work</t>
  </si>
  <si>
    <t>MS Bar</t>
  </si>
  <si>
    <t>Binding wire</t>
  </si>
  <si>
    <t>Formwork</t>
  </si>
  <si>
    <t>Carpenter</t>
  </si>
  <si>
    <t>wood</t>
  </si>
  <si>
    <t>Nails</t>
  </si>
  <si>
    <t>Wooden Frame</t>
  </si>
  <si>
    <t>Holdfast</t>
  </si>
  <si>
    <t>No.</t>
  </si>
  <si>
    <t>Screw</t>
  </si>
  <si>
    <t>Cement Plaster work (12.5 mm thick  in 1:4 cement and mortar)</t>
  </si>
  <si>
    <t>Cement Plaster work (20 mm thick in 1:4 cement and mortar)</t>
  </si>
  <si>
    <t>3mm thick punning in  (1:1) cement sand mortar - 1 sqm</t>
  </si>
  <si>
    <t>Roofing</t>
  </si>
  <si>
    <t>Plumber</t>
  </si>
  <si>
    <t>CGI sheet</t>
  </si>
  <si>
    <t>Sqm</t>
  </si>
  <si>
    <t>8mm bolts &amp; nuts</t>
  </si>
  <si>
    <t>No</t>
  </si>
  <si>
    <t>J - hooks</t>
  </si>
  <si>
    <t>Bitumin washer</t>
  </si>
  <si>
    <t>Tile work</t>
  </si>
  <si>
    <t>White cement</t>
  </si>
  <si>
    <t>Ceramic Tile</t>
  </si>
  <si>
    <t>Dry Stone masonry wall</t>
  </si>
  <si>
    <t>Developer: Santosh Dhungana
Date: 2018
Intoduction To BoQ tool: It computes the dimension and tentative cost for Anaerobic Baffled Reactor based on the volume of incoming sludge (m3/day) and operating hours for Faecal Sludge Management.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</si>
</sst>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[$-409]#,##0\ \m\m"/>
    <numFmt numFmtId="165" formatCode="[$-409]\ \D\i\a\ #,##0\ \ \ \m\m"/>
    <numFmt numFmtId="166" formatCode="0.000"/>
    <numFmt numFmtId="167" formatCode="0.0"/>
    <numFmt numFmtId="168" formatCode="0.00000"/>
  </numFmts>
  <fonts count="1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</font>
    <font>
      <sz val="14"/>
      <name val="Calibri"/>
      <family val="2"/>
      <scheme val="minor"/>
    </font>
    <font>
      <sz val="14"/>
      <name val="Calibri"/>
      <family val="2"/>
    </font>
    <font>
      <b/>
      <u/>
      <sz val="14"/>
      <name val="Calibri"/>
      <family val="2"/>
      <scheme val="minor"/>
    </font>
    <font>
      <u/>
      <sz val="11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</font>
    <font>
      <b/>
      <sz val="16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11"/>
      <color indexed="12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lightUp"/>
    </fill>
    <fill>
      <patternFill patternType="lightGray">
        <bgColor theme="0" tint="-0.249977111117893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7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double">
        <color indexed="64"/>
      </left>
      <right/>
      <top/>
      <bottom/>
      <diagonal style="double">
        <color indexed="64"/>
      </diagonal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 style="dotted">
        <color indexed="64"/>
      </left>
      <right/>
      <top/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</cellStyleXfs>
  <cellXfs count="329">
    <xf numFmtId="0" fontId="0" fillId="0" borderId="0" xfId="0"/>
    <xf numFmtId="0" fontId="3" fillId="2" borderId="0" xfId="1" applyFont="1" applyFill="1" applyAlignment="1">
      <alignment vertical="center"/>
    </xf>
    <xf numFmtId="0" fontId="3" fillId="0" borderId="0" xfId="1" applyFont="1" applyAlignment="1">
      <alignment vertical="center"/>
    </xf>
    <xf numFmtId="0" fontId="3" fillId="0" borderId="0" xfId="1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4" fillId="2" borderId="0" xfId="1" applyFont="1" applyFill="1" applyAlignment="1">
      <alignment vertical="center"/>
    </xf>
    <xf numFmtId="0" fontId="5" fillId="2" borderId="0" xfId="1" applyFont="1" applyFill="1" applyAlignment="1">
      <alignment vertical="center"/>
    </xf>
    <xf numFmtId="0" fontId="6" fillId="2" borderId="0" xfId="1" applyFont="1" applyFill="1" applyAlignment="1">
      <alignment vertical="center"/>
    </xf>
    <xf numFmtId="0" fontId="7" fillId="2" borderId="0" xfId="1" applyFont="1" applyFill="1" applyAlignment="1">
      <alignment vertical="center"/>
    </xf>
    <xf numFmtId="0" fontId="3" fillId="0" borderId="1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3" fillId="0" borderId="2" xfId="1" applyFont="1" applyBorder="1" applyAlignment="1">
      <alignment vertical="center"/>
    </xf>
    <xf numFmtId="0" fontId="3" fillId="0" borderId="3" xfId="1" applyFont="1" applyBorder="1" applyAlignment="1">
      <alignment vertical="center"/>
    </xf>
    <xf numFmtId="0" fontId="3" fillId="0" borderId="4" xfId="1" applyFont="1" applyBorder="1" applyAlignment="1">
      <alignment vertical="center"/>
    </xf>
    <xf numFmtId="0" fontId="3" fillId="0" borderId="5" xfId="1" applyFont="1" applyBorder="1" applyAlignment="1">
      <alignment horizontal="center" vertical="center"/>
    </xf>
    <xf numFmtId="0" fontId="3" fillId="0" borderId="6" xfId="1" applyFont="1" applyBorder="1" applyAlignment="1">
      <alignment horizontal="center" vertical="center"/>
    </xf>
    <xf numFmtId="0" fontId="3" fillId="0" borderId="6" xfId="1" applyFont="1" applyBorder="1" applyAlignment="1">
      <alignment vertical="center"/>
    </xf>
    <xf numFmtId="0" fontId="3" fillId="0" borderId="7" xfId="1" applyFont="1" applyBorder="1" applyAlignment="1">
      <alignment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horizontal="center" vertical="center"/>
    </xf>
    <xf numFmtId="0" fontId="3" fillId="0" borderId="10" xfId="1" applyFont="1" applyBorder="1" applyAlignment="1">
      <alignment vertical="center"/>
    </xf>
    <xf numFmtId="0" fontId="3" fillId="0" borderId="0" xfId="2" applyFont="1" applyAlignment="1" applyProtection="1">
      <alignment vertical="center"/>
      <protection hidden="1"/>
    </xf>
    <xf numFmtId="164" fontId="3" fillId="0" borderId="0" xfId="2" applyNumberFormat="1" applyFont="1" applyAlignment="1" applyProtection="1">
      <alignment vertical="top"/>
      <protection hidden="1"/>
    </xf>
    <xf numFmtId="0" fontId="2" fillId="0" borderId="0" xfId="3" applyProtection="1">
      <protection hidden="1"/>
    </xf>
    <xf numFmtId="0" fontId="3" fillId="3" borderId="0" xfId="1" applyFont="1" applyFill="1" applyAlignment="1">
      <alignment vertical="center"/>
    </xf>
    <xf numFmtId="0" fontId="3" fillId="0" borderId="11" xfId="2" applyFont="1" applyBorder="1" applyAlignment="1">
      <alignment vertical="center"/>
    </xf>
    <xf numFmtId="0" fontId="3" fillId="0" borderId="12" xfId="1" applyFont="1" applyBorder="1" applyAlignment="1">
      <alignment vertical="center"/>
    </xf>
    <xf numFmtId="1" fontId="3" fillId="0" borderId="11" xfId="2" applyNumberFormat="1" applyFont="1" applyBorder="1" applyAlignment="1">
      <alignment vertical="center"/>
    </xf>
    <xf numFmtId="0" fontId="3" fillId="4" borderId="13" xfId="1" applyFont="1" applyFill="1" applyBorder="1" applyAlignment="1">
      <alignment vertical="center"/>
    </xf>
    <xf numFmtId="0" fontId="3" fillId="4" borderId="11" xfId="1" applyFont="1" applyFill="1" applyBorder="1" applyAlignment="1">
      <alignment vertical="center"/>
    </xf>
    <xf numFmtId="0" fontId="3" fillId="4" borderId="14" xfId="1" applyFont="1" applyFill="1" applyBorder="1" applyAlignment="1">
      <alignment vertical="center"/>
    </xf>
    <xf numFmtId="0" fontId="3" fillId="0" borderId="4" xfId="1" applyFont="1" applyBorder="1" applyAlignment="1">
      <alignment horizontal="center" vertical="center"/>
    </xf>
    <xf numFmtId="0" fontId="3" fillId="0" borderId="6" xfId="2" applyFont="1" applyBorder="1" applyAlignment="1">
      <alignment vertical="center" textRotation="90"/>
    </xf>
    <xf numFmtId="0" fontId="3" fillId="0" borderId="0" xfId="1" applyFont="1" applyAlignment="1">
      <alignment vertical="center" textRotation="90"/>
    </xf>
    <xf numFmtId="0" fontId="3" fillId="5" borderId="13" xfId="1" applyFont="1" applyFill="1" applyBorder="1" applyAlignment="1">
      <alignment vertical="center"/>
    </xf>
    <xf numFmtId="0" fontId="3" fillId="5" borderId="6" xfId="1" applyFont="1" applyFill="1" applyBorder="1" applyAlignment="1">
      <alignment vertical="center"/>
    </xf>
    <xf numFmtId="0" fontId="3" fillId="5" borderId="14" xfId="1" applyFont="1" applyFill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0" xfId="2" applyFont="1" applyAlignment="1">
      <alignment vertical="center" textRotation="90"/>
    </xf>
    <xf numFmtId="0" fontId="3" fillId="5" borderId="9" xfId="2" applyFont="1" applyFill="1" applyBorder="1" applyAlignment="1">
      <alignment vertical="center"/>
    </xf>
    <xf numFmtId="0" fontId="3" fillId="6" borderId="5" xfId="2" applyFont="1" applyFill="1" applyBorder="1" applyAlignment="1">
      <alignment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center" vertical="center"/>
    </xf>
    <xf numFmtId="0" fontId="3" fillId="5" borderId="0" xfId="2" applyFont="1" applyFill="1" applyAlignment="1">
      <alignment vertical="center"/>
    </xf>
    <xf numFmtId="0" fontId="3" fillId="6" borderId="6" xfId="1" applyFont="1" applyFill="1" applyBorder="1" applyAlignment="1">
      <alignment vertical="center"/>
    </xf>
    <xf numFmtId="0" fontId="3" fillId="6" borderId="7" xfId="1" applyFont="1" applyFill="1" applyBorder="1" applyAlignment="1">
      <alignment vertical="center"/>
    </xf>
    <xf numFmtId="0" fontId="3" fillId="6" borderId="6" xfId="2" applyFont="1" applyFill="1" applyBorder="1" applyAlignment="1">
      <alignment vertical="center" textRotation="90"/>
    </xf>
    <xf numFmtId="0" fontId="3" fillId="6" borderId="7" xfId="2" applyFont="1" applyFill="1" applyBorder="1" applyAlignment="1">
      <alignment vertical="center"/>
    </xf>
    <xf numFmtId="0" fontId="3" fillId="6" borderId="6" xfId="2" applyFont="1" applyFill="1" applyBorder="1" applyAlignment="1">
      <alignment vertical="center"/>
    </xf>
    <xf numFmtId="0" fontId="3" fillId="5" borderId="10" xfId="2" applyFont="1" applyFill="1" applyBorder="1" applyAlignment="1">
      <alignment vertical="center"/>
    </xf>
    <xf numFmtId="0" fontId="3" fillId="0" borderId="16" xfId="2" applyFont="1" applyBorder="1" applyAlignment="1">
      <alignment vertical="center"/>
    </xf>
    <xf numFmtId="0" fontId="3" fillId="0" borderId="0" xfId="2" applyFont="1" applyAlignment="1">
      <alignment vertical="center"/>
    </xf>
    <xf numFmtId="0" fontId="3" fillId="0" borderId="10" xfId="2" applyFont="1" applyBorder="1" applyAlignment="1">
      <alignment vertical="center"/>
    </xf>
    <xf numFmtId="0" fontId="3" fillId="7" borderId="9" xfId="2" applyFont="1" applyFill="1" applyBorder="1" applyAlignment="1">
      <alignment vertical="center"/>
    </xf>
    <xf numFmtId="0" fontId="3" fillId="7" borderId="0" xfId="1" applyFont="1" applyFill="1" applyAlignment="1">
      <alignment horizontal="center" vertical="center"/>
    </xf>
    <xf numFmtId="0" fontId="3" fillId="7" borderId="10" xfId="1" applyFont="1" applyFill="1" applyBorder="1" applyAlignment="1">
      <alignment horizontal="center" vertical="center"/>
    </xf>
    <xf numFmtId="0" fontId="3" fillId="7" borderId="0" xfId="1" applyFont="1" applyFill="1" applyAlignment="1">
      <alignment vertical="center"/>
    </xf>
    <xf numFmtId="0" fontId="3" fillId="7" borderId="10" xfId="1" applyFont="1" applyFill="1" applyBorder="1" applyAlignment="1">
      <alignment vertical="center"/>
    </xf>
    <xf numFmtId="0" fontId="3" fillId="6" borderId="9" xfId="2" applyFont="1" applyFill="1" applyBorder="1" applyAlignment="1">
      <alignment vertical="center"/>
    </xf>
    <xf numFmtId="0" fontId="3" fillId="6" borderId="0" xfId="2" applyFont="1" applyFill="1" applyAlignment="1">
      <alignment vertical="center" textRotation="90"/>
    </xf>
    <xf numFmtId="0" fontId="3" fillId="6" borderId="10" xfId="2" applyFont="1" applyFill="1" applyBorder="1" applyAlignment="1">
      <alignment vertical="center"/>
    </xf>
    <xf numFmtId="0" fontId="3" fillId="7" borderId="17" xfId="1" applyFont="1" applyFill="1" applyBorder="1" applyAlignment="1">
      <alignment vertical="center"/>
    </xf>
    <xf numFmtId="0" fontId="3" fillId="5" borderId="18" xfId="2" applyFont="1" applyFill="1" applyBorder="1" applyAlignment="1">
      <alignment vertical="center"/>
    </xf>
    <xf numFmtId="0" fontId="3" fillId="5" borderId="19" xfId="2" applyFont="1" applyFill="1" applyBorder="1" applyAlignment="1">
      <alignment vertical="center"/>
    </xf>
    <xf numFmtId="0" fontId="3" fillId="7" borderId="0" xfId="2" applyFont="1" applyFill="1" applyAlignment="1">
      <alignment vertical="center" textRotation="90"/>
    </xf>
    <xf numFmtId="0" fontId="3" fillId="7" borderId="0" xfId="1" applyFont="1" applyFill="1" applyAlignment="1">
      <alignment vertical="center" textRotation="90"/>
    </xf>
    <xf numFmtId="0" fontId="3" fillId="7" borderId="0" xfId="2" applyFont="1" applyFill="1" applyAlignment="1">
      <alignment vertical="center"/>
    </xf>
    <xf numFmtId="0" fontId="3" fillId="9" borderId="19" xfId="1" applyFont="1" applyFill="1" applyBorder="1" applyAlignment="1">
      <alignment vertical="center"/>
    </xf>
    <xf numFmtId="0" fontId="3" fillId="0" borderId="4" xfId="2" applyFont="1" applyBorder="1" applyAlignment="1">
      <alignment vertical="center"/>
    </xf>
    <xf numFmtId="0" fontId="3" fillId="0" borderId="0" xfId="1" applyFont="1" applyAlignment="1" applyProtection="1">
      <alignment vertical="center"/>
      <protection hidden="1"/>
    </xf>
    <xf numFmtId="0" fontId="3" fillId="2" borderId="0" xfId="2" applyFont="1" applyFill="1" applyAlignment="1">
      <alignment vertical="center"/>
    </xf>
    <xf numFmtId="0" fontId="3" fillId="2" borderId="0" xfId="2" applyFont="1" applyFill="1" applyAlignment="1">
      <alignment horizontal="center" vertical="center"/>
    </xf>
    <xf numFmtId="0" fontId="3" fillId="0" borderId="12" xfId="1" applyFont="1" applyBorder="1" applyAlignment="1">
      <alignment vertical="center" textRotation="90"/>
    </xf>
    <xf numFmtId="1" fontId="3" fillId="0" borderId="12" xfId="1" applyNumberFormat="1" applyFont="1" applyBorder="1" applyAlignment="1">
      <alignment vertical="center" textRotation="90"/>
    </xf>
    <xf numFmtId="0" fontId="3" fillId="0" borderId="12" xfId="2" applyFont="1" applyBorder="1" applyAlignment="1">
      <alignment vertical="center"/>
    </xf>
    <xf numFmtId="0" fontId="3" fillId="5" borderId="5" xfId="2" applyFont="1" applyFill="1" applyBorder="1" applyAlignment="1">
      <alignment vertical="center"/>
    </xf>
    <xf numFmtId="0" fontId="3" fillId="5" borderId="6" xfId="2" applyFont="1" applyFill="1" applyBorder="1" applyAlignment="1">
      <alignment vertical="center"/>
    </xf>
    <xf numFmtId="0" fontId="3" fillId="5" borderId="7" xfId="2" applyFont="1" applyFill="1" applyBorder="1" applyAlignment="1">
      <alignment vertical="center"/>
    </xf>
    <xf numFmtId="0" fontId="3" fillId="5" borderId="20" xfId="2" applyFont="1" applyFill="1" applyBorder="1" applyAlignment="1">
      <alignment vertical="center"/>
    </xf>
    <xf numFmtId="0" fontId="3" fillId="2" borderId="22" xfId="1" applyFont="1" applyFill="1" applyBorder="1" applyAlignment="1">
      <alignment vertical="center"/>
    </xf>
    <xf numFmtId="0" fontId="3" fillId="0" borderId="6" xfId="2" applyFont="1" applyBorder="1" applyAlignment="1">
      <alignment vertical="center"/>
    </xf>
    <xf numFmtId="0" fontId="3" fillId="9" borderId="0" xfId="1" applyFont="1" applyFill="1" applyAlignment="1">
      <alignment vertical="center"/>
    </xf>
    <xf numFmtId="0" fontId="3" fillId="5" borderId="23" xfId="2" applyFont="1" applyFill="1" applyBorder="1" applyAlignment="1">
      <alignment vertical="center"/>
    </xf>
    <xf numFmtId="0" fontId="3" fillId="7" borderId="19" xfId="1" applyFont="1" applyFill="1" applyBorder="1" applyAlignment="1">
      <alignment horizontal="center" vertical="center"/>
    </xf>
    <xf numFmtId="0" fontId="3" fillId="7" borderId="19" xfId="2" applyFont="1" applyFill="1" applyBorder="1" applyAlignment="1">
      <alignment vertical="center" textRotation="90"/>
    </xf>
    <xf numFmtId="0" fontId="3" fillId="7" borderId="24" xfId="1" applyFont="1" applyFill="1" applyBorder="1" applyAlignment="1">
      <alignment vertical="center"/>
    </xf>
    <xf numFmtId="0" fontId="3" fillId="7" borderId="15" xfId="1" applyFont="1" applyFill="1" applyBorder="1" applyAlignment="1">
      <alignment vertical="center"/>
    </xf>
    <xf numFmtId="0" fontId="3" fillId="0" borderId="9" xfId="2" applyFont="1" applyBorder="1" applyAlignment="1">
      <alignment vertical="center"/>
    </xf>
    <xf numFmtId="0" fontId="3" fillId="0" borderId="25" xfId="2" applyFont="1" applyBorder="1" applyAlignment="1">
      <alignment vertical="center"/>
    </xf>
    <xf numFmtId="0" fontId="3" fillId="5" borderId="26" xfId="2" applyFont="1" applyFill="1" applyBorder="1" applyAlignment="1">
      <alignment vertical="center"/>
    </xf>
    <xf numFmtId="0" fontId="3" fillId="5" borderId="27" xfId="1" applyFont="1" applyFill="1" applyBorder="1" applyAlignment="1">
      <alignment vertical="center"/>
    </xf>
    <xf numFmtId="0" fontId="3" fillId="9" borderId="28" xfId="1" applyFont="1" applyFill="1" applyBorder="1" applyAlignment="1">
      <alignment vertical="center"/>
    </xf>
    <xf numFmtId="0" fontId="3" fillId="0" borderId="19" xfId="1" applyFont="1" applyBorder="1" applyAlignment="1">
      <alignment horizontal="center" vertical="center"/>
    </xf>
    <xf numFmtId="0" fontId="3" fillId="10" borderId="19" xfId="1" applyFont="1" applyFill="1" applyBorder="1" applyAlignment="1">
      <alignment horizontal="center" vertical="center"/>
    </xf>
    <xf numFmtId="0" fontId="3" fillId="10" borderId="0" xfId="1" applyFont="1" applyFill="1" applyAlignment="1">
      <alignment horizontal="center" vertical="center"/>
    </xf>
    <xf numFmtId="0" fontId="3" fillId="10" borderId="0" xfId="2" applyFont="1" applyFill="1" applyAlignment="1">
      <alignment vertical="center"/>
    </xf>
    <xf numFmtId="0" fontId="3" fillId="10" borderId="19" xfId="2" applyFont="1" applyFill="1" applyBorder="1" applyAlignment="1">
      <alignment vertical="center" textRotation="90"/>
    </xf>
    <xf numFmtId="0" fontId="3" fillId="10" borderId="6" xfId="2" applyFont="1" applyFill="1" applyBorder="1" applyAlignment="1">
      <alignment vertical="center" textRotation="90"/>
    </xf>
    <xf numFmtId="0" fontId="3" fillId="10" borderId="0" xfId="1" applyFont="1" applyFill="1" applyAlignment="1">
      <alignment vertical="center"/>
    </xf>
    <xf numFmtId="0" fontId="3" fillId="0" borderId="19" xfId="1" applyFont="1" applyBorder="1" applyAlignment="1">
      <alignment vertical="center"/>
    </xf>
    <xf numFmtId="0" fontId="3" fillId="5" borderId="29" xfId="2" applyFont="1" applyFill="1" applyBorder="1" applyAlignment="1">
      <alignment vertical="center"/>
    </xf>
    <xf numFmtId="1" fontId="3" fillId="0" borderId="30" xfId="2" applyNumberFormat="1" applyFont="1" applyBorder="1" applyAlignment="1">
      <alignment vertical="center"/>
    </xf>
    <xf numFmtId="0" fontId="3" fillId="5" borderId="31" xfId="2" applyFont="1" applyFill="1" applyBorder="1" applyAlignment="1">
      <alignment vertical="center"/>
    </xf>
    <xf numFmtId="0" fontId="3" fillId="9" borderId="32" xfId="1" applyFont="1" applyFill="1" applyBorder="1" applyAlignment="1">
      <alignment vertical="center"/>
    </xf>
    <xf numFmtId="0" fontId="3" fillId="5" borderId="21" xfId="1" applyFont="1" applyFill="1" applyBorder="1" applyAlignment="1">
      <alignment vertical="center"/>
    </xf>
    <xf numFmtId="0" fontId="3" fillId="5" borderId="33" xfId="1" applyFont="1" applyFill="1" applyBorder="1" applyAlignment="1">
      <alignment vertical="center"/>
    </xf>
    <xf numFmtId="0" fontId="3" fillId="5" borderId="34" xfId="1" applyFont="1" applyFill="1" applyBorder="1" applyAlignment="1">
      <alignment vertical="center"/>
    </xf>
    <xf numFmtId="0" fontId="3" fillId="0" borderId="19" xfId="2" applyFont="1" applyBorder="1" applyAlignment="1">
      <alignment vertical="center" textRotation="90"/>
    </xf>
    <xf numFmtId="0" fontId="3" fillId="0" borderId="19" xfId="2" applyFont="1" applyBorder="1" applyAlignment="1">
      <alignment vertical="center"/>
    </xf>
    <xf numFmtId="0" fontId="3" fillId="2" borderId="19" xfId="1" applyFont="1" applyFill="1" applyBorder="1" applyAlignment="1">
      <alignment vertical="center"/>
    </xf>
    <xf numFmtId="0" fontId="3" fillId="2" borderId="28" xfId="1" applyFont="1" applyFill="1" applyBorder="1" applyAlignment="1">
      <alignment vertical="center"/>
    </xf>
    <xf numFmtId="0" fontId="3" fillId="5" borderId="10" xfId="1" applyFont="1" applyFill="1" applyBorder="1" applyAlignment="1">
      <alignment vertical="center"/>
    </xf>
    <xf numFmtId="1" fontId="3" fillId="0" borderId="9" xfId="1" applyNumberFormat="1" applyFont="1" applyBorder="1" applyAlignment="1">
      <alignment vertical="center"/>
    </xf>
    <xf numFmtId="1" fontId="3" fillId="0" borderId="0" xfId="1" applyNumberFormat="1" applyFont="1" applyAlignment="1">
      <alignment vertical="center"/>
    </xf>
    <xf numFmtId="0" fontId="3" fillId="0" borderId="25" xfId="1" applyFont="1" applyBorder="1" applyAlignment="1">
      <alignment vertical="center"/>
    </xf>
    <xf numFmtId="0" fontId="3" fillId="0" borderId="15" xfId="2" applyFont="1" applyBorder="1" applyAlignment="1">
      <alignment vertical="center"/>
    </xf>
    <xf numFmtId="0" fontId="3" fillId="5" borderId="35" xfId="2" applyFont="1" applyFill="1" applyBorder="1" applyAlignment="1">
      <alignment vertical="center"/>
    </xf>
    <xf numFmtId="0" fontId="3" fillId="5" borderId="13" xfId="2" applyFont="1" applyFill="1" applyBorder="1" applyAlignment="1">
      <alignment vertical="center"/>
    </xf>
    <xf numFmtId="0" fontId="3" fillId="5" borderId="11" xfId="2" applyFont="1" applyFill="1" applyBorder="1" applyAlignment="1">
      <alignment vertical="center"/>
    </xf>
    <xf numFmtId="0" fontId="3" fillId="5" borderId="14" xfId="2" applyFont="1" applyFill="1" applyBorder="1" applyAlignment="1">
      <alignment vertical="center"/>
    </xf>
    <xf numFmtId="0" fontId="3" fillId="11" borderId="36" xfId="2" applyFont="1" applyFill="1" applyBorder="1" applyAlignment="1">
      <alignment vertical="center"/>
    </xf>
    <xf numFmtId="0" fontId="3" fillId="11" borderId="37" xfId="2" applyFont="1" applyFill="1" applyBorder="1" applyAlignment="1">
      <alignment vertical="center"/>
    </xf>
    <xf numFmtId="0" fontId="3" fillId="11" borderId="38" xfId="2" applyFont="1" applyFill="1" applyBorder="1" applyAlignment="1">
      <alignment vertical="center"/>
    </xf>
    <xf numFmtId="0" fontId="9" fillId="0" borderId="0" xfId="1" applyFont="1" applyAlignment="1">
      <alignment horizontal="center" vertical="center"/>
    </xf>
    <xf numFmtId="0" fontId="3" fillId="0" borderId="39" xfId="1" applyFont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  <xf numFmtId="0" fontId="10" fillId="0" borderId="15" xfId="1" applyFont="1" applyBorder="1" applyAlignment="1">
      <alignment horizontal="center" vertical="center"/>
    </xf>
    <xf numFmtId="0" fontId="3" fillId="0" borderId="40" xfId="2" applyFont="1" applyBorder="1" applyAlignment="1">
      <alignment vertical="center"/>
    </xf>
    <xf numFmtId="0" fontId="3" fillId="0" borderId="41" xfId="2" applyFont="1" applyBorder="1" applyAlignment="1">
      <alignment vertical="center"/>
    </xf>
    <xf numFmtId="0" fontId="3" fillId="0" borderId="42" xfId="1" applyFont="1" applyBorder="1" applyAlignment="1">
      <alignment horizontal="center" vertical="center"/>
    </xf>
    <xf numFmtId="0" fontId="10" fillId="0" borderId="42" xfId="1" applyFont="1" applyBorder="1" applyAlignment="1">
      <alignment horizontal="center" vertical="center"/>
    </xf>
    <xf numFmtId="0" fontId="3" fillId="0" borderId="42" xfId="1" applyFont="1" applyBorder="1" applyAlignment="1">
      <alignment vertical="center"/>
    </xf>
    <xf numFmtId="0" fontId="3" fillId="0" borderId="42" xfId="2" applyFont="1" applyBorder="1" applyAlignment="1">
      <alignment vertical="center"/>
    </xf>
    <xf numFmtId="0" fontId="3" fillId="0" borderId="43" xfId="1" applyFont="1" applyBorder="1" applyAlignment="1">
      <alignment vertical="center"/>
    </xf>
    <xf numFmtId="0" fontId="10" fillId="2" borderId="0" xfId="1" applyFont="1" applyFill="1" applyAlignment="1">
      <alignment horizontal="center" vertical="center"/>
    </xf>
    <xf numFmtId="0" fontId="3" fillId="0" borderId="1" xfId="2" applyFont="1" applyBorder="1" applyAlignment="1">
      <alignment vertical="center"/>
    </xf>
    <xf numFmtId="0" fontId="10" fillId="0" borderId="2" xfId="1" applyFont="1" applyBorder="1" applyAlignment="1">
      <alignment horizontal="center" vertical="center"/>
    </xf>
    <xf numFmtId="0" fontId="3" fillId="0" borderId="2" xfId="2" applyFont="1" applyBorder="1" applyAlignment="1">
      <alignment vertical="center"/>
    </xf>
    <xf numFmtId="0" fontId="10" fillId="0" borderId="6" xfId="1" applyFont="1" applyBorder="1" applyAlignment="1">
      <alignment horizontal="center" vertical="center"/>
    </xf>
    <xf numFmtId="0" fontId="3" fillId="0" borderId="7" xfId="2" applyFont="1" applyBorder="1" applyAlignment="1">
      <alignment vertical="center"/>
    </xf>
    <xf numFmtId="0" fontId="3" fillId="0" borderId="44" xfId="1" applyFont="1" applyBorder="1" applyAlignment="1">
      <alignment horizontal="center" vertical="center"/>
    </xf>
    <xf numFmtId="0" fontId="3" fillId="0" borderId="45" xfId="1" applyFont="1" applyBorder="1" applyAlignment="1">
      <alignment horizontal="center" vertical="center"/>
    </xf>
    <xf numFmtId="0" fontId="3" fillId="0" borderId="45" xfId="2" applyFont="1" applyBorder="1" applyAlignment="1">
      <alignment vertical="center"/>
    </xf>
    <xf numFmtId="0" fontId="3" fillId="0" borderId="45" xfId="1" applyFont="1" applyBorder="1" applyAlignment="1">
      <alignment vertical="center"/>
    </xf>
    <xf numFmtId="0" fontId="3" fillId="0" borderId="46" xfId="1" applyFont="1" applyBorder="1" applyAlignment="1">
      <alignment vertical="center"/>
    </xf>
    <xf numFmtId="0" fontId="3" fillId="0" borderId="47" xfId="1" applyFont="1" applyBorder="1" applyAlignment="1">
      <alignment horizontal="center" vertical="center"/>
    </xf>
    <xf numFmtId="0" fontId="3" fillId="5" borderId="5" xfId="1" applyFont="1" applyFill="1" applyBorder="1" applyAlignment="1">
      <alignment vertical="center"/>
    </xf>
    <xf numFmtId="0" fontId="3" fillId="5" borderId="7" xfId="1" applyFont="1" applyFill="1" applyBorder="1" applyAlignment="1">
      <alignment vertical="center"/>
    </xf>
    <xf numFmtId="0" fontId="3" fillId="0" borderId="48" xfId="1" applyFont="1" applyBorder="1" applyAlignment="1">
      <alignment vertical="center"/>
    </xf>
    <xf numFmtId="0" fontId="3" fillId="0" borderId="6" xfId="1" applyFont="1" applyBorder="1" applyAlignment="1">
      <alignment vertical="center" textRotation="90"/>
    </xf>
    <xf numFmtId="0" fontId="3" fillId="5" borderId="9" xfId="1" applyFont="1" applyFill="1" applyBorder="1" applyAlignment="1">
      <alignment vertical="center"/>
    </xf>
    <xf numFmtId="0" fontId="3" fillId="0" borderId="5" xfId="1" applyFont="1" applyBorder="1" applyAlignment="1">
      <alignment vertical="center"/>
    </xf>
    <xf numFmtId="0" fontId="3" fillId="5" borderId="49" xfId="1" applyFont="1" applyFill="1" applyBorder="1" applyAlignment="1">
      <alignment vertical="center"/>
    </xf>
    <xf numFmtId="0" fontId="3" fillId="0" borderId="50" xfId="1" applyFont="1" applyBorder="1" applyAlignment="1">
      <alignment horizontal="center" vertical="center"/>
    </xf>
    <xf numFmtId="0" fontId="3" fillId="0" borderId="9" xfId="1" applyFont="1" applyBorder="1" applyAlignment="1">
      <alignment vertical="center"/>
    </xf>
    <xf numFmtId="0" fontId="3" fillId="5" borderId="0" xfId="1" applyFont="1" applyFill="1" applyAlignment="1">
      <alignment vertical="center"/>
    </xf>
    <xf numFmtId="0" fontId="3" fillId="0" borderId="51" xfId="1" applyFont="1" applyBorder="1" applyAlignment="1">
      <alignment vertical="center"/>
    </xf>
    <xf numFmtId="0" fontId="3" fillId="0" borderId="52" xfId="1" applyFont="1" applyBorder="1" applyAlignment="1">
      <alignment horizontal="center" vertical="center"/>
    </xf>
    <xf numFmtId="0" fontId="3" fillId="0" borderId="53" xfId="1" applyFont="1" applyBorder="1" applyAlignment="1">
      <alignment horizontal="center" vertical="center"/>
    </xf>
    <xf numFmtId="0" fontId="3" fillId="0" borderId="54" xfId="1" applyFont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5" borderId="0" xfId="1" applyFont="1" applyFill="1" applyAlignment="1">
      <alignment horizontal="center" vertical="center" wrapText="1"/>
    </xf>
    <xf numFmtId="0" fontId="3" fillId="0" borderId="9" xfId="1" applyFont="1" applyBorder="1" applyAlignment="1">
      <alignment horizontal="center" vertical="center" wrapText="1"/>
    </xf>
    <xf numFmtId="0" fontId="3" fillId="0" borderId="55" xfId="1" applyFont="1" applyBorder="1" applyAlignment="1">
      <alignment horizontal="center" vertical="center" wrapText="1"/>
    </xf>
    <xf numFmtId="0" fontId="3" fillId="0" borderId="56" xfId="1" applyFont="1" applyBorder="1" applyAlignment="1">
      <alignment horizontal="center" vertical="center" wrapText="1"/>
    </xf>
    <xf numFmtId="0" fontId="3" fillId="5" borderId="57" xfId="1" applyFont="1" applyFill="1" applyBorder="1" applyAlignment="1">
      <alignment horizontal="center" vertical="center" wrapText="1"/>
    </xf>
    <xf numFmtId="0" fontId="3" fillId="0" borderId="58" xfId="1" applyFont="1" applyBorder="1" applyAlignment="1">
      <alignment horizontal="center" vertical="center" wrapText="1"/>
    </xf>
    <xf numFmtId="0" fontId="3" fillId="0" borderId="15" xfId="1" applyFont="1" applyBorder="1" applyAlignment="1">
      <alignment horizontal="center" vertical="center" wrapText="1"/>
    </xf>
    <xf numFmtId="0" fontId="3" fillId="0" borderId="10" xfId="1" applyFont="1" applyBorder="1" applyAlignment="1">
      <alignment horizontal="center" vertical="center" wrapText="1"/>
    </xf>
    <xf numFmtId="0" fontId="3" fillId="5" borderId="10" xfId="1" applyFont="1" applyFill="1" applyBorder="1" applyAlignment="1">
      <alignment horizontal="center" vertical="center" wrapText="1"/>
    </xf>
    <xf numFmtId="0" fontId="3" fillId="0" borderId="45" xfId="1" applyFont="1" applyBorder="1" applyAlignment="1">
      <alignment horizontal="center" vertical="center" wrapText="1"/>
    </xf>
    <xf numFmtId="0" fontId="3" fillId="0" borderId="46" xfId="1" applyFont="1" applyBorder="1" applyAlignment="1">
      <alignment horizontal="center" vertical="center" wrapText="1"/>
    </xf>
    <xf numFmtId="0" fontId="3" fillId="0" borderId="59" xfId="1" applyFont="1" applyBorder="1" applyAlignment="1">
      <alignment horizontal="center" vertical="center"/>
    </xf>
    <xf numFmtId="0" fontId="3" fillId="5" borderId="5" xfId="1" applyFont="1" applyFill="1" applyBorder="1" applyAlignment="1">
      <alignment horizontal="center" vertical="center"/>
    </xf>
    <xf numFmtId="0" fontId="3" fillId="5" borderId="6" xfId="1" applyFont="1" applyFill="1" applyBorder="1" applyAlignment="1">
      <alignment horizontal="center" vertical="center"/>
    </xf>
    <xf numFmtId="0" fontId="3" fillId="5" borderId="14" xfId="1" applyFont="1" applyFill="1" applyBorder="1" applyAlignment="1">
      <alignment horizontal="center" vertical="center"/>
    </xf>
    <xf numFmtId="0" fontId="3" fillId="0" borderId="47" xfId="1" applyFont="1" applyBorder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5" borderId="28" xfId="1" applyFont="1" applyFill="1" applyBorder="1" applyAlignment="1">
      <alignment horizontal="center" vertical="center" wrapText="1"/>
    </xf>
    <xf numFmtId="0" fontId="3" fillId="0" borderId="48" xfId="1" applyFont="1" applyBorder="1" applyAlignment="1">
      <alignment horizontal="center" vertical="center" wrapText="1"/>
    </xf>
    <xf numFmtId="0" fontId="3" fillId="5" borderId="5" xfId="1" applyFont="1" applyFill="1" applyBorder="1" applyAlignment="1">
      <alignment horizontal="center" vertical="center" wrapText="1"/>
    </xf>
    <xf numFmtId="0" fontId="3" fillId="5" borderId="6" xfId="1" applyFont="1" applyFill="1" applyBorder="1" applyAlignment="1">
      <alignment horizontal="center" vertical="center" wrapText="1"/>
    </xf>
    <xf numFmtId="0" fontId="3" fillId="5" borderId="7" xfId="1" applyFont="1" applyFill="1" applyBorder="1" applyAlignment="1">
      <alignment horizontal="center" vertical="center" wrapText="1"/>
    </xf>
    <xf numFmtId="0" fontId="3" fillId="5" borderId="9" xfId="1" applyFont="1" applyFill="1" applyBorder="1" applyAlignment="1">
      <alignment horizontal="center" vertical="center"/>
    </xf>
    <xf numFmtId="0" fontId="3" fillId="0" borderId="7" xfId="1" applyFont="1" applyBorder="1" applyAlignment="1">
      <alignment horizontal="center" vertical="center"/>
    </xf>
    <xf numFmtId="0" fontId="3" fillId="0" borderId="47" xfId="1" applyFont="1" applyBorder="1" applyAlignment="1">
      <alignment vertical="center"/>
    </xf>
    <xf numFmtId="0" fontId="3" fillId="0" borderId="4" xfId="1" applyFont="1" applyBorder="1" applyAlignment="1">
      <alignment horizontal="center" vertical="center" wrapText="1"/>
    </xf>
    <xf numFmtId="0" fontId="3" fillId="9" borderId="22" xfId="1" applyFont="1" applyFill="1" applyBorder="1" applyAlignment="1">
      <alignment vertical="center"/>
    </xf>
    <xf numFmtId="0" fontId="3" fillId="9" borderId="60" xfId="1" applyFont="1" applyFill="1" applyBorder="1" applyAlignment="1">
      <alignment vertical="center"/>
    </xf>
    <xf numFmtId="0" fontId="3" fillId="5" borderId="22" xfId="1" applyFont="1" applyFill="1" applyBorder="1" applyAlignment="1">
      <alignment vertical="center"/>
    </xf>
    <xf numFmtId="0" fontId="3" fillId="9" borderId="25" xfId="1" applyFont="1" applyFill="1" applyBorder="1" applyAlignment="1">
      <alignment vertical="center"/>
    </xf>
    <xf numFmtId="0" fontId="3" fillId="2" borderId="0" xfId="1" applyFont="1" applyFill="1" applyAlignment="1">
      <alignment horizontal="center" vertical="center" wrapText="1"/>
    </xf>
    <xf numFmtId="0" fontId="3" fillId="0" borderId="25" xfId="1" applyFont="1" applyBorder="1" applyAlignment="1">
      <alignment horizontal="center" vertical="center" wrapText="1"/>
    </xf>
    <xf numFmtId="0" fontId="3" fillId="0" borderId="61" xfId="1" applyFont="1" applyBorder="1" applyAlignment="1">
      <alignment horizontal="center" vertical="center" wrapText="1"/>
    </xf>
    <xf numFmtId="0" fontId="3" fillId="5" borderId="26" xfId="1" applyFont="1" applyFill="1" applyBorder="1" applyAlignment="1">
      <alignment horizontal="center" vertical="center" wrapText="1"/>
    </xf>
    <xf numFmtId="0" fontId="3" fillId="0" borderId="40" xfId="1" applyFont="1" applyBorder="1" applyAlignment="1">
      <alignment horizontal="center" vertical="center"/>
    </xf>
    <xf numFmtId="0" fontId="3" fillId="0" borderId="39" xfId="1" applyFont="1" applyBorder="1" applyAlignment="1">
      <alignment vertical="center"/>
    </xf>
    <xf numFmtId="0" fontId="3" fillId="0" borderId="40" xfId="1" applyFont="1" applyBorder="1" applyAlignment="1">
      <alignment vertical="center"/>
    </xf>
    <xf numFmtId="0" fontId="3" fillId="5" borderId="26" xfId="1" applyFont="1" applyFill="1" applyBorder="1" applyAlignment="1">
      <alignment vertical="center"/>
    </xf>
    <xf numFmtId="0" fontId="3" fillId="0" borderId="62" xfId="1" applyFont="1" applyBorder="1" applyAlignment="1">
      <alignment vertical="center"/>
    </xf>
    <xf numFmtId="0" fontId="3" fillId="0" borderId="59" xfId="1" applyFont="1" applyBorder="1" applyAlignment="1">
      <alignment horizontal="center" vertical="center" wrapText="1"/>
    </xf>
    <xf numFmtId="0" fontId="3" fillId="5" borderId="39" xfId="1" applyFont="1" applyFill="1" applyBorder="1" applyAlignment="1">
      <alignment horizontal="center" vertical="center" wrapText="1"/>
    </xf>
    <xf numFmtId="0" fontId="3" fillId="5" borderId="11" xfId="1" applyFont="1" applyFill="1" applyBorder="1" applyAlignment="1">
      <alignment horizontal="center" vertical="center"/>
    </xf>
    <xf numFmtId="0" fontId="3" fillId="5" borderId="40" xfId="1" applyFont="1" applyFill="1" applyBorder="1" applyAlignment="1">
      <alignment horizontal="center" vertical="center"/>
    </xf>
    <xf numFmtId="0" fontId="3" fillId="0" borderId="63" xfId="1" applyFont="1" applyBorder="1" applyAlignment="1">
      <alignment vertical="center"/>
    </xf>
    <xf numFmtId="0" fontId="3" fillId="0" borderId="55" xfId="1" applyFont="1" applyBorder="1" applyAlignment="1">
      <alignment vertical="center"/>
    </xf>
    <xf numFmtId="0" fontId="3" fillId="0" borderId="64" xfId="1" applyFont="1" applyBorder="1" applyAlignment="1">
      <alignment vertical="center"/>
    </xf>
    <xf numFmtId="0" fontId="3" fillId="5" borderId="39" xfId="1" applyFont="1" applyFill="1" applyBorder="1" applyAlignment="1">
      <alignment vertical="center"/>
    </xf>
    <xf numFmtId="0" fontId="3" fillId="5" borderId="15" xfId="1" applyFont="1" applyFill="1" applyBorder="1" applyAlignment="1">
      <alignment vertical="center"/>
    </xf>
    <xf numFmtId="0" fontId="3" fillId="5" borderId="40" xfId="1" applyFont="1" applyFill="1" applyBorder="1" applyAlignment="1">
      <alignment vertical="center"/>
    </xf>
    <xf numFmtId="0" fontId="3" fillId="0" borderId="65" xfId="1" applyFont="1" applyBorder="1" applyAlignment="1">
      <alignment vertical="center"/>
    </xf>
    <xf numFmtId="0" fontId="3" fillId="5" borderId="57" xfId="1" applyFont="1" applyFill="1" applyBorder="1" applyAlignment="1">
      <alignment vertical="center"/>
    </xf>
    <xf numFmtId="0" fontId="3" fillId="0" borderId="66" xfId="1" applyFont="1" applyBorder="1" applyAlignment="1">
      <alignment vertical="center"/>
    </xf>
    <xf numFmtId="0" fontId="11" fillId="2" borderId="0" xfId="1" applyFont="1" applyFill="1" applyAlignment="1">
      <alignment horizontal="center" vertical="center"/>
    </xf>
    <xf numFmtId="0" fontId="3" fillId="0" borderId="53" xfId="1" applyFont="1" applyBorder="1" applyAlignment="1">
      <alignment vertical="center"/>
    </xf>
    <xf numFmtId="0" fontId="3" fillId="0" borderId="67" xfId="1" applyFont="1" applyBorder="1" applyAlignment="1">
      <alignment horizontal="center" vertical="center"/>
    </xf>
    <xf numFmtId="0" fontId="3" fillId="5" borderId="28" xfId="1" applyFont="1" applyFill="1" applyBorder="1" applyAlignment="1">
      <alignment vertical="center"/>
    </xf>
    <xf numFmtId="0" fontId="3" fillId="0" borderId="15" xfId="1" applyFont="1" applyBorder="1" applyAlignment="1">
      <alignment vertical="center" textRotation="90"/>
    </xf>
    <xf numFmtId="0" fontId="3" fillId="0" borderId="63" xfId="1" applyFont="1" applyBorder="1" applyAlignment="1">
      <alignment horizontal="center" vertical="center"/>
    </xf>
    <xf numFmtId="0" fontId="3" fillId="0" borderId="66" xfId="1" applyFont="1" applyBorder="1" applyAlignment="1">
      <alignment horizontal="center" vertical="center"/>
    </xf>
    <xf numFmtId="0" fontId="4" fillId="0" borderId="66" xfId="1" applyFont="1" applyBorder="1" applyAlignment="1">
      <alignment vertical="center"/>
    </xf>
    <xf numFmtId="0" fontId="4" fillId="0" borderId="0" xfId="1" applyFont="1" applyAlignment="1">
      <alignment vertical="center"/>
    </xf>
    <xf numFmtId="0" fontId="4" fillId="0" borderId="4" xfId="1" applyFont="1" applyBorder="1" applyAlignment="1">
      <alignment vertical="center"/>
    </xf>
    <xf numFmtId="0" fontId="4" fillId="0" borderId="10" xfId="1" applyFont="1" applyBorder="1" applyAlignment="1">
      <alignment vertical="center"/>
    </xf>
    <xf numFmtId="0" fontId="3" fillId="0" borderId="0" xfId="1" applyFont="1" applyAlignment="1">
      <alignment vertical="top"/>
    </xf>
    <xf numFmtId="0" fontId="3" fillId="0" borderId="41" xfId="1" applyFont="1" applyBorder="1" applyAlignment="1">
      <alignment vertical="center"/>
    </xf>
    <xf numFmtId="0" fontId="12" fillId="0" borderId="0" xfId="4" applyFont="1" applyAlignment="1">
      <alignment vertical="center"/>
    </xf>
    <xf numFmtId="0" fontId="12" fillId="2" borderId="0" xfId="4" applyFont="1" applyFill="1" applyAlignment="1">
      <alignment vertical="center"/>
    </xf>
    <xf numFmtId="0" fontId="0" fillId="13" borderId="0" xfId="0" applyFill="1"/>
    <xf numFmtId="0" fontId="14" fillId="0" borderId="0" xfId="4" applyFont="1" applyAlignment="1" applyProtection="1">
      <alignment horizontal="center" vertical="center"/>
      <protection hidden="1"/>
    </xf>
    <xf numFmtId="0" fontId="12" fillId="0" borderId="0" xfId="4" applyFont="1" applyAlignment="1">
      <alignment horizontal="center" vertical="center"/>
    </xf>
    <xf numFmtId="0" fontId="15" fillId="15" borderId="70" xfId="4" applyFont="1" applyFill="1" applyBorder="1" applyAlignment="1" applyProtection="1">
      <alignment horizontal="center" vertical="center"/>
      <protection hidden="1"/>
    </xf>
    <xf numFmtId="0" fontId="11" fillId="15" borderId="71" xfId="1" applyFont="1" applyFill="1" applyBorder="1" applyAlignment="1" applyProtection="1">
      <alignment horizontal="center" vertical="center" wrapText="1"/>
      <protection hidden="1"/>
    </xf>
    <xf numFmtId="0" fontId="11" fillId="15" borderId="72" xfId="1" applyFont="1" applyFill="1" applyBorder="1" applyAlignment="1" applyProtection="1">
      <alignment horizontal="center" vertical="center" wrapText="1"/>
      <protection hidden="1"/>
    </xf>
    <xf numFmtId="0" fontId="15" fillId="15" borderId="72" xfId="4" applyFont="1" applyFill="1" applyBorder="1" applyAlignment="1" applyProtection="1">
      <alignment horizontal="center" vertical="center"/>
      <protection hidden="1"/>
    </xf>
    <xf numFmtId="0" fontId="15" fillId="0" borderId="0" xfId="4" applyFont="1" applyAlignment="1" applyProtection="1">
      <alignment horizontal="center" vertical="center"/>
      <protection hidden="1"/>
    </xf>
    <xf numFmtId="0" fontId="16" fillId="0" borderId="0" xfId="4" applyFont="1" applyAlignment="1" applyProtection="1">
      <alignment horizontal="center" vertical="center"/>
      <protection hidden="1"/>
    </xf>
    <xf numFmtId="0" fontId="17" fillId="0" borderId="16" xfId="4" applyFont="1" applyBorder="1" applyAlignment="1">
      <alignment horizontal="left" vertical="top" wrapText="1"/>
    </xf>
    <xf numFmtId="0" fontId="16" fillId="0" borderId="16" xfId="4" applyFont="1" applyBorder="1" applyAlignment="1">
      <alignment horizontal="center" vertical="center"/>
    </xf>
    <xf numFmtId="2" fontId="16" fillId="0" borderId="16" xfId="4" applyNumberFormat="1" applyFont="1" applyBorder="1" applyAlignment="1">
      <alignment horizontal="right" vertical="center"/>
    </xf>
    <xf numFmtId="0" fontId="16" fillId="0" borderId="16" xfId="4" applyFont="1" applyBorder="1" applyAlignment="1">
      <alignment vertical="center"/>
    </xf>
    <xf numFmtId="0" fontId="16" fillId="0" borderId="0" xfId="4" applyFont="1" applyAlignment="1" applyProtection="1">
      <alignment vertical="center"/>
      <protection hidden="1"/>
    </xf>
    <xf numFmtId="0" fontId="17" fillId="15" borderId="12" xfId="4" applyFont="1" applyFill="1" applyBorder="1" applyAlignment="1">
      <alignment horizontal="left" vertical="top" wrapText="1"/>
    </xf>
    <xf numFmtId="0" fontId="15" fillId="15" borderId="12" xfId="4" applyFont="1" applyFill="1" applyBorder="1" applyAlignment="1">
      <alignment horizontal="center" vertical="center"/>
    </xf>
    <xf numFmtId="2" fontId="15" fillId="15" borderId="12" xfId="4" applyNumberFormat="1" applyFont="1" applyFill="1" applyBorder="1" applyAlignment="1">
      <alignment horizontal="right" vertical="center"/>
    </xf>
    <xf numFmtId="0" fontId="15" fillId="15" borderId="12" xfId="4" applyFont="1" applyFill="1" applyBorder="1" applyAlignment="1">
      <alignment vertical="center"/>
    </xf>
    <xf numFmtId="0" fontId="17" fillId="0" borderId="12" xfId="4" applyFont="1" applyBorder="1" applyAlignment="1">
      <alignment horizontal="left" vertical="top" wrapText="1"/>
    </xf>
    <xf numFmtId="0" fontId="16" fillId="0" borderId="12" xfId="4" applyFont="1" applyBorder="1" applyAlignment="1">
      <alignment horizontal="center" vertical="center"/>
    </xf>
    <xf numFmtId="2" fontId="16" fillId="0" borderId="12" xfId="4" applyNumberFormat="1" applyFont="1" applyBorder="1" applyAlignment="1">
      <alignment horizontal="right" vertical="center" wrapText="1"/>
    </xf>
    <xf numFmtId="0" fontId="16" fillId="0" borderId="12" xfId="4" applyFont="1" applyBorder="1" applyAlignment="1">
      <alignment vertical="center"/>
    </xf>
    <xf numFmtId="2" fontId="16" fillId="0" borderId="12" xfId="4" applyNumberFormat="1" applyFont="1" applyBorder="1" applyAlignment="1">
      <alignment horizontal="right" vertical="center"/>
    </xf>
    <xf numFmtId="1" fontId="16" fillId="0" borderId="12" xfId="4" applyNumberFormat="1" applyFont="1" applyBorder="1" applyAlignment="1">
      <alignment vertical="center"/>
    </xf>
    <xf numFmtId="166" fontId="16" fillId="0" borderId="12" xfId="4" applyNumberFormat="1" applyFont="1" applyBorder="1" applyAlignment="1">
      <alignment vertical="center"/>
    </xf>
    <xf numFmtId="166" fontId="16" fillId="0" borderId="0" xfId="4" applyNumberFormat="1" applyFont="1" applyAlignment="1" applyProtection="1">
      <alignment vertical="center"/>
      <protection hidden="1"/>
    </xf>
    <xf numFmtId="0" fontId="17" fillId="15" borderId="12" xfId="4" applyFont="1" applyFill="1" applyBorder="1" applyAlignment="1">
      <alignment horizontal="left" vertical="center" wrapText="1"/>
    </xf>
    <xf numFmtId="0" fontId="17" fillId="0" borderId="35" xfId="4" applyFont="1" applyBorder="1" applyAlignment="1">
      <alignment vertical="top" wrapText="1"/>
    </xf>
    <xf numFmtId="0" fontId="17" fillId="0" borderId="31" xfId="4" applyFont="1" applyBorder="1" applyAlignment="1">
      <alignment vertical="top" wrapText="1"/>
    </xf>
    <xf numFmtId="0" fontId="17" fillId="0" borderId="16" xfId="4" applyFont="1" applyBorder="1" applyAlignment="1">
      <alignment vertical="top" wrapText="1"/>
    </xf>
    <xf numFmtId="0" fontId="17" fillId="15" borderId="12" xfId="4" applyFont="1" applyFill="1" applyBorder="1" applyAlignment="1">
      <alignment horizontal="right" vertical="top" wrapText="1"/>
    </xf>
    <xf numFmtId="0" fontId="17" fillId="15" borderId="12" xfId="4" applyFont="1" applyFill="1" applyBorder="1" applyAlignment="1">
      <alignment horizontal="right" vertical="center" wrapText="1"/>
    </xf>
    <xf numFmtId="2" fontId="16" fillId="0" borderId="12" xfId="4" applyNumberFormat="1" applyFont="1" applyBorder="1" applyAlignment="1">
      <alignment vertical="center"/>
    </xf>
    <xf numFmtId="0" fontId="15" fillId="0" borderId="0" xfId="4" applyFont="1" applyAlignment="1" applyProtection="1">
      <alignment vertical="center"/>
      <protection hidden="1"/>
    </xf>
    <xf numFmtId="2" fontId="16" fillId="0" borderId="12" xfId="4" applyNumberFormat="1" applyFont="1" applyBorder="1" applyAlignment="1" applyProtection="1">
      <alignment vertical="center"/>
      <protection hidden="1"/>
    </xf>
    <xf numFmtId="2" fontId="16" fillId="0" borderId="0" xfId="4" applyNumberFormat="1" applyFont="1" applyAlignment="1" applyProtection="1">
      <alignment vertical="center"/>
      <protection hidden="1"/>
    </xf>
    <xf numFmtId="167" fontId="16" fillId="0" borderId="12" xfId="4" applyNumberFormat="1" applyFont="1" applyBorder="1" applyAlignment="1">
      <alignment horizontal="right" vertical="center"/>
    </xf>
    <xf numFmtId="168" fontId="16" fillId="0" borderId="0" xfId="4" applyNumberFormat="1" applyFont="1" applyAlignment="1" applyProtection="1">
      <alignment vertical="center"/>
      <protection hidden="1"/>
    </xf>
    <xf numFmtId="167" fontId="16" fillId="0" borderId="12" xfId="4" applyNumberFormat="1" applyFont="1" applyBorder="1" applyAlignment="1">
      <alignment vertical="center"/>
    </xf>
    <xf numFmtId="0" fontId="12" fillId="0" borderId="0" xfId="4" applyFont="1" applyAlignment="1" applyProtection="1">
      <alignment vertical="center"/>
      <protection hidden="1"/>
    </xf>
    <xf numFmtId="0" fontId="12" fillId="0" borderId="0" xfId="4" applyFont="1" applyAlignment="1" applyProtection="1">
      <alignment horizontal="center" vertical="center"/>
      <protection hidden="1"/>
    </xf>
    <xf numFmtId="0" fontId="3" fillId="0" borderId="11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 textRotation="90"/>
    </xf>
    <xf numFmtId="0" fontId="3" fillId="0" borderId="0" xfId="1" applyFont="1" applyAlignment="1">
      <alignment horizontal="right" vertical="center"/>
    </xf>
    <xf numFmtId="0" fontId="0" fillId="14" borderId="15" xfId="0" applyFill="1" applyBorder="1" applyAlignment="1">
      <alignment horizontal="left" vertical="top"/>
    </xf>
    <xf numFmtId="0" fontId="0" fillId="14" borderId="39" xfId="0" applyFill="1" applyBorder="1" applyAlignment="1">
      <alignment horizontal="left" vertical="top"/>
    </xf>
    <xf numFmtId="0" fontId="0" fillId="14" borderId="10" xfId="0" applyFill="1" applyBorder="1" applyAlignment="1">
      <alignment horizontal="left" vertical="top"/>
    </xf>
    <xf numFmtId="0" fontId="0" fillId="14" borderId="0" xfId="0" applyFill="1" applyAlignment="1">
      <alignment horizontal="left" vertical="top"/>
    </xf>
    <xf numFmtId="0" fontId="0" fillId="14" borderId="9" xfId="0" applyFill="1" applyBorder="1" applyAlignment="1">
      <alignment horizontal="left" vertical="top"/>
    </xf>
    <xf numFmtId="0" fontId="0" fillId="14" borderId="7" xfId="0" applyFill="1" applyBorder="1" applyAlignment="1">
      <alignment horizontal="left" vertical="top"/>
    </xf>
    <xf numFmtId="0" fontId="0" fillId="14" borderId="6" xfId="0" applyFill="1" applyBorder="1" applyAlignment="1">
      <alignment horizontal="left" vertical="top"/>
    </xf>
    <xf numFmtId="0" fontId="0" fillId="14" borderId="5" xfId="0" applyFill="1" applyBorder="1" applyAlignment="1">
      <alignment horizontal="left" vertical="top"/>
    </xf>
    <xf numFmtId="0" fontId="13" fillId="12" borderId="2" xfId="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 textRotation="90"/>
    </xf>
    <xf numFmtId="0" fontId="3" fillId="0" borderId="0" xfId="2" applyFont="1" applyAlignment="1">
      <alignment horizontal="center" vertical="center" textRotation="90"/>
    </xf>
    <xf numFmtId="165" fontId="9" fillId="8" borderId="0" xfId="1" applyNumberFormat="1" applyFont="1" applyFill="1" applyAlignment="1">
      <alignment horizontal="center"/>
    </xf>
    <xf numFmtId="165" fontId="9" fillId="8" borderId="9" xfId="1" applyNumberFormat="1" applyFont="1" applyFill="1" applyBorder="1" applyAlignment="1">
      <alignment horizontal="center"/>
    </xf>
    <xf numFmtId="1" fontId="3" fillId="0" borderId="0" xfId="2" applyNumberFormat="1" applyFont="1" applyAlignment="1">
      <alignment horizontal="right" vertical="center"/>
    </xf>
    <xf numFmtId="0" fontId="3" fillId="9" borderId="0" xfId="1" applyFont="1" applyFill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9" xfId="1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 textRotation="90"/>
    </xf>
    <xf numFmtId="0" fontId="3" fillId="0" borderId="10" xfId="2" applyFont="1" applyBorder="1" applyAlignment="1">
      <alignment horizontal="right" vertical="center"/>
    </xf>
    <xf numFmtId="0" fontId="3" fillId="0" borderId="0" xfId="2" applyFont="1" applyAlignment="1">
      <alignment horizontal="right" vertical="center"/>
    </xf>
    <xf numFmtId="0" fontId="3" fillId="0" borderId="0" xfId="1" applyFont="1" applyAlignment="1">
      <alignment horizontal="right" vertical="center"/>
    </xf>
    <xf numFmtId="0" fontId="8" fillId="0" borderId="0" xfId="1" applyFont="1" applyAlignment="1">
      <alignment horizontal="center" vertical="center"/>
    </xf>
    <xf numFmtId="0" fontId="3" fillId="9" borderId="21" xfId="1" applyFont="1" applyFill="1" applyBorder="1" applyAlignment="1">
      <alignment horizontal="center" vertical="center"/>
    </xf>
    <xf numFmtId="0" fontId="3" fillId="0" borderId="0" xfId="1" applyFont="1" applyAlignment="1" applyProtection="1">
      <alignment horizontal="right" vertical="center"/>
      <protection hidden="1"/>
    </xf>
    <xf numFmtId="0" fontId="3" fillId="0" borderId="9" xfId="1" applyFont="1" applyBorder="1" applyAlignment="1" applyProtection="1">
      <alignment horizontal="right" vertical="center"/>
      <protection hidden="1"/>
    </xf>
    <xf numFmtId="0" fontId="3" fillId="2" borderId="0" xfId="1" applyFont="1" applyFill="1" applyAlignment="1">
      <alignment horizontal="center" vertical="center"/>
    </xf>
    <xf numFmtId="0" fontId="1" fillId="6" borderId="0" xfId="2" applyFont="1" applyFill="1" applyAlignment="1">
      <alignment horizontal="center" vertical="center"/>
    </xf>
    <xf numFmtId="0" fontId="1" fillId="6" borderId="0" xfId="1" applyFont="1" applyFill="1" applyAlignment="1">
      <alignment horizontal="center" vertical="center" textRotation="90"/>
    </xf>
    <xf numFmtId="0" fontId="1" fillId="6" borderId="6" xfId="1" applyFont="1" applyFill="1" applyBorder="1" applyAlignment="1">
      <alignment horizontal="center" vertical="center" textRotation="90"/>
    </xf>
    <xf numFmtId="165" fontId="9" fillId="8" borderId="10" xfId="1" applyNumberFormat="1" applyFont="1" applyFill="1" applyBorder="1" applyAlignment="1">
      <alignment horizontal="center"/>
    </xf>
    <xf numFmtId="0" fontId="3" fillId="8" borderId="10" xfId="1" applyFont="1" applyFill="1" applyBorder="1" applyAlignment="1">
      <alignment horizontal="center" vertical="center"/>
    </xf>
    <xf numFmtId="0" fontId="3" fillId="8" borderId="0" xfId="1" applyFont="1" applyFill="1" applyAlignment="1">
      <alignment horizontal="center" vertical="center"/>
    </xf>
    <xf numFmtId="0" fontId="3" fillId="8" borderId="9" xfId="1" applyFont="1" applyFill="1" applyBorder="1" applyAlignment="1">
      <alignment horizontal="center" vertical="center"/>
    </xf>
    <xf numFmtId="165" fontId="9" fillId="0" borderId="0" xfId="1" applyNumberFormat="1" applyFont="1" applyAlignment="1">
      <alignment horizontal="left"/>
    </xf>
    <xf numFmtId="0" fontId="3" fillId="0" borderId="11" xfId="1" applyFont="1" applyBorder="1" applyAlignment="1">
      <alignment horizontal="center" vertical="center"/>
    </xf>
    <xf numFmtId="0" fontId="3" fillId="0" borderId="10" xfId="1" applyFont="1" applyBorder="1" applyAlignment="1" applyProtection="1">
      <alignment horizontal="center" vertical="center"/>
      <protection hidden="1"/>
    </xf>
    <xf numFmtId="0" fontId="3" fillId="0" borderId="0" xfId="1" applyFont="1" applyAlignment="1" applyProtection="1">
      <alignment horizontal="center" vertical="center"/>
      <protection hidden="1"/>
    </xf>
    <xf numFmtId="0" fontId="3" fillId="0" borderId="15" xfId="1" applyFont="1" applyBorder="1" applyAlignment="1">
      <alignment horizontal="center" vertical="center" textRotation="90" wrapText="1"/>
    </xf>
    <xf numFmtId="0" fontId="3" fillId="0" borderId="0" xfId="1" applyFont="1" applyAlignment="1">
      <alignment horizontal="center" vertical="center" textRotation="90" wrapText="1"/>
    </xf>
    <xf numFmtId="0" fontId="3" fillId="0" borderId="6" xfId="1" applyFont="1" applyBorder="1" applyAlignment="1">
      <alignment horizontal="center" vertical="center" textRotation="90" wrapText="1"/>
    </xf>
    <xf numFmtId="0" fontId="3" fillId="0" borderId="10" xfId="1" applyFont="1" applyBorder="1" applyAlignment="1">
      <alignment horizontal="center" vertical="top"/>
    </xf>
    <xf numFmtId="0" fontId="3" fillId="0" borderId="0" xfId="1" applyFont="1" applyAlignment="1">
      <alignment horizontal="center" vertical="top"/>
    </xf>
    <xf numFmtId="0" fontId="3" fillId="0" borderId="9" xfId="1" applyFont="1" applyBorder="1" applyAlignment="1">
      <alignment horizontal="center" vertical="top"/>
    </xf>
    <xf numFmtId="0" fontId="3" fillId="0" borderId="9" xfId="1" applyFont="1" applyBorder="1" applyAlignment="1">
      <alignment horizontal="center" vertical="center" textRotation="90"/>
    </xf>
    <xf numFmtId="0" fontId="3" fillId="0" borderId="68" xfId="1" applyFont="1" applyBorder="1" applyAlignment="1">
      <alignment horizontal="center" vertical="center" textRotation="90"/>
    </xf>
    <xf numFmtId="0" fontId="3" fillId="0" borderId="10" xfId="1" applyFont="1" applyBorder="1" applyAlignment="1">
      <alignment horizontal="center" vertical="center" textRotation="90"/>
    </xf>
    <xf numFmtId="0" fontId="3" fillId="0" borderId="69" xfId="1" applyFont="1" applyBorder="1" applyAlignment="1">
      <alignment horizontal="center" vertical="center" textRotation="90"/>
    </xf>
    <xf numFmtId="0" fontId="17" fillId="0" borderId="35" xfId="4" applyFont="1" applyBorder="1" applyAlignment="1">
      <alignment vertical="top" wrapText="1"/>
    </xf>
    <xf numFmtId="0" fontId="17" fillId="0" borderId="16" xfId="4" applyFont="1" applyBorder="1" applyAlignment="1">
      <alignment vertical="top" wrapText="1"/>
    </xf>
    <xf numFmtId="0" fontId="14" fillId="12" borderId="2" xfId="4" applyFont="1" applyFill="1" applyBorder="1" applyAlignment="1">
      <alignment horizontal="center" vertical="center"/>
    </xf>
    <xf numFmtId="0" fontId="17" fillId="0" borderId="35" xfId="4" applyFont="1" applyBorder="1" applyAlignment="1">
      <alignment horizontal="left" vertical="top" wrapText="1"/>
    </xf>
    <xf numFmtId="0" fontId="17" fillId="0" borderId="16" xfId="4" applyFont="1" applyBorder="1" applyAlignment="1">
      <alignment horizontal="left" vertical="top" wrapText="1"/>
    </xf>
    <xf numFmtId="0" fontId="17" fillId="0" borderId="31" xfId="4" applyFont="1" applyBorder="1" applyAlignment="1">
      <alignment vertical="top" wrapText="1"/>
    </xf>
    <xf numFmtId="0" fontId="16" fillId="0" borderId="12" xfId="4" applyFont="1" applyBorder="1" applyAlignment="1">
      <alignment horizontal="right" vertical="top" wrapText="1"/>
    </xf>
    <xf numFmtId="0" fontId="17" fillId="0" borderId="12" xfId="4" applyFont="1" applyBorder="1" applyAlignment="1">
      <alignment horizontal="left" vertical="top" wrapText="1"/>
    </xf>
    <xf numFmtId="0" fontId="0" fillId="14" borderId="40" xfId="0" applyFill="1" applyBorder="1" applyAlignment="1">
      <alignment horizontal="left" vertical="top" wrapText="1"/>
    </xf>
  </cellXfs>
  <cellStyles count="6">
    <cellStyle name="Currency 2" xfId="5" xr:uid="{00000000-0005-0000-0000-000000000000}"/>
    <cellStyle name="Normal" xfId="0" builtinId="0"/>
    <cellStyle name="Normal 2" xfId="3" xr:uid="{00000000-0005-0000-0000-000002000000}"/>
    <cellStyle name="Normal_RateAnalysis4Thimi" xfId="4" xr:uid="{00000000-0005-0000-0000-000003000000}"/>
    <cellStyle name="Normal_Screen &amp; Grit" xfId="1" xr:uid="{00000000-0005-0000-0000-000004000000}"/>
    <cellStyle name="Normal_VRD" xfId="2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0</xdr:row>
          <xdr:rowOff>76200</xdr:rowOff>
        </xdr:from>
        <xdr:to>
          <xdr:col>8</xdr:col>
          <xdr:colOff>238125</xdr:colOff>
          <xdr:row>4</xdr:row>
          <xdr:rowOff>85725</xdr:rowOff>
        </xdr:to>
        <xdr:sp macro="" textlink="">
          <xdr:nvSpPr>
            <xdr:cNvPr id="1026" name="Load_BoQUserfor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175834</xdr:rowOff>
    </xdr:from>
    <xdr:to>
      <xdr:col>62</xdr:col>
      <xdr:colOff>0</xdr:colOff>
      <xdr:row>4</xdr:row>
      <xdr:rowOff>175834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/>
      </xdr:nvCxnSpPr>
      <xdr:spPr>
        <a:xfrm>
          <a:off x="7924800" y="814009"/>
          <a:ext cx="29870400" cy="0"/>
        </a:xfrm>
        <a:prstGeom prst="line">
          <a:avLst/>
        </a:prstGeom>
        <a:ln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6</xdr:row>
      <xdr:rowOff>94195</xdr:rowOff>
    </xdr:from>
    <xdr:to>
      <xdr:col>15</xdr:col>
      <xdr:colOff>137160</xdr:colOff>
      <xdr:row>6</xdr:row>
      <xdr:rowOff>94195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8534400" y="1065745"/>
          <a:ext cx="746760" cy="0"/>
        </a:xfrm>
        <a:prstGeom prst="line">
          <a:avLst/>
        </a:prstGeom>
        <a:ln>
          <a:solidFill>
            <a:schemeClr val="tx1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6</xdr:row>
      <xdr:rowOff>94195</xdr:rowOff>
    </xdr:from>
    <xdr:to>
      <xdr:col>19</xdr:col>
      <xdr:colOff>8043</xdr:colOff>
      <xdr:row>6</xdr:row>
      <xdr:rowOff>94195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0448925" y="1065745"/>
          <a:ext cx="1141518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123825</xdr:colOff>
      <xdr:row>37</xdr:row>
      <xdr:rowOff>0</xdr:rowOff>
    </xdr:from>
    <xdr:to>
      <xdr:col>22</xdr:col>
      <xdr:colOff>123825</xdr:colOff>
      <xdr:row>38</xdr:row>
      <xdr:rowOff>89858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13535025" y="5991225"/>
          <a:ext cx="0" cy="251783"/>
        </a:xfrm>
        <a:prstGeom prst="line">
          <a:avLst/>
        </a:prstGeom>
        <a:ln>
          <a:solidFill>
            <a:schemeClr val="tx1"/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34</xdr:row>
      <xdr:rowOff>105836</xdr:rowOff>
    </xdr:from>
    <xdr:to>
      <xdr:col>18</xdr:col>
      <xdr:colOff>1905</xdr:colOff>
      <xdr:row>34</xdr:row>
      <xdr:rowOff>105836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10410825" y="5611286"/>
          <a:ext cx="563880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34</xdr:row>
      <xdr:rowOff>105836</xdr:rowOff>
    </xdr:from>
    <xdr:to>
      <xdr:col>15</xdr:col>
      <xdr:colOff>182880</xdr:colOff>
      <xdr:row>34</xdr:row>
      <xdr:rowOff>105836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>
          <a:off x="9144000" y="5611286"/>
          <a:ext cx="182880" cy="0"/>
        </a:xfrm>
        <a:prstGeom prst="line">
          <a:avLst/>
        </a:prstGeom>
        <a:ln>
          <a:solidFill>
            <a:schemeClr val="tx1"/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9525</xdr:colOff>
      <xdr:row>10</xdr:row>
      <xdr:rowOff>3827</xdr:rowOff>
    </xdr:from>
    <xdr:to>
      <xdr:col>68</xdr:col>
      <xdr:colOff>9525</xdr:colOff>
      <xdr:row>14</xdr:row>
      <xdr:rowOff>148168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41462325" y="1623077"/>
          <a:ext cx="0" cy="792041"/>
        </a:xfrm>
        <a:prstGeom prst="line">
          <a:avLst/>
        </a:prstGeom>
        <a:ln>
          <a:solidFill>
            <a:schemeClr val="tx1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9525</xdr:colOff>
      <xdr:row>8</xdr:row>
      <xdr:rowOff>200024</xdr:rowOff>
    </xdr:from>
    <xdr:to>
      <xdr:col>70</xdr:col>
      <xdr:colOff>9525</xdr:colOff>
      <xdr:row>14</xdr:row>
      <xdr:rowOff>166512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>
          <a:off x="42681525" y="1457324"/>
          <a:ext cx="0" cy="976138"/>
        </a:xfrm>
        <a:prstGeom prst="line">
          <a:avLst/>
        </a:prstGeom>
        <a:ln>
          <a:solidFill>
            <a:schemeClr val="tx1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9525</xdr:colOff>
      <xdr:row>17</xdr:row>
      <xdr:rowOff>42332</xdr:rowOff>
    </xdr:from>
    <xdr:to>
      <xdr:col>68</xdr:col>
      <xdr:colOff>9525</xdr:colOff>
      <xdr:row>21</xdr:row>
      <xdr:rowOff>11430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41462325" y="2795057"/>
          <a:ext cx="0" cy="616798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9525</xdr:colOff>
      <xdr:row>17</xdr:row>
      <xdr:rowOff>1089</xdr:rowOff>
    </xdr:from>
    <xdr:to>
      <xdr:col>70</xdr:col>
      <xdr:colOff>9525</xdr:colOff>
      <xdr:row>22</xdr:row>
      <xdr:rowOff>3810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42681525" y="2753814"/>
          <a:ext cx="0" cy="812346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19050</xdr:colOff>
      <xdr:row>45</xdr:row>
      <xdr:rowOff>127000</xdr:rowOff>
    </xdr:from>
    <xdr:to>
      <xdr:col>71</xdr:col>
      <xdr:colOff>19050</xdr:colOff>
      <xdr:row>51</xdr:row>
      <xdr:rowOff>328083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43300650" y="7413625"/>
          <a:ext cx="0" cy="1010708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105830</xdr:colOff>
      <xdr:row>47</xdr:row>
      <xdr:rowOff>105833</xdr:rowOff>
    </xdr:from>
    <xdr:to>
      <xdr:col>69</xdr:col>
      <xdr:colOff>105830</xdr:colOff>
      <xdr:row>51</xdr:row>
      <xdr:rowOff>1905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42168230" y="7716308"/>
          <a:ext cx="0" cy="543772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118531</xdr:colOff>
      <xdr:row>49</xdr:row>
      <xdr:rowOff>0</xdr:rowOff>
    </xdr:from>
    <xdr:to>
      <xdr:col>20</xdr:col>
      <xdr:colOff>118531</xdr:colOff>
      <xdr:row>51</xdr:row>
      <xdr:rowOff>9525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12310531" y="7934325"/>
          <a:ext cx="0" cy="333375"/>
        </a:xfrm>
        <a:prstGeom prst="line">
          <a:avLst/>
        </a:prstGeom>
        <a:ln>
          <a:solidFill>
            <a:schemeClr val="bg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61383</xdr:colOff>
      <xdr:row>15</xdr:row>
      <xdr:rowOff>113242</xdr:rowOff>
    </xdr:from>
    <xdr:to>
      <xdr:col>8</xdr:col>
      <xdr:colOff>223943</xdr:colOff>
      <xdr:row>15</xdr:row>
      <xdr:rowOff>113242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>
          <a:off x="4328583" y="2542117"/>
          <a:ext cx="772160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15</xdr:row>
      <xdr:rowOff>0</xdr:rowOff>
    </xdr:from>
    <xdr:to>
      <xdr:col>15</xdr:col>
      <xdr:colOff>57150</xdr:colOff>
      <xdr:row>16</xdr:row>
      <xdr:rowOff>9525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8143875" y="2428875"/>
          <a:ext cx="105727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20</xdr:col>
      <xdr:colOff>9525</xdr:colOff>
      <xdr:row>11</xdr:row>
      <xdr:rowOff>0</xdr:rowOff>
    </xdr:from>
    <xdr:to>
      <xdr:col>21</xdr:col>
      <xdr:colOff>76200</xdr:colOff>
      <xdr:row>12</xdr:row>
      <xdr:rowOff>9525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2201525" y="1781175"/>
          <a:ext cx="67627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20</xdr:col>
      <xdr:colOff>9525</xdr:colOff>
      <xdr:row>13</xdr:row>
      <xdr:rowOff>0</xdr:rowOff>
    </xdr:from>
    <xdr:to>
      <xdr:col>21</xdr:col>
      <xdr:colOff>76200</xdr:colOff>
      <xdr:row>14</xdr:row>
      <xdr:rowOff>19050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2201525" y="2105025"/>
          <a:ext cx="676275" cy="18097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20</xdr:col>
      <xdr:colOff>9525</xdr:colOff>
      <xdr:row>14</xdr:row>
      <xdr:rowOff>200025</xdr:rowOff>
    </xdr:from>
    <xdr:to>
      <xdr:col>21</xdr:col>
      <xdr:colOff>76200</xdr:colOff>
      <xdr:row>16</xdr:row>
      <xdr:rowOff>0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2201525" y="2428875"/>
          <a:ext cx="67627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20</xdr:col>
      <xdr:colOff>9525</xdr:colOff>
      <xdr:row>17</xdr:row>
      <xdr:rowOff>0</xdr:rowOff>
    </xdr:from>
    <xdr:to>
      <xdr:col>21</xdr:col>
      <xdr:colOff>76200</xdr:colOff>
      <xdr:row>18</xdr:row>
      <xdr:rowOff>9525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2201525" y="2752725"/>
          <a:ext cx="67627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20</xdr:col>
      <xdr:colOff>9525</xdr:colOff>
      <xdr:row>18</xdr:row>
      <xdr:rowOff>209550</xdr:rowOff>
    </xdr:from>
    <xdr:to>
      <xdr:col>21</xdr:col>
      <xdr:colOff>76200</xdr:colOff>
      <xdr:row>20</xdr:row>
      <xdr:rowOff>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12201525" y="3076575"/>
          <a:ext cx="67627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17</xdr:col>
      <xdr:colOff>142875</xdr:colOff>
      <xdr:row>11</xdr:row>
      <xdr:rowOff>0</xdr:rowOff>
    </xdr:from>
    <xdr:to>
      <xdr:col>18</xdr:col>
      <xdr:colOff>133350</xdr:colOff>
      <xdr:row>12</xdr:row>
      <xdr:rowOff>9525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0506075" y="1781175"/>
          <a:ext cx="60007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17</xdr:col>
      <xdr:colOff>142875</xdr:colOff>
      <xdr:row>13</xdr:row>
      <xdr:rowOff>0</xdr:rowOff>
    </xdr:from>
    <xdr:to>
      <xdr:col>18</xdr:col>
      <xdr:colOff>133350</xdr:colOff>
      <xdr:row>14</xdr:row>
      <xdr:rowOff>19050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0506075" y="2105025"/>
          <a:ext cx="600075" cy="18097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17</xdr:col>
      <xdr:colOff>142875</xdr:colOff>
      <xdr:row>14</xdr:row>
      <xdr:rowOff>200025</xdr:rowOff>
    </xdr:from>
    <xdr:to>
      <xdr:col>18</xdr:col>
      <xdr:colOff>133350</xdr:colOff>
      <xdr:row>16</xdr:row>
      <xdr:rowOff>0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0506075" y="2428875"/>
          <a:ext cx="60007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17</xdr:col>
      <xdr:colOff>142875</xdr:colOff>
      <xdr:row>17</xdr:row>
      <xdr:rowOff>0</xdr:rowOff>
    </xdr:from>
    <xdr:to>
      <xdr:col>18</xdr:col>
      <xdr:colOff>133350</xdr:colOff>
      <xdr:row>18</xdr:row>
      <xdr:rowOff>9525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0506075" y="2752725"/>
          <a:ext cx="60007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17</xdr:col>
      <xdr:colOff>142875</xdr:colOff>
      <xdr:row>18</xdr:row>
      <xdr:rowOff>209550</xdr:rowOff>
    </xdr:from>
    <xdr:to>
      <xdr:col>18</xdr:col>
      <xdr:colOff>133350</xdr:colOff>
      <xdr:row>20</xdr:row>
      <xdr:rowOff>0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0506075" y="3076575"/>
          <a:ext cx="60007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26</xdr:col>
      <xdr:colOff>9525</xdr:colOff>
      <xdr:row>11</xdr:row>
      <xdr:rowOff>0</xdr:rowOff>
    </xdr:from>
    <xdr:to>
      <xdr:col>27</xdr:col>
      <xdr:colOff>76200</xdr:colOff>
      <xdr:row>12</xdr:row>
      <xdr:rowOff>9525</xdr:rowOff>
    </xdr:to>
    <xdr:sp macro="" textlink="">
      <xdr:nvSpPr>
        <xdr:cNvPr id="27" name="Oval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5859125" y="1781175"/>
          <a:ext cx="67627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26</xdr:col>
      <xdr:colOff>9525</xdr:colOff>
      <xdr:row>13</xdr:row>
      <xdr:rowOff>0</xdr:rowOff>
    </xdr:from>
    <xdr:to>
      <xdr:col>27</xdr:col>
      <xdr:colOff>76200</xdr:colOff>
      <xdr:row>14</xdr:row>
      <xdr:rowOff>19050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5859125" y="2105025"/>
          <a:ext cx="676275" cy="18097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26</xdr:col>
      <xdr:colOff>9525</xdr:colOff>
      <xdr:row>14</xdr:row>
      <xdr:rowOff>200025</xdr:rowOff>
    </xdr:from>
    <xdr:to>
      <xdr:col>27</xdr:col>
      <xdr:colOff>76200</xdr:colOff>
      <xdr:row>16</xdr:row>
      <xdr:rowOff>0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5859125" y="2428875"/>
          <a:ext cx="67627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26</xdr:col>
      <xdr:colOff>9525</xdr:colOff>
      <xdr:row>17</xdr:row>
      <xdr:rowOff>0</xdr:rowOff>
    </xdr:from>
    <xdr:to>
      <xdr:col>27</xdr:col>
      <xdr:colOff>76200</xdr:colOff>
      <xdr:row>18</xdr:row>
      <xdr:rowOff>9525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5859125" y="2752725"/>
          <a:ext cx="67627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26</xdr:col>
      <xdr:colOff>9525</xdr:colOff>
      <xdr:row>18</xdr:row>
      <xdr:rowOff>209550</xdr:rowOff>
    </xdr:from>
    <xdr:to>
      <xdr:col>27</xdr:col>
      <xdr:colOff>76200</xdr:colOff>
      <xdr:row>20</xdr:row>
      <xdr:rowOff>0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5859125" y="3076575"/>
          <a:ext cx="67627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23</xdr:col>
      <xdr:colOff>142875</xdr:colOff>
      <xdr:row>11</xdr:row>
      <xdr:rowOff>0</xdr:rowOff>
    </xdr:from>
    <xdr:to>
      <xdr:col>24</xdr:col>
      <xdr:colOff>133350</xdr:colOff>
      <xdr:row>12</xdr:row>
      <xdr:rowOff>9525</xdr:rowOff>
    </xdr:to>
    <xdr:sp macro="" textlink="">
      <xdr:nvSpPr>
        <xdr:cNvPr id="32" name="Oval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163675" y="1781175"/>
          <a:ext cx="60007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23</xdr:col>
      <xdr:colOff>142875</xdr:colOff>
      <xdr:row>13</xdr:row>
      <xdr:rowOff>0</xdr:rowOff>
    </xdr:from>
    <xdr:to>
      <xdr:col>24</xdr:col>
      <xdr:colOff>133350</xdr:colOff>
      <xdr:row>14</xdr:row>
      <xdr:rowOff>19050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4163675" y="2105025"/>
          <a:ext cx="600075" cy="18097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23</xdr:col>
      <xdr:colOff>142875</xdr:colOff>
      <xdr:row>14</xdr:row>
      <xdr:rowOff>200025</xdr:rowOff>
    </xdr:from>
    <xdr:to>
      <xdr:col>24</xdr:col>
      <xdr:colOff>133350</xdr:colOff>
      <xdr:row>16</xdr:row>
      <xdr:rowOff>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4163675" y="2428875"/>
          <a:ext cx="60007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23</xdr:col>
      <xdr:colOff>142875</xdr:colOff>
      <xdr:row>17</xdr:row>
      <xdr:rowOff>0</xdr:rowOff>
    </xdr:from>
    <xdr:to>
      <xdr:col>24</xdr:col>
      <xdr:colOff>133350</xdr:colOff>
      <xdr:row>18</xdr:row>
      <xdr:rowOff>9525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4163675" y="2752725"/>
          <a:ext cx="60007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23</xdr:col>
      <xdr:colOff>142875</xdr:colOff>
      <xdr:row>18</xdr:row>
      <xdr:rowOff>209550</xdr:rowOff>
    </xdr:from>
    <xdr:to>
      <xdr:col>24</xdr:col>
      <xdr:colOff>133350</xdr:colOff>
      <xdr:row>20</xdr:row>
      <xdr:rowOff>0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14163675" y="3076575"/>
          <a:ext cx="60007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50</xdr:col>
      <xdr:colOff>19050</xdr:colOff>
      <xdr:row>11</xdr:row>
      <xdr:rowOff>0</xdr:rowOff>
    </xdr:from>
    <xdr:to>
      <xdr:col>51</xdr:col>
      <xdr:colOff>85725</xdr:colOff>
      <xdr:row>12</xdr:row>
      <xdr:rowOff>9525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30499050" y="1781175"/>
          <a:ext cx="67627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50</xdr:col>
      <xdr:colOff>19050</xdr:colOff>
      <xdr:row>13</xdr:row>
      <xdr:rowOff>0</xdr:rowOff>
    </xdr:from>
    <xdr:to>
      <xdr:col>51</xdr:col>
      <xdr:colOff>85725</xdr:colOff>
      <xdr:row>14</xdr:row>
      <xdr:rowOff>19050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30499050" y="2105025"/>
          <a:ext cx="676275" cy="18097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50</xdr:col>
      <xdr:colOff>19050</xdr:colOff>
      <xdr:row>14</xdr:row>
      <xdr:rowOff>200025</xdr:rowOff>
    </xdr:from>
    <xdr:to>
      <xdr:col>51</xdr:col>
      <xdr:colOff>85725</xdr:colOff>
      <xdr:row>16</xdr:row>
      <xdr:rowOff>0</xdr:rowOff>
    </xdr:to>
    <xdr:sp macro="" textlink="">
      <xdr:nvSpPr>
        <xdr:cNvPr id="39" name="Oval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30499050" y="2428875"/>
          <a:ext cx="67627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50</xdr:col>
      <xdr:colOff>19050</xdr:colOff>
      <xdr:row>17</xdr:row>
      <xdr:rowOff>0</xdr:rowOff>
    </xdr:from>
    <xdr:to>
      <xdr:col>51</xdr:col>
      <xdr:colOff>85725</xdr:colOff>
      <xdr:row>18</xdr:row>
      <xdr:rowOff>9525</xdr:rowOff>
    </xdr:to>
    <xdr:sp macro="" textlink="">
      <xdr:nvSpPr>
        <xdr:cNvPr id="40" name="Oval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30499050" y="2752725"/>
          <a:ext cx="67627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50</xdr:col>
      <xdr:colOff>19050</xdr:colOff>
      <xdr:row>18</xdr:row>
      <xdr:rowOff>209550</xdr:rowOff>
    </xdr:from>
    <xdr:to>
      <xdr:col>51</xdr:col>
      <xdr:colOff>85725</xdr:colOff>
      <xdr:row>20</xdr:row>
      <xdr:rowOff>0</xdr:rowOff>
    </xdr:to>
    <xdr:sp macro="" textlink="">
      <xdr:nvSpPr>
        <xdr:cNvPr id="41" name="Oval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30499050" y="3076575"/>
          <a:ext cx="67627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29</xdr:col>
      <xdr:colOff>114300</xdr:colOff>
      <xdr:row>11</xdr:row>
      <xdr:rowOff>0</xdr:rowOff>
    </xdr:from>
    <xdr:to>
      <xdr:col>30</xdr:col>
      <xdr:colOff>123825</xdr:colOff>
      <xdr:row>12</xdr:row>
      <xdr:rowOff>9525</xdr:rowOff>
    </xdr:to>
    <xdr:sp macro="" textlink="">
      <xdr:nvSpPr>
        <xdr:cNvPr id="42" name="Oval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7792700" y="1781175"/>
          <a:ext cx="61912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29</xdr:col>
      <xdr:colOff>114300</xdr:colOff>
      <xdr:row>13</xdr:row>
      <xdr:rowOff>0</xdr:rowOff>
    </xdr:from>
    <xdr:to>
      <xdr:col>30</xdr:col>
      <xdr:colOff>123825</xdr:colOff>
      <xdr:row>14</xdr:row>
      <xdr:rowOff>19050</xdr:rowOff>
    </xdr:to>
    <xdr:sp macro="" textlink="">
      <xdr:nvSpPr>
        <xdr:cNvPr id="43" name="Oval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7792700" y="2105025"/>
          <a:ext cx="619125" cy="18097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29</xdr:col>
      <xdr:colOff>114300</xdr:colOff>
      <xdr:row>14</xdr:row>
      <xdr:rowOff>200025</xdr:rowOff>
    </xdr:from>
    <xdr:to>
      <xdr:col>30</xdr:col>
      <xdr:colOff>123825</xdr:colOff>
      <xdr:row>16</xdr:row>
      <xdr:rowOff>0</xdr:rowOff>
    </xdr:to>
    <xdr:sp macro="" textlink="">
      <xdr:nvSpPr>
        <xdr:cNvPr id="44" name="Oval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792700" y="2428875"/>
          <a:ext cx="61912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29</xdr:col>
      <xdr:colOff>114300</xdr:colOff>
      <xdr:row>17</xdr:row>
      <xdr:rowOff>0</xdr:rowOff>
    </xdr:from>
    <xdr:to>
      <xdr:col>30</xdr:col>
      <xdr:colOff>123825</xdr:colOff>
      <xdr:row>18</xdr:row>
      <xdr:rowOff>9525</xdr:rowOff>
    </xdr:to>
    <xdr:sp macro="" textlink="">
      <xdr:nvSpPr>
        <xdr:cNvPr id="45" name="Oval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7792700" y="2752725"/>
          <a:ext cx="61912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29</xdr:col>
      <xdr:colOff>114300</xdr:colOff>
      <xdr:row>18</xdr:row>
      <xdr:rowOff>209550</xdr:rowOff>
    </xdr:from>
    <xdr:to>
      <xdr:col>30</xdr:col>
      <xdr:colOff>123825</xdr:colOff>
      <xdr:row>20</xdr:row>
      <xdr:rowOff>0</xdr:rowOff>
    </xdr:to>
    <xdr:sp macro="" textlink="">
      <xdr:nvSpPr>
        <xdr:cNvPr id="46" name="Oval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7792700" y="3076575"/>
          <a:ext cx="61912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56</xdr:col>
      <xdr:colOff>28575</xdr:colOff>
      <xdr:row>11</xdr:row>
      <xdr:rowOff>0</xdr:rowOff>
    </xdr:from>
    <xdr:to>
      <xdr:col>57</xdr:col>
      <xdr:colOff>95250</xdr:colOff>
      <xdr:row>12</xdr:row>
      <xdr:rowOff>9525</xdr:rowOff>
    </xdr:to>
    <xdr:sp macro="" textlink="">
      <xdr:nvSpPr>
        <xdr:cNvPr id="47" name="Oval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34166175" y="1781175"/>
          <a:ext cx="67627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56</xdr:col>
      <xdr:colOff>28575</xdr:colOff>
      <xdr:row>13</xdr:row>
      <xdr:rowOff>0</xdr:rowOff>
    </xdr:from>
    <xdr:to>
      <xdr:col>57</xdr:col>
      <xdr:colOff>95250</xdr:colOff>
      <xdr:row>14</xdr:row>
      <xdr:rowOff>19050</xdr:rowOff>
    </xdr:to>
    <xdr:sp macro="" textlink="">
      <xdr:nvSpPr>
        <xdr:cNvPr id="48" name="Oval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34166175" y="2105025"/>
          <a:ext cx="676275" cy="18097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56</xdr:col>
      <xdr:colOff>28575</xdr:colOff>
      <xdr:row>14</xdr:row>
      <xdr:rowOff>200025</xdr:rowOff>
    </xdr:from>
    <xdr:to>
      <xdr:col>57</xdr:col>
      <xdr:colOff>95250</xdr:colOff>
      <xdr:row>16</xdr:row>
      <xdr:rowOff>0</xdr:rowOff>
    </xdr:to>
    <xdr:sp macro="" textlink="">
      <xdr:nvSpPr>
        <xdr:cNvPr id="49" name="Oval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34166175" y="2428875"/>
          <a:ext cx="67627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56</xdr:col>
      <xdr:colOff>28575</xdr:colOff>
      <xdr:row>17</xdr:row>
      <xdr:rowOff>0</xdr:rowOff>
    </xdr:from>
    <xdr:to>
      <xdr:col>57</xdr:col>
      <xdr:colOff>95250</xdr:colOff>
      <xdr:row>18</xdr:row>
      <xdr:rowOff>9525</xdr:rowOff>
    </xdr:to>
    <xdr:sp macro="" textlink="">
      <xdr:nvSpPr>
        <xdr:cNvPr id="50" name="Oval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34166175" y="2752725"/>
          <a:ext cx="67627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56</xdr:col>
      <xdr:colOff>28575</xdr:colOff>
      <xdr:row>18</xdr:row>
      <xdr:rowOff>209550</xdr:rowOff>
    </xdr:from>
    <xdr:to>
      <xdr:col>57</xdr:col>
      <xdr:colOff>95250</xdr:colOff>
      <xdr:row>20</xdr:row>
      <xdr:rowOff>0</xdr:rowOff>
    </xdr:to>
    <xdr:sp macro="" textlink="">
      <xdr:nvSpPr>
        <xdr:cNvPr id="51" name="Ova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34166175" y="3076575"/>
          <a:ext cx="67627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53</xdr:col>
      <xdr:colOff>123825</xdr:colOff>
      <xdr:row>11</xdr:row>
      <xdr:rowOff>0</xdr:rowOff>
    </xdr:from>
    <xdr:to>
      <xdr:col>54</xdr:col>
      <xdr:colOff>133350</xdr:colOff>
      <xdr:row>12</xdr:row>
      <xdr:rowOff>9525</xdr:rowOff>
    </xdr:to>
    <xdr:sp macro="" textlink="">
      <xdr:nvSpPr>
        <xdr:cNvPr id="52" name="Oval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32432625" y="1781175"/>
          <a:ext cx="61912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53</xdr:col>
      <xdr:colOff>123825</xdr:colOff>
      <xdr:row>13</xdr:row>
      <xdr:rowOff>0</xdr:rowOff>
    </xdr:from>
    <xdr:to>
      <xdr:col>54</xdr:col>
      <xdr:colOff>133350</xdr:colOff>
      <xdr:row>14</xdr:row>
      <xdr:rowOff>19050</xdr:rowOff>
    </xdr:to>
    <xdr:sp macro="" textlink="">
      <xdr:nvSpPr>
        <xdr:cNvPr id="53" name="Oval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32432625" y="2105025"/>
          <a:ext cx="619125" cy="18097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53</xdr:col>
      <xdr:colOff>123825</xdr:colOff>
      <xdr:row>14</xdr:row>
      <xdr:rowOff>200025</xdr:rowOff>
    </xdr:from>
    <xdr:to>
      <xdr:col>54</xdr:col>
      <xdr:colOff>133350</xdr:colOff>
      <xdr:row>16</xdr:row>
      <xdr:rowOff>0</xdr:rowOff>
    </xdr:to>
    <xdr:sp macro="" textlink="">
      <xdr:nvSpPr>
        <xdr:cNvPr id="54" name="Oval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32432625" y="2428875"/>
          <a:ext cx="61912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53</xdr:col>
      <xdr:colOff>123825</xdr:colOff>
      <xdr:row>17</xdr:row>
      <xdr:rowOff>0</xdr:rowOff>
    </xdr:from>
    <xdr:to>
      <xdr:col>54</xdr:col>
      <xdr:colOff>133350</xdr:colOff>
      <xdr:row>18</xdr:row>
      <xdr:rowOff>9525</xdr:rowOff>
    </xdr:to>
    <xdr:sp macro="" textlink="">
      <xdr:nvSpPr>
        <xdr:cNvPr id="55" name="Oval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32432625" y="2752725"/>
          <a:ext cx="61912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53</xdr:col>
      <xdr:colOff>123825</xdr:colOff>
      <xdr:row>18</xdr:row>
      <xdr:rowOff>209550</xdr:rowOff>
    </xdr:from>
    <xdr:to>
      <xdr:col>54</xdr:col>
      <xdr:colOff>133350</xdr:colOff>
      <xdr:row>20</xdr:row>
      <xdr:rowOff>0</xdr:rowOff>
    </xdr:to>
    <xdr:sp macro="" textlink="">
      <xdr:nvSpPr>
        <xdr:cNvPr id="56" name="Oval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32432625" y="3076575"/>
          <a:ext cx="61912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52917</xdr:colOff>
      <xdr:row>34</xdr:row>
      <xdr:rowOff>148167</xdr:rowOff>
    </xdr:from>
    <xdr:to>
      <xdr:col>13</xdr:col>
      <xdr:colOff>21167</xdr:colOff>
      <xdr:row>39</xdr:row>
      <xdr:rowOff>74083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CxnSpPr/>
      </xdr:nvCxnSpPr>
      <xdr:spPr>
        <a:xfrm>
          <a:off x="4320117" y="5653617"/>
          <a:ext cx="3625850" cy="735541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84666</xdr:colOff>
      <xdr:row>34</xdr:row>
      <xdr:rowOff>169334</xdr:rowOff>
    </xdr:from>
    <xdr:to>
      <xdr:col>67</xdr:col>
      <xdr:colOff>52917</xdr:colOff>
      <xdr:row>40</xdr:row>
      <xdr:rowOff>179916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CxnSpPr/>
      </xdr:nvCxnSpPr>
      <xdr:spPr>
        <a:xfrm flipH="1">
          <a:off x="39708666" y="5665259"/>
          <a:ext cx="1187451" cy="972607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95251</xdr:colOff>
      <xdr:row>35</xdr:row>
      <xdr:rowOff>126995</xdr:rowOff>
    </xdr:from>
    <xdr:to>
      <xdr:col>18</xdr:col>
      <xdr:colOff>71545</xdr:colOff>
      <xdr:row>35</xdr:row>
      <xdr:rowOff>190495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8629651" y="5794370"/>
          <a:ext cx="2414694" cy="34925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20</xdr:col>
      <xdr:colOff>84668</xdr:colOff>
      <xdr:row>35</xdr:row>
      <xdr:rowOff>126995</xdr:rowOff>
    </xdr:from>
    <xdr:to>
      <xdr:col>24</xdr:col>
      <xdr:colOff>60961</xdr:colOff>
      <xdr:row>35</xdr:row>
      <xdr:rowOff>190495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2276668" y="5794370"/>
          <a:ext cx="2414693" cy="34925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26</xdr:col>
      <xdr:colOff>63502</xdr:colOff>
      <xdr:row>35</xdr:row>
      <xdr:rowOff>126995</xdr:rowOff>
    </xdr:from>
    <xdr:to>
      <xdr:col>30</xdr:col>
      <xdr:colOff>103295</xdr:colOff>
      <xdr:row>35</xdr:row>
      <xdr:rowOff>190495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15913102" y="5794370"/>
          <a:ext cx="2478193" cy="34925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50</xdr:col>
      <xdr:colOff>42335</xdr:colOff>
      <xdr:row>35</xdr:row>
      <xdr:rowOff>126995</xdr:rowOff>
    </xdr:from>
    <xdr:to>
      <xdr:col>54</xdr:col>
      <xdr:colOff>82128</xdr:colOff>
      <xdr:row>35</xdr:row>
      <xdr:rowOff>190495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30522335" y="5794370"/>
          <a:ext cx="2478193" cy="34925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56</xdr:col>
      <xdr:colOff>74085</xdr:colOff>
      <xdr:row>35</xdr:row>
      <xdr:rowOff>126995</xdr:rowOff>
    </xdr:from>
    <xdr:to>
      <xdr:col>60</xdr:col>
      <xdr:colOff>113878</xdr:colOff>
      <xdr:row>35</xdr:row>
      <xdr:rowOff>190495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34211685" y="5794370"/>
          <a:ext cx="2478193" cy="34925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45</xdr:row>
      <xdr:rowOff>158751</xdr:rowOff>
    </xdr:from>
    <xdr:to>
      <xdr:col>14</xdr:col>
      <xdr:colOff>116416</xdr:colOff>
      <xdr:row>47</xdr:row>
      <xdr:rowOff>179917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V="1">
          <a:off x="6705600" y="7445376"/>
          <a:ext cx="1945216" cy="325966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12099</xdr:colOff>
      <xdr:row>56</xdr:row>
      <xdr:rowOff>187478</xdr:rowOff>
    </xdr:from>
    <xdr:to>
      <xdr:col>63</xdr:col>
      <xdr:colOff>106986</xdr:colOff>
      <xdr:row>56</xdr:row>
      <xdr:rowOff>187478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>
          <a:off x="35368899" y="9226703"/>
          <a:ext cx="3142887" cy="0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203501</xdr:colOff>
      <xdr:row>52</xdr:row>
      <xdr:rowOff>31743</xdr:rowOff>
    </xdr:from>
    <xdr:to>
      <xdr:col>57</xdr:col>
      <xdr:colOff>203501</xdr:colOff>
      <xdr:row>59</xdr:row>
      <xdr:rowOff>6343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34950701" y="8451843"/>
          <a:ext cx="0" cy="11080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173868</xdr:colOff>
      <xdr:row>52</xdr:row>
      <xdr:rowOff>82543</xdr:rowOff>
    </xdr:from>
    <xdr:to>
      <xdr:col>58</xdr:col>
      <xdr:colOff>37494</xdr:colOff>
      <xdr:row>52</xdr:row>
      <xdr:rowOff>149218</xdr:rowOff>
    </xdr:to>
    <xdr:sp macro="" textlink="">
      <xdr:nvSpPr>
        <xdr:cNvPr id="67" name="Oval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 flipH="1">
          <a:off x="34921068" y="8502643"/>
          <a:ext cx="473226" cy="66675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57</xdr:col>
      <xdr:colOff>173868</xdr:colOff>
      <xdr:row>53</xdr:row>
      <xdr:rowOff>73018</xdr:rowOff>
    </xdr:from>
    <xdr:to>
      <xdr:col>58</xdr:col>
      <xdr:colOff>37494</xdr:colOff>
      <xdr:row>53</xdr:row>
      <xdr:rowOff>139693</xdr:rowOff>
    </xdr:to>
    <xdr:sp macro="" textlink="">
      <xdr:nvSpPr>
        <xdr:cNvPr id="68" name="Oval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 flipH="1">
          <a:off x="34921068" y="8655043"/>
          <a:ext cx="473226" cy="66675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57</xdr:col>
      <xdr:colOff>173868</xdr:colOff>
      <xdr:row>54</xdr:row>
      <xdr:rowOff>62435</xdr:rowOff>
    </xdr:from>
    <xdr:to>
      <xdr:col>58</xdr:col>
      <xdr:colOff>37494</xdr:colOff>
      <xdr:row>54</xdr:row>
      <xdr:rowOff>129110</xdr:rowOff>
    </xdr:to>
    <xdr:sp macro="" textlink="">
      <xdr:nvSpPr>
        <xdr:cNvPr id="69" name="Oval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 flipH="1">
          <a:off x="34921068" y="8806385"/>
          <a:ext cx="473226" cy="66675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58</xdr:col>
      <xdr:colOff>1513</xdr:colOff>
      <xdr:row>58</xdr:row>
      <xdr:rowOff>6345</xdr:rowOff>
    </xdr:from>
    <xdr:to>
      <xdr:col>64</xdr:col>
      <xdr:colOff>67977</xdr:colOff>
      <xdr:row>58</xdr:row>
      <xdr:rowOff>6345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35358313" y="9397995"/>
          <a:ext cx="3724064" cy="0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1513</xdr:colOff>
      <xdr:row>59</xdr:row>
      <xdr:rowOff>6345</xdr:rowOff>
    </xdr:from>
    <xdr:to>
      <xdr:col>63</xdr:col>
      <xdr:colOff>85817</xdr:colOff>
      <xdr:row>59</xdr:row>
      <xdr:rowOff>6345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>
          <a:off x="35358313" y="9559920"/>
          <a:ext cx="3132304" cy="0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166158</xdr:colOff>
      <xdr:row>15</xdr:row>
      <xdr:rowOff>0</xdr:rowOff>
    </xdr:from>
    <xdr:to>
      <xdr:col>61</xdr:col>
      <xdr:colOff>25400</xdr:colOff>
      <xdr:row>16</xdr:row>
      <xdr:rowOff>9525</xdr:rowOff>
    </xdr:to>
    <xdr:sp macro="" textlink="">
      <xdr:nvSpPr>
        <xdr:cNvPr id="72" name="Oval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36132558" y="2428875"/>
          <a:ext cx="1078442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70</xdr:col>
      <xdr:colOff>209542</xdr:colOff>
      <xdr:row>14</xdr:row>
      <xdr:rowOff>201084</xdr:rowOff>
    </xdr:from>
    <xdr:to>
      <xdr:col>72</xdr:col>
      <xdr:colOff>16925</xdr:colOff>
      <xdr:row>15</xdr:row>
      <xdr:rowOff>80858</xdr:rowOff>
    </xdr:to>
    <xdr:sp macro="" textlink="">
      <xdr:nvSpPr>
        <xdr:cNvPr id="73" name="Isosceles Triangle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42881542" y="2429934"/>
          <a:ext cx="1026583" cy="79799"/>
        </a:xfrm>
        <a:prstGeom prst="triangle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12</xdr:col>
      <xdr:colOff>41275</xdr:colOff>
      <xdr:row>50</xdr:row>
      <xdr:rowOff>25400</xdr:rowOff>
    </xdr:from>
    <xdr:to>
      <xdr:col>12</xdr:col>
      <xdr:colOff>228388</xdr:colOff>
      <xdr:row>50</xdr:row>
      <xdr:rowOff>25400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>
          <a:off x="7356475" y="8121650"/>
          <a:ext cx="187113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226483</xdr:colOff>
      <xdr:row>50</xdr:row>
      <xdr:rowOff>25400</xdr:rowOff>
    </xdr:from>
    <xdr:to>
      <xdr:col>12</xdr:col>
      <xdr:colOff>176530</xdr:colOff>
      <xdr:row>50</xdr:row>
      <xdr:rowOff>25400</xdr:rowOff>
    </xdr:to>
    <xdr:cxnSp macro="">
      <xdr:nvCxnSpPr>
        <xdr:cNvPr id="75" name="Straight Connector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>
          <a:off x="6932083" y="8121650"/>
          <a:ext cx="559647" cy="0"/>
        </a:xfrm>
        <a:prstGeom prst="line">
          <a:avLst/>
        </a:prstGeom>
        <a:ln>
          <a:solidFill>
            <a:schemeClr val="tx1"/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52920</xdr:colOff>
      <xdr:row>45</xdr:row>
      <xdr:rowOff>63499</xdr:rowOff>
    </xdr:from>
    <xdr:to>
      <xdr:col>16</xdr:col>
      <xdr:colOff>42335</xdr:colOff>
      <xdr:row>48</xdr:row>
      <xdr:rowOff>137582</xdr:rowOff>
    </xdr:to>
    <xdr:sp macro="" textlink="">
      <xdr:nvSpPr>
        <xdr:cNvPr id="76" name="Arc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 flipV="1">
          <a:off x="8587320" y="7350124"/>
          <a:ext cx="1208615" cy="559858"/>
        </a:xfrm>
        <a:prstGeom prst="arc">
          <a:avLst>
            <a:gd name="adj1" fmla="val 14116515"/>
            <a:gd name="adj2" fmla="val 215911"/>
          </a:avLst>
        </a:prstGeom>
        <a:ln w="12700">
          <a:solidFill>
            <a:sysClr val="windowText" lastClr="00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18</xdr:col>
      <xdr:colOff>116415</xdr:colOff>
      <xdr:row>40</xdr:row>
      <xdr:rowOff>116412</xdr:rowOff>
    </xdr:from>
    <xdr:to>
      <xdr:col>20</xdr:col>
      <xdr:colOff>9735</xdr:colOff>
      <xdr:row>40</xdr:row>
      <xdr:rowOff>116412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11089215" y="6593412"/>
          <a:ext cx="1112520" cy="0"/>
        </a:xfrm>
        <a:prstGeom prst="straightConnector1">
          <a:avLst/>
        </a:prstGeom>
        <a:ln w="127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42337</xdr:colOff>
      <xdr:row>45</xdr:row>
      <xdr:rowOff>63499</xdr:rowOff>
    </xdr:from>
    <xdr:to>
      <xdr:col>22</xdr:col>
      <xdr:colOff>31752</xdr:colOff>
      <xdr:row>48</xdr:row>
      <xdr:rowOff>137582</xdr:rowOff>
    </xdr:to>
    <xdr:sp macro="" textlink="">
      <xdr:nvSpPr>
        <xdr:cNvPr id="78" name="Arc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 flipV="1">
          <a:off x="12234337" y="7350124"/>
          <a:ext cx="1208615" cy="559858"/>
        </a:xfrm>
        <a:prstGeom prst="arc">
          <a:avLst>
            <a:gd name="adj1" fmla="val 14116515"/>
            <a:gd name="adj2" fmla="val 215911"/>
          </a:avLst>
        </a:prstGeom>
        <a:ln w="12700">
          <a:solidFill>
            <a:sysClr val="windowText" lastClr="00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24</xdr:col>
      <xdr:colOff>95248</xdr:colOff>
      <xdr:row>40</xdr:row>
      <xdr:rowOff>116412</xdr:rowOff>
    </xdr:from>
    <xdr:to>
      <xdr:col>25</xdr:col>
      <xdr:colOff>221401</xdr:colOff>
      <xdr:row>40</xdr:row>
      <xdr:rowOff>116412</xdr:rowOff>
    </xdr:to>
    <xdr:cxnSp macro="">
      <xdr:nvCxnSpPr>
        <xdr:cNvPr id="79" name="Straight Arrow Connector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CxnSpPr/>
      </xdr:nvCxnSpPr>
      <xdr:spPr>
        <a:xfrm>
          <a:off x="14725648" y="6593412"/>
          <a:ext cx="735753" cy="0"/>
        </a:xfrm>
        <a:prstGeom prst="straightConnector1">
          <a:avLst/>
        </a:prstGeom>
        <a:ln w="127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21170</xdr:colOff>
      <xdr:row>45</xdr:row>
      <xdr:rowOff>63499</xdr:rowOff>
    </xdr:from>
    <xdr:to>
      <xdr:col>28</xdr:col>
      <xdr:colOff>31752</xdr:colOff>
      <xdr:row>48</xdr:row>
      <xdr:rowOff>137582</xdr:rowOff>
    </xdr:to>
    <xdr:sp macro="" textlink="">
      <xdr:nvSpPr>
        <xdr:cNvPr id="80" name="Arc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 flipV="1">
          <a:off x="15870770" y="7350124"/>
          <a:ext cx="1229782" cy="559858"/>
        </a:xfrm>
        <a:prstGeom prst="arc">
          <a:avLst>
            <a:gd name="adj1" fmla="val 14116515"/>
            <a:gd name="adj2" fmla="val 215911"/>
          </a:avLst>
        </a:prstGeom>
        <a:ln w="12700">
          <a:solidFill>
            <a:sysClr val="windowText" lastClr="00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50</xdr:col>
      <xdr:colOff>31754</xdr:colOff>
      <xdr:row>45</xdr:row>
      <xdr:rowOff>63499</xdr:rowOff>
    </xdr:from>
    <xdr:to>
      <xdr:col>52</xdr:col>
      <xdr:colOff>42336</xdr:colOff>
      <xdr:row>48</xdr:row>
      <xdr:rowOff>137582</xdr:rowOff>
    </xdr:to>
    <xdr:sp macro="" textlink="">
      <xdr:nvSpPr>
        <xdr:cNvPr id="81" name="Ar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 flipV="1">
          <a:off x="30511754" y="7350124"/>
          <a:ext cx="1229782" cy="559858"/>
        </a:xfrm>
        <a:prstGeom prst="arc">
          <a:avLst>
            <a:gd name="adj1" fmla="val 14116515"/>
            <a:gd name="adj2" fmla="val 215911"/>
          </a:avLst>
        </a:prstGeom>
        <a:ln w="12700">
          <a:solidFill>
            <a:sysClr val="windowText" lastClr="00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54</xdr:col>
      <xdr:colOff>84665</xdr:colOff>
      <xdr:row>40</xdr:row>
      <xdr:rowOff>116412</xdr:rowOff>
    </xdr:from>
    <xdr:to>
      <xdr:col>55</xdr:col>
      <xdr:colOff>210819</xdr:colOff>
      <xdr:row>40</xdr:row>
      <xdr:rowOff>116412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CxnSpPr/>
      </xdr:nvCxnSpPr>
      <xdr:spPr>
        <a:xfrm>
          <a:off x="33003065" y="6593412"/>
          <a:ext cx="735754" cy="0"/>
        </a:xfrm>
        <a:prstGeom prst="straightConnector1">
          <a:avLst/>
        </a:prstGeom>
        <a:ln w="127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31754</xdr:colOff>
      <xdr:row>45</xdr:row>
      <xdr:rowOff>63499</xdr:rowOff>
    </xdr:from>
    <xdr:to>
      <xdr:col>58</xdr:col>
      <xdr:colOff>42336</xdr:colOff>
      <xdr:row>48</xdr:row>
      <xdr:rowOff>137582</xdr:rowOff>
    </xdr:to>
    <xdr:sp macro="" textlink="">
      <xdr:nvSpPr>
        <xdr:cNvPr id="83" name="Ar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flipV="1">
          <a:off x="34169354" y="7350124"/>
          <a:ext cx="1229782" cy="559858"/>
        </a:xfrm>
        <a:prstGeom prst="arc">
          <a:avLst>
            <a:gd name="adj1" fmla="val 14116515"/>
            <a:gd name="adj2" fmla="val 215911"/>
          </a:avLst>
        </a:prstGeom>
        <a:ln w="12700">
          <a:solidFill>
            <a:sysClr val="windowText" lastClr="00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18</xdr:col>
      <xdr:colOff>74084</xdr:colOff>
      <xdr:row>41</xdr:row>
      <xdr:rowOff>31752</xdr:rowOff>
    </xdr:from>
    <xdr:to>
      <xdr:col>18</xdr:col>
      <xdr:colOff>74084</xdr:colOff>
      <xdr:row>42</xdr:row>
      <xdr:rowOff>116418</xdr:rowOff>
    </xdr:to>
    <xdr:cxnSp macro="">
      <xdr:nvCxnSpPr>
        <xdr:cNvPr id="84" name="Straight Connector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CxnSpPr/>
      </xdr:nvCxnSpPr>
      <xdr:spPr>
        <a:xfrm flipV="1">
          <a:off x="11046884" y="6670677"/>
          <a:ext cx="0" cy="246591"/>
        </a:xfrm>
        <a:prstGeom prst="line">
          <a:avLst/>
        </a:prstGeom>
        <a:ln w="12700">
          <a:solidFill>
            <a:sysClr val="windowText" lastClr="00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84667</xdr:colOff>
      <xdr:row>41</xdr:row>
      <xdr:rowOff>31752</xdr:rowOff>
    </xdr:from>
    <xdr:to>
      <xdr:col>24</xdr:col>
      <xdr:colOff>84667</xdr:colOff>
      <xdr:row>42</xdr:row>
      <xdr:rowOff>116418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 flipV="1">
          <a:off x="14715067" y="6670677"/>
          <a:ext cx="0" cy="246591"/>
        </a:xfrm>
        <a:prstGeom prst="line">
          <a:avLst/>
        </a:prstGeom>
        <a:ln w="12700">
          <a:solidFill>
            <a:sysClr val="windowText" lastClr="00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74083</xdr:colOff>
      <xdr:row>41</xdr:row>
      <xdr:rowOff>31752</xdr:rowOff>
    </xdr:from>
    <xdr:to>
      <xdr:col>30</xdr:col>
      <xdr:colOff>74083</xdr:colOff>
      <xdr:row>42</xdr:row>
      <xdr:rowOff>116418</xdr:rowOff>
    </xdr:to>
    <xdr:cxnSp macro="">
      <xdr:nvCxnSpPr>
        <xdr:cNvPr id="86" name="Straight Connector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CxnSpPr/>
      </xdr:nvCxnSpPr>
      <xdr:spPr>
        <a:xfrm flipV="1">
          <a:off x="18362083" y="6670677"/>
          <a:ext cx="0" cy="246591"/>
        </a:xfrm>
        <a:prstGeom prst="line">
          <a:avLst/>
        </a:prstGeom>
        <a:ln w="12700">
          <a:solidFill>
            <a:sysClr val="windowText" lastClr="00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63499</xdr:colOff>
      <xdr:row>41</xdr:row>
      <xdr:rowOff>31752</xdr:rowOff>
    </xdr:from>
    <xdr:to>
      <xdr:col>54</xdr:col>
      <xdr:colOff>63499</xdr:colOff>
      <xdr:row>42</xdr:row>
      <xdr:rowOff>116418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CxnSpPr/>
      </xdr:nvCxnSpPr>
      <xdr:spPr>
        <a:xfrm flipV="1">
          <a:off x="32981899" y="6670677"/>
          <a:ext cx="0" cy="246591"/>
        </a:xfrm>
        <a:prstGeom prst="line">
          <a:avLst/>
        </a:prstGeom>
        <a:ln w="12700">
          <a:solidFill>
            <a:sysClr val="windowText" lastClr="00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74082</xdr:colOff>
      <xdr:row>42</xdr:row>
      <xdr:rowOff>31752</xdr:rowOff>
    </xdr:from>
    <xdr:to>
      <xdr:col>60</xdr:col>
      <xdr:colOff>74082</xdr:colOff>
      <xdr:row>43</xdr:row>
      <xdr:rowOff>116418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 flipV="1">
          <a:off x="36650082" y="6832602"/>
          <a:ext cx="0" cy="246591"/>
        </a:xfrm>
        <a:prstGeom prst="line">
          <a:avLst/>
        </a:prstGeom>
        <a:ln w="12700">
          <a:solidFill>
            <a:sysClr val="windowText" lastClr="00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28274</xdr:colOff>
      <xdr:row>39</xdr:row>
      <xdr:rowOff>141514</xdr:rowOff>
    </xdr:from>
    <xdr:to>
      <xdr:col>8</xdr:col>
      <xdr:colOff>182367</xdr:colOff>
      <xdr:row>39</xdr:row>
      <xdr:rowOff>141514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CxnSpPr/>
      </xdr:nvCxnSpPr>
      <xdr:spPr>
        <a:xfrm>
          <a:off x="4295474" y="6456589"/>
          <a:ext cx="763693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0</xdr:colOff>
      <xdr:row>37</xdr:row>
      <xdr:rowOff>10584</xdr:rowOff>
    </xdr:from>
    <xdr:to>
      <xdr:col>71</xdr:col>
      <xdr:colOff>0</xdr:colOff>
      <xdr:row>43</xdr:row>
      <xdr:rowOff>31750</xdr:rowOff>
    </xdr:to>
    <xdr:cxnSp macro="">
      <xdr:nvCxnSpPr>
        <xdr:cNvPr id="90" name="Straight Connector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CxnSpPr/>
      </xdr:nvCxnSpPr>
      <xdr:spPr>
        <a:xfrm>
          <a:off x="43281600" y="6001809"/>
          <a:ext cx="0" cy="992716"/>
        </a:xfrm>
        <a:prstGeom prst="line">
          <a:avLst/>
        </a:prstGeom>
        <a:ln>
          <a:solidFill>
            <a:schemeClr val="tx1"/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190503</xdr:colOff>
      <xdr:row>41</xdr:row>
      <xdr:rowOff>115358</xdr:rowOff>
    </xdr:from>
    <xdr:to>
      <xdr:col>68</xdr:col>
      <xdr:colOff>31750</xdr:colOff>
      <xdr:row>41</xdr:row>
      <xdr:rowOff>115358</xdr:rowOff>
    </xdr:to>
    <xdr:cxnSp macro="">
      <xdr:nvCxnSpPr>
        <xdr:cNvPr id="91" name="Straight Connector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CxnSpPr/>
      </xdr:nvCxnSpPr>
      <xdr:spPr>
        <a:xfrm>
          <a:off x="39814503" y="6754283"/>
          <a:ext cx="1670047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10581</xdr:colOff>
      <xdr:row>14</xdr:row>
      <xdr:rowOff>201084</xdr:rowOff>
    </xdr:from>
    <xdr:to>
      <xdr:col>7</xdr:col>
      <xdr:colOff>8464</xdr:colOff>
      <xdr:row>15</xdr:row>
      <xdr:rowOff>80858</xdr:rowOff>
    </xdr:to>
    <xdr:sp macro="" textlink="">
      <xdr:nvSpPr>
        <xdr:cNvPr id="92" name="Isosceles Triangle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3668181" y="2429934"/>
          <a:ext cx="607483" cy="79799"/>
        </a:xfrm>
        <a:prstGeom prst="triangle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65</xdr:col>
      <xdr:colOff>177802</xdr:colOff>
      <xdr:row>15</xdr:row>
      <xdr:rowOff>113242</xdr:rowOff>
    </xdr:from>
    <xdr:to>
      <xdr:col>67</xdr:col>
      <xdr:colOff>109646</xdr:colOff>
      <xdr:row>15</xdr:row>
      <xdr:rowOff>113242</xdr:rowOff>
    </xdr:to>
    <xdr:cxnSp macro="">
      <xdr:nvCxnSpPr>
        <xdr:cNvPr id="93" name="Straight Connector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CxnSpPr/>
      </xdr:nvCxnSpPr>
      <xdr:spPr>
        <a:xfrm>
          <a:off x="39801802" y="2542117"/>
          <a:ext cx="1151044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19050</xdr:colOff>
      <xdr:row>11</xdr:row>
      <xdr:rowOff>0</xdr:rowOff>
    </xdr:from>
    <xdr:to>
      <xdr:col>45</xdr:col>
      <xdr:colOff>85725</xdr:colOff>
      <xdr:row>12</xdr:row>
      <xdr:rowOff>9525</xdr:rowOff>
    </xdr:to>
    <xdr:sp macro="" textlink="">
      <xdr:nvSpPr>
        <xdr:cNvPr id="94" name="Oval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26841450" y="1781175"/>
          <a:ext cx="67627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44</xdr:col>
      <xdr:colOff>19050</xdr:colOff>
      <xdr:row>13</xdr:row>
      <xdr:rowOff>0</xdr:rowOff>
    </xdr:from>
    <xdr:to>
      <xdr:col>45</xdr:col>
      <xdr:colOff>85725</xdr:colOff>
      <xdr:row>14</xdr:row>
      <xdr:rowOff>19050</xdr:rowOff>
    </xdr:to>
    <xdr:sp macro="" textlink="">
      <xdr:nvSpPr>
        <xdr:cNvPr id="95" name="Oval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26841450" y="2105025"/>
          <a:ext cx="676275" cy="18097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44</xdr:col>
      <xdr:colOff>19050</xdr:colOff>
      <xdr:row>14</xdr:row>
      <xdr:rowOff>200025</xdr:rowOff>
    </xdr:from>
    <xdr:to>
      <xdr:col>45</xdr:col>
      <xdr:colOff>85725</xdr:colOff>
      <xdr:row>16</xdr:row>
      <xdr:rowOff>0</xdr:rowOff>
    </xdr:to>
    <xdr:sp macro="" textlink="">
      <xdr:nvSpPr>
        <xdr:cNvPr id="96" name="Oval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26841450" y="2428875"/>
          <a:ext cx="67627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44</xdr:col>
      <xdr:colOff>19050</xdr:colOff>
      <xdr:row>17</xdr:row>
      <xdr:rowOff>0</xdr:rowOff>
    </xdr:from>
    <xdr:to>
      <xdr:col>45</xdr:col>
      <xdr:colOff>85725</xdr:colOff>
      <xdr:row>18</xdr:row>
      <xdr:rowOff>9525</xdr:rowOff>
    </xdr:to>
    <xdr:sp macro="" textlink="">
      <xdr:nvSpPr>
        <xdr:cNvPr id="97" name="Oval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26841450" y="2752725"/>
          <a:ext cx="67627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44</xdr:col>
      <xdr:colOff>19050</xdr:colOff>
      <xdr:row>18</xdr:row>
      <xdr:rowOff>209550</xdr:rowOff>
    </xdr:from>
    <xdr:to>
      <xdr:col>45</xdr:col>
      <xdr:colOff>85725</xdr:colOff>
      <xdr:row>20</xdr:row>
      <xdr:rowOff>0</xdr:rowOff>
    </xdr:to>
    <xdr:sp macro="" textlink="">
      <xdr:nvSpPr>
        <xdr:cNvPr id="98" name="Oval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26841450" y="3076575"/>
          <a:ext cx="67627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47</xdr:col>
      <xdr:colOff>123825</xdr:colOff>
      <xdr:row>11</xdr:row>
      <xdr:rowOff>0</xdr:rowOff>
    </xdr:from>
    <xdr:to>
      <xdr:col>48</xdr:col>
      <xdr:colOff>133350</xdr:colOff>
      <xdr:row>12</xdr:row>
      <xdr:rowOff>9525</xdr:rowOff>
    </xdr:to>
    <xdr:sp macro="" textlink="">
      <xdr:nvSpPr>
        <xdr:cNvPr id="99" name="Oval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28775025" y="1781175"/>
          <a:ext cx="61912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47</xdr:col>
      <xdr:colOff>123825</xdr:colOff>
      <xdr:row>13</xdr:row>
      <xdr:rowOff>0</xdr:rowOff>
    </xdr:from>
    <xdr:to>
      <xdr:col>48</xdr:col>
      <xdr:colOff>133350</xdr:colOff>
      <xdr:row>14</xdr:row>
      <xdr:rowOff>19050</xdr:rowOff>
    </xdr:to>
    <xdr:sp macro="" textlink="">
      <xdr:nvSpPr>
        <xdr:cNvPr id="100" name="Oval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28775025" y="2105025"/>
          <a:ext cx="619125" cy="18097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47</xdr:col>
      <xdr:colOff>123825</xdr:colOff>
      <xdr:row>14</xdr:row>
      <xdr:rowOff>200025</xdr:rowOff>
    </xdr:from>
    <xdr:to>
      <xdr:col>48</xdr:col>
      <xdr:colOff>133350</xdr:colOff>
      <xdr:row>16</xdr:row>
      <xdr:rowOff>0</xdr:rowOff>
    </xdr:to>
    <xdr:sp macro="" textlink="">
      <xdr:nvSpPr>
        <xdr:cNvPr id="101" name="Oval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28775025" y="2428875"/>
          <a:ext cx="61912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47</xdr:col>
      <xdr:colOff>123825</xdr:colOff>
      <xdr:row>17</xdr:row>
      <xdr:rowOff>0</xdr:rowOff>
    </xdr:from>
    <xdr:to>
      <xdr:col>48</xdr:col>
      <xdr:colOff>133350</xdr:colOff>
      <xdr:row>18</xdr:row>
      <xdr:rowOff>9525</xdr:rowOff>
    </xdr:to>
    <xdr:sp macro="" textlink="">
      <xdr:nvSpPr>
        <xdr:cNvPr id="102" name="Oval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28775025" y="2752725"/>
          <a:ext cx="61912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47</xdr:col>
      <xdr:colOff>123825</xdr:colOff>
      <xdr:row>18</xdr:row>
      <xdr:rowOff>209550</xdr:rowOff>
    </xdr:from>
    <xdr:to>
      <xdr:col>48</xdr:col>
      <xdr:colOff>133350</xdr:colOff>
      <xdr:row>20</xdr:row>
      <xdr:rowOff>0</xdr:rowOff>
    </xdr:to>
    <xdr:sp macro="" textlink="">
      <xdr:nvSpPr>
        <xdr:cNvPr id="103" name="Oval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28775025" y="3076575"/>
          <a:ext cx="61912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44</xdr:col>
      <xdr:colOff>42335</xdr:colOff>
      <xdr:row>35</xdr:row>
      <xdr:rowOff>126995</xdr:rowOff>
    </xdr:from>
    <xdr:to>
      <xdr:col>48</xdr:col>
      <xdr:colOff>82128</xdr:colOff>
      <xdr:row>35</xdr:row>
      <xdr:rowOff>190495</xdr:rowOff>
    </xdr:to>
    <xdr:sp macro="" textlink="">
      <xdr:nvSpPr>
        <xdr:cNvPr id="104" name="Rectangle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26864735" y="5794370"/>
          <a:ext cx="2478193" cy="34925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44</xdr:col>
      <xdr:colOff>31754</xdr:colOff>
      <xdr:row>45</xdr:row>
      <xdr:rowOff>63499</xdr:rowOff>
    </xdr:from>
    <xdr:to>
      <xdr:col>46</xdr:col>
      <xdr:colOff>42336</xdr:colOff>
      <xdr:row>48</xdr:row>
      <xdr:rowOff>137582</xdr:rowOff>
    </xdr:to>
    <xdr:sp macro="" textlink="">
      <xdr:nvSpPr>
        <xdr:cNvPr id="105" name="Arc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 flipV="1">
          <a:off x="26854154" y="7350124"/>
          <a:ext cx="1229782" cy="559858"/>
        </a:xfrm>
        <a:prstGeom prst="arc">
          <a:avLst>
            <a:gd name="adj1" fmla="val 14116515"/>
            <a:gd name="adj2" fmla="val 215911"/>
          </a:avLst>
        </a:prstGeom>
        <a:ln w="12700">
          <a:solidFill>
            <a:sysClr val="windowText" lastClr="00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48</xdr:col>
      <xdr:colOff>84665</xdr:colOff>
      <xdr:row>40</xdr:row>
      <xdr:rowOff>116412</xdr:rowOff>
    </xdr:from>
    <xdr:to>
      <xdr:col>49</xdr:col>
      <xdr:colOff>210819</xdr:colOff>
      <xdr:row>40</xdr:row>
      <xdr:rowOff>116412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CxnSpPr/>
      </xdr:nvCxnSpPr>
      <xdr:spPr>
        <a:xfrm>
          <a:off x="29345465" y="6593412"/>
          <a:ext cx="735754" cy="0"/>
        </a:xfrm>
        <a:prstGeom prst="straightConnector1">
          <a:avLst/>
        </a:prstGeom>
        <a:ln w="127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63499</xdr:colOff>
      <xdr:row>41</xdr:row>
      <xdr:rowOff>31752</xdr:rowOff>
    </xdr:from>
    <xdr:to>
      <xdr:col>48</xdr:col>
      <xdr:colOff>63499</xdr:colOff>
      <xdr:row>42</xdr:row>
      <xdr:rowOff>116418</xdr:rowOff>
    </xdr:to>
    <xdr:cxnSp macro="">
      <xdr:nvCxnSpPr>
        <xdr:cNvPr id="107" name="Straight Connector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CxnSpPr/>
      </xdr:nvCxnSpPr>
      <xdr:spPr>
        <a:xfrm flipV="1">
          <a:off x="29324299" y="6670677"/>
          <a:ext cx="0" cy="246591"/>
        </a:xfrm>
        <a:prstGeom prst="line">
          <a:avLst/>
        </a:prstGeom>
        <a:ln w="12700">
          <a:solidFill>
            <a:sysClr val="windowText" lastClr="00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19050</xdr:colOff>
      <xdr:row>11</xdr:row>
      <xdr:rowOff>0</xdr:rowOff>
    </xdr:from>
    <xdr:to>
      <xdr:col>33</xdr:col>
      <xdr:colOff>85725</xdr:colOff>
      <xdr:row>12</xdr:row>
      <xdr:rowOff>9525</xdr:rowOff>
    </xdr:to>
    <xdr:sp macro="" textlink="">
      <xdr:nvSpPr>
        <xdr:cNvPr id="108" name="Oval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19526250" y="1781175"/>
          <a:ext cx="67627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32</xdr:col>
      <xdr:colOff>19050</xdr:colOff>
      <xdr:row>13</xdr:row>
      <xdr:rowOff>0</xdr:rowOff>
    </xdr:from>
    <xdr:to>
      <xdr:col>33</xdr:col>
      <xdr:colOff>85725</xdr:colOff>
      <xdr:row>14</xdr:row>
      <xdr:rowOff>19050</xdr:rowOff>
    </xdr:to>
    <xdr:sp macro="" textlink="">
      <xdr:nvSpPr>
        <xdr:cNvPr id="109" name="Oval 10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>
        <a:xfrm>
          <a:off x="19526250" y="2105025"/>
          <a:ext cx="676275" cy="18097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32</xdr:col>
      <xdr:colOff>19050</xdr:colOff>
      <xdr:row>14</xdr:row>
      <xdr:rowOff>200025</xdr:rowOff>
    </xdr:from>
    <xdr:to>
      <xdr:col>33</xdr:col>
      <xdr:colOff>85725</xdr:colOff>
      <xdr:row>16</xdr:row>
      <xdr:rowOff>0</xdr:rowOff>
    </xdr:to>
    <xdr:sp macro="" textlink="">
      <xdr:nvSpPr>
        <xdr:cNvPr id="110" name="Oval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19526250" y="2428875"/>
          <a:ext cx="67627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32</xdr:col>
      <xdr:colOff>19050</xdr:colOff>
      <xdr:row>17</xdr:row>
      <xdr:rowOff>0</xdr:rowOff>
    </xdr:from>
    <xdr:to>
      <xdr:col>33</xdr:col>
      <xdr:colOff>85725</xdr:colOff>
      <xdr:row>18</xdr:row>
      <xdr:rowOff>9525</xdr:rowOff>
    </xdr:to>
    <xdr:sp macro="" textlink="">
      <xdr:nvSpPr>
        <xdr:cNvPr id="111" name="Oval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9526250" y="2752725"/>
          <a:ext cx="67627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32</xdr:col>
      <xdr:colOff>19050</xdr:colOff>
      <xdr:row>18</xdr:row>
      <xdr:rowOff>209550</xdr:rowOff>
    </xdr:from>
    <xdr:to>
      <xdr:col>33</xdr:col>
      <xdr:colOff>85725</xdr:colOff>
      <xdr:row>20</xdr:row>
      <xdr:rowOff>0</xdr:rowOff>
    </xdr:to>
    <xdr:sp macro="" textlink="">
      <xdr:nvSpPr>
        <xdr:cNvPr id="112" name="Oval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9526250" y="3076575"/>
          <a:ext cx="67627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35</xdr:col>
      <xdr:colOff>123825</xdr:colOff>
      <xdr:row>11</xdr:row>
      <xdr:rowOff>0</xdr:rowOff>
    </xdr:from>
    <xdr:to>
      <xdr:col>36</xdr:col>
      <xdr:colOff>133350</xdr:colOff>
      <xdr:row>12</xdr:row>
      <xdr:rowOff>9525</xdr:rowOff>
    </xdr:to>
    <xdr:sp macro="" textlink="">
      <xdr:nvSpPr>
        <xdr:cNvPr id="113" name="Oval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21459825" y="1781175"/>
          <a:ext cx="61912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35</xdr:col>
      <xdr:colOff>123825</xdr:colOff>
      <xdr:row>13</xdr:row>
      <xdr:rowOff>0</xdr:rowOff>
    </xdr:from>
    <xdr:to>
      <xdr:col>36</xdr:col>
      <xdr:colOff>133350</xdr:colOff>
      <xdr:row>14</xdr:row>
      <xdr:rowOff>19050</xdr:rowOff>
    </xdr:to>
    <xdr:sp macro="" textlink="">
      <xdr:nvSpPr>
        <xdr:cNvPr id="114" name="Oval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21459825" y="2105025"/>
          <a:ext cx="619125" cy="18097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35</xdr:col>
      <xdr:colOff>123825</xdr:colOff>
      <xdr:row>14</xdr:row>
      <xdr:rowOff>200025</xdr:rowOff>
    </xdr:from>
    <xdr:to>
      <xdr:col>36</xdr:col>
      <xdr:colOff>133350</xdr:colOff>
      <xdr:row>16</xdr:row>
      <xdr:rowOff>0</xdr:rowOff>
    </xdr:to>
    <xdr:sp macro="" textlink="">
      <xdr:nvSpPr>
        <xdr:cNvPr id="115" name="Oval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21459825" y="2428875"/>
          <a:ext cx="61912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35</xdr:col>
      <xdr:colOff>123825</xdr:colOff>
      <xdr:row>17</xdr:row>
      <xdr:rowOff>0</xdr:rowOff>
    </xdr:from>
    <xdr:to>
      <xdr:col>36</xdr:col>
      <xdr:colOff>133350</xdr:colOff>
      <xdr:row>18</xdr:row>
      <xdr:rowOff>9525</xdr:rowOff>
    </xdr:to>
    <xdr:sp macro="" textlink="">
      <xdr:nvSpPr>
        <xdr:cNvPr id="116" name="Oval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21459825" y="2752725"/>
          <a:ext cx="61912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35</xdr:col>
      <xdr:colOff>123825</xdr:colOff>
      <xdr:row>18</xdr:row>
      <xdr:rowOff>209550</xdr:rowOff>
    </xdr:from>
    <xdr:to>
      <xdr:col>36</xdr:col>
      <xdr:colOff>133350</xdr:colOff>
      <xdr:row>20</xdr:row>
      <xdr:rowOff>0</xdr:rowOff>
    </xdr:to>
    <xdr:sp macro="" textlink="">
      <xdr:nvSpPr>
        <xdr:cNvPr id="117" name="Oval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21459825" y="3076575"/>
          <a:ext cx="61912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32</xdr:col>
      <xdr:colOff>42335</xdr:colOff>
      <xdr:row>35</xdr:row>
      <xdr:rowOff>126995</xdr:rowOff>
    </xdr:from>
    <xdr:to>
      <xdr:col>36</xdr:col>
      <xdr:colOff>82128</xdr:colOff>
      <xdr:row>35</xdr:row>
      <xdr:rowOff>190495</xdr:rowOff>
    </xdr:to>
    <xdr:sp macro="" textlink="">
      <xdr:nvSpPr>
        <xdr:cNvPr id="118" name="Rectangle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9549535" y="5794370"/>
          <a:ext cx="2478193" cy="34925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32</xdr:col>
      <xdr:colOff>31754</xdr:colOff>
      <xdr:row>45</xdr:row>
      <xdr:rowOff>63499</xdr:rowOff>
    </xdr:from>
    <xdr:to>
      <xdr:col>34</xdr:col>
      <xdr:colOff>42336</xdr:colOff>
      <xdr:row>48</xdr:row>
      <xdr:rowOff>137582</xdr:rowOff>
    </xdr:to>
    <xdr:sp macro="" textlink="">
      <xdr:nvSpPr>
        <xdr:cNvPr id="119" name="Ar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 flipV="1">
          <a:off x="19538954" y="7350124"/>
          <a:ext cx="1229782" cy="559858"/>
        </a:xfrm>
        <a:prstGeom prst="arc">
          <a:avLst>
            <a:gd name="adj1" fmla="val 14116515"/>
            <a:gd name="adj2" fmla="val 215911"/>
          </a:avLst>
        </a:prstGeom>
        <a:ln w="12700">
          <a:solidFill>
            <a:sysClr val="windowText" lastClr="00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36</xdr:col>
      <xdr:colOff>84665</xdr:colOff>
      <xdr:row>40</xdr:row>
      <xdr:rowOff>116412</xdr:rowOff>
    </xdr:from>
    <xdr:to>
      <xdr:col>37</xdr:col>
      <xdr:colOff>210819</xdr:colOff>
      <xdr:row>40</xdr:row>
      <xdr:rowOff>116412</xdr:rowOff>
    </xdr:to>
    <xdr:cxnSp macro="">
      <xdr:nvCxnSpPr>
        <xdr:cNvPr id="120" name="Straight Arrow Connector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CxnSpPr/>
      </xdr:nvCxnSpPr>
      <xdr:spPr>
        <a:xfrm>
          <a:off x="22030265" y="6593412"/>
          <a:ext cx="735754" cy="0"/>
        </a:xfrm>
        <a:prstGeom prst="straightConnector1">
          <a:avLst/>
        </a:prstGeom>
        <a:ln w="127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63499</xdr:colOff>
      <xdr:row>41</xdr:row>
      <xdr:rowOff>31752</xdr:rowOff>
    </xdr:from>
    <xdr:to>
      <xdr:col>36</xdr:col>
      <xdr:colOff>63499</xdr:colOff>
      <xdr:row>42</xdr:row>
      <xdr:rowOff>116418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CxnSpPr/>
      </xdr:nvCxnSpPr>
      <xdr:spPr>
        <a:xfrm flipV="1">
          <a:off x="22009099" y="6670677"/>
          <a:ext cx="0" cy="246591"/>
        </a:xfrm>
        <a:prstGeom prst="line">
          <a:avLst/>
        </a:prstGeom>
        <a:ln w="12700">
          <a:solidFill>
            <a:sysClr val="windowText" lastClr="00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11</xdr:row>
      <xdr:rowOff>0</xdr:rowOff>
    </xdr:from>
    <xdr:to>
      <xdr:col>39</xdr:col>
      <xdr:colOff>85725</xdr:colOff>
      <xdr:row>12</xdr:row>
      <xdr:rowOff>9525</xdr:rowOff>
    </xdr:to>
    <xdr:sp macro="" textlink="">
      <xdr:nvSpPr>
        <xdr:cNvPr id="122" name="Oval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23183850" y="1781175"/>
          <a:ext cx="67627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38</xdr:col>
      <xdr:colOff>19050</xdr:colOff>
      <xdr:row>13</xdr:row>
      <xdr:rowOff>0</xdr:rowOff>
    </xdr:from>
    <xdr:to>
      <xdr:col>39</xdr:col>
      <xdr:colOff>85725</xdr:colOff>
      <xdr:row>14</xdr:row>
      <xdr:rowOff>19050</xdr:rowOff>
    </xdr:to>
    <xdr:sp macro="" textlink="">
      <xdr:nvSpPr>
        <xdr:cNvPr id="123" name="Oval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23183850" y="2105025"/>
          <a:ext cx="676275" cy="18097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38</xdr:col>
      <xdr:colOff>19050</xdr:colOff>
      <xdr:row>14</xdr:row>
      <xdr:rowOff>200025</xdr:rowOff>
    </xdr:from>
    <xdr:to>
      <xdr:col>39</xdr:col>
      <xdr:colOff>85725</xdr:colOff>
      <xdr:row>16</xdr:row>
      <xdr:rowOff>0</xdr:rowOff>
    </xdr:to>
    <xdr:sp macro="" textlink="">
      <xdr:nvSpPr>
        <xdr:cNvPr id="124" name="Oval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23183850" y="2428875"/>
          <a:ext cx="67627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38</xdr:col>
      <xdr:colOff>19050</xdr:colOff>
      <xdr:row>17</xdr:row>
      <xdr:rowOff>0</xdr:rowOff>
    </xdr:from>
    <xdr:to>
      <xdr:col>39</xdr:col>
      <xdr:colOff>85725</xdr:colOff>
      <xdr:row>18</xdr:row>
      <xdr:rowOff>9525</xdr:rowOff>
    </xdr:to>
    <xdr:sp macro="" textlink="">
      <xdr:nvSpPr>
        <xdr:cNvPr id="125" name="Oval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23183850" y="2752725"/>
          <a:ext cx="67627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38</xdr:col>
      <xdr:colOff>19050</xdr:colOff>
      <xdr:row>18</xdr:row>
      <xdr:rowOff>209550</xdr:rowOff>
    </xdr:from>
    <xdr:to>
      <xdr:col>39</xdr:col>
      <xdr:colOff>85725</xdr:colOff>
      <xdr:row>20</xdr:row>
      <xdr:rowOff>0</xdr:rowOff>
    </xdr:to>
    <xdr:sp macro="" textlink="">
      <xdr:nvSpPr>
        <xdr:cNvPr id="126" name="Oval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23183850" y="3076575"/>
          <a:ext cx="67627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41</xdr:col>
      <xdr:colOff>123825</xdr:colOff>
      <xdr:row>11</xdr:row>
      <xdr:rowOff>0</xdr:rowOff>
    </xdr:from>
    <xdr:to>
      <xdr:col>42</xdr:col>
      <xdr:colOff>133350</xdr:colOff>
      <xdr:row>12</xdr:row>
      <xdr:rowOff>9525</xdr:rowOff>
    </xdr:to>
    <xdr:sp macro="" textlink="">
      <xdr:nvSpPr>
        <xdr:cNvPr id="127" name="Oval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25117425" y="1781175"/>
          <a:ext cx="61912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41</xdr:col>
      <xdr:colOff>123825</xdr:colOff>
      <xdr:row>13</xdr:row>
      <xdr:rowOff>0</xdr:rowOff>
    </xdr:from>
    <xdr:to>
      <xdr:col>42</xdr:col>
      <xdr:colOff>133350</xdr:colOff>
      <xdr:row>14</xdr:row>
      <xdr:rowOff>19050</xdr:rowOff>
    </xdr:to>
    <xdr:sp macro="" textlink="">
      <xdr:nvSpPr>
        <xdr:cNvPr id="128" name="Oval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>
        <a:xfrm>
          <a:off x="25117425" y="2105025"/>
          <a:ext cx="619125" cy="18097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41</xdr:col>
      <xdr:colOff>123825</xdr:colOff>
      <xdr:row>14</xdr:row>
      <xdr:rowOff>200025</xdr:rowOff>
    </xdr:from>
    <xdr:to>
      <xdr:col>42</xdr:col>
      <xdr:colOff>133350</xdr:colOff>
      <xdr:row>16</xdr:row>
      <xdr:rowOff>0</xdr:rowOff>
    </xdr:to>
    <xdr:sp macro="" textlink="">
      <xdr:nvSpPr>
        <xdr:cNvPr id="129" name="Oval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>
        <a:xfrm>
          <a:off x="25117425" y="2428875"/>
          <a:ext cx="61912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41</xdr:col>
      <xdr:colOff>123825</xdr:colOff>
      <xdr:row>17</xdr:row>
      <xdr:rowOff>0</xdr:rowOff>
    </xdr:from>
    <xdr:to>
      <xdr:col>42</xdr:col>
      <xdr:colOff>133350</xdr:colOff>
      <xdr:row>18</xdr:row>
      <xdr:rowOff>9525</xdr:rowOff>
    </xdr:to>
    <xdr:sp macro="" textlink="">
      <xdr:nvSpPr>
        <xdr:cNvPr id="130" name="Oval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>
        <a:xfrm>
          <a:off x="25117425" y="2752725"/>
          <a:ext cx="619125" cy="171450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41</xdr:col>
      <xdr:colOff>123825</xdr:colOff>
      <xdr:row>18</xdr:row>
      <xdr:rowOff>209550</xdr:rowOff>
    </xdr:from>
    <xdr:to>
      <xdr:col>42</xdr:col>
      <xdr:colOff>133350</xdr:colOff>
      <xdr:row>20</xdr:row>
      <xdr:rowOff>0</xdr:rowOff>
    </xdr:to>
    <xdr:sp macro="" textlink="">
      <xdr:nvSpPr>
        <xdr:cNvPr id="131" name="Oval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>
        <a:xfrm>
          <a:off x="25117425" y="3076575"/>
          <a:ext cx="619125" cy="161925"/>
        </a:xfrm>
        <a:prstGeom prst="ellipse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38</xdr:col>
      <xdr:colOff>42335</xdr:colOff>
      <xdr:row>35</xdr:row>
      <xdr:rowOff>126995</xdr:rowOff>
    </xdr:from>
    <xdr:to>
      <xdr:col>42</xdr:col>
      <xdr:colOff>82128</xdr:colOff>
      <xdr:row>35</xdr:row>
      <xdr:rowOff>190495</xdr:rowOff>
    </xdr:to>
    <xdr:sp macro="" textlink="">
      <xdr:nvSpPr>
        <xdr:cNvPr id="132" name="Rectangle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23207135" y="5794370"/>
          <a:ext cx="2478193" cy="34925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38</xdr:col>
      <xdr:colOff>31754</xdr:colOff>
      <xdr:row>45</xdr:row>
      <xdr:rowOff>63499</xdr:rowOff>
    </xdr:from>
    <xdr:to>
      <xdr:col>40</xdr:col>
      <xdr:colOff>42336</xdr:colOff>
      <xdr:row>48</xdr:row>
      <xdr:rowOff>137582</xdr:rowOff>
    </xdr:to>
    <xdr:sp macro="" textlink="">
      <xdr:nvSpPr>
        <xdr:cNvPr id="133" name="Arc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 flipV="1">
          <a:off x="23196554" y="7350124"/>
          <a:ext cx="1229782" cy="559858"/>
        </a:xfrm>
        <a:prstGeom prst="arc">
          <a:avLst>
            <a:gd name="adj1" fmla="val 14116515"/>
            <a:gd name="adj2" fmla="val 215911"/>
          </a:avLst>
        </a:prstGeom>
        <a:ln w="12700">
          <a:solidFill>
            <a:sysClr val="windowText" lastClr="00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42</xdr:col>
      <xdr:colOff>84665</xdr:colOff>
      <xdr:row>40</xdr:row>
      <xdr:rowOff>116412</xdr:rowOff>
    </xdr:from>
    <xdr:to>
      <xdr:col>43</xdr:col>
      <xdr:colOff>210819</xdr:colOff>
      <xdr:row>40</xdr:row>
      <xdr:rowOff>116412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CxnSpPr/>
      </xdr:nvCxnSpPr>
      <xdr:spPr>
        <a:xfrm>
          <a:off x="25687865" y="6593412"/>
          <a:ext cx="735754" cy="0"/>
        </a:xfrm>
        <a:prstGeom prst="straightConnector1">
          <a:avLst/>
        </a:prstGeom>
        <a:ln w="127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63499</xdr:colOff>
      <xdr:row>41</xdr:row>
      <xdr:rowOff>31752</xdr:rowOff>
    </xdr:from>
    <xdr:to>
      <xdr:col>42</xdr:col>
      <xdr:colOff>63499</xdr:colOff>
      <xdr:row>42</xdr:row>
      <xdr:rowOff>116418</xdr:rowOff>
    </xdr:to>
    <xdr:cxnSp macro="">
      <xdr:nvCxnSpPr>
        <xdr:cNvPr id="135" name="Straight Connector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CxnSpPr/>
      </xdr:nvCxnSpPr>
      <xdr:spPr>
        <a:xfrm flipV="1">
          <a:off x="25666699" y="6670677"/>
          <a:ext cx="0" cy="246591"/>
        </a:xfrm>
        <a:prstGeom prst="line">
          <a:avLst/>
        </a:prstGeom>
        <a:ln w="12700">
          <a:solidFill>
            <a:sysClr val="windowText" lastClr="00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123825</xdr:colOff>
      <xdr:row>39</xdr:row>
      <xdr:rowOff>207723</xdr:rowOff>
    </xdr:from>
    <xdr:to>
      <xdr:col>22</xdr:col>
      <xdr:colOff>123825</xdr:colOff>
      <xdr:row>41</xdr:row>
      <xdr:rowOff>13230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CxnSpPr/>
      </xdr:nvCxnSpPr>
      <xdr:spPr>
        <a:xfrm flipV="1">
          <a:off x="13535025" y="6475173"/>
          <a:ext cx="0" cy="176982"/>
        </a:xfrm>
        <a:prstGeom prst="line">
          <a:avLst/>
        </a:prstGeom>
        <a:ln>
          <a:solidFill>
            <a:schemeClr val="tx1"/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96308</xdr:colOff>
      <xdr:row>15</xdr:row>
      <xdr:rowOff>104773</xdr:rowOff>
    </xdr:from>
    <xdr:to>
      <xdr:col>13</xdr:col>
      <xdr:colOff>166793</xdr:colOff>
      <xdr:row>15</xdr:row>
      <xdr:rowOff>104773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CxnSpPr/>
      </xdr:nvCxnSpPr>
      <xdr:spPr>
        <a:xfrm>
          <a:off x="7411508" y="2533648"/>
          <a:ext cx="680085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126999</xdr:colOff>
      <xdr:row>10</xdr:row>
      <xdr:rowOff>115357</xdr:rowOff>
    </xdr:from>
    <xdr:to>
      <xdr:col>13</xdr:col>
      <xdr:colOff>13038</xdr:colOff>
      <xdr:row>10</xdr:row>
      <xdr:rowOff>115357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CxnSpPr/>
      </xdr:nvCxnSpPr>
      <xdr:spPr>
        <a:xfrm flipH="1" flipV="1">
          <a:off x="7442199" y="1734607"/>
          <a:ext cx="495639" cy="0"/>
        </a:xfrm>
        <a:prstGeom prst="line">
          <a:avLst/>
        </a:prstGeom>
        <a:ln>
          <a:solidFill>
            <a:schemeClr val="tx1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94194</xdr:colOff>
      <xdr:row>13</xdr:row>
      <xdr:rowOff>211665</xdr:rowOff>
    </xdr:from>
    <xdr:to>
      <xdr:col>4</xdr:col>
      <xdr:colOff>94194</xdr:colOff>
      <xdr:row>14</xdr:row>
      <xdr:rowOff>182878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CxnSpPr/>
      </xdr:nvCxnSpPr>
      <xdr:spPr>
        <a:xfrm>
          <a:off x="2532594" y="2269065"/>
          <a:ext cx="0" cy="161713"/>
        </a:xfrm>
        <a:prstGeom prst="line">
          <a:avLst/>
        </a:prstGeom>
        <a:ln>
          <a:solidFill>
            <a:schemeClr val="tx1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94194</xdr:colOff>
      <xdr:row>16</xdr:row>
      <xdr:rowOff>21165</xdr:rowOff>
    </xdr:from>
    <xdr:to>
      <xdr:col>4</xdr:col>
      <xdr:colOff>94194</xdr:colOff>
      <xdr:row>16</xdr:row>
      <xdr:rowOff>204045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CxnSpPr/>
      </xdr:nvCxnSpPr>
      <xdr:spPr>
        <a:xfrm flipV="1">
          <a:off x="2532594" y="2611965"/>
          <a:ext cx="0" cy="144780"/>
        </a:xfrm>
        <a:prstGeom prst="line">
          <a:avLst/>
        </a:prstGeom>
        <a:ln>
          <a:solidFill>
            <a:schemeClr val="tx1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6</xdr:row>
      <xdr:rowOff>94195</xdr:rowOff>
    </xdr:from>
    <xdr:to>
      <xdr:col>21</xdr:col>
      <xdr:colOff>137160</xdr:colOff>
      <xdr:row>6</xdr:row>
      <xdr:rowOff>94195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>
          <a:off x="12192000" y="1065745"/>
          <a:ext cx="746760" cy="0"/>
        </a:xfrm>
        <a:prstGeom prst="line">
          <a:avLst/>
        </a:prstGeom>
        <a:ln>
          <a:solidFill>
            <a:schemeClr val="tx1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85725</xdr:colOff>
      <xdr:row>6</xdr:row>
      <xdr:rowOff>94195</xdr:rowOff>
    </xdr:from>
    <xdr:to>
      <xdr:col>25</xdr:col>
      <xdr:colOff>8043</xdr:colOff>
      <xdr:row>6</xdr:row>
      <xdr:rowOff>94195</xdr:rowOff>
    </xdr:to>
    <xdr:cxnSp macro="">
      <xdr:nvCxnSpPr>
        <xdr:cNvPr id="142" name="Straight Connector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CxnSpPr/>
      </xdr:nvCxnSpPr>
      <xdr:spPr>
        <a:xfrm>
          <a:off x="14106525" y="1065745"/>
          <a:ext cx="1141518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6</xdr:row>
      <xdr:rowOff>94195</xdr:rowOff>
    </xdr:from>
    <xdr:to>
      <xdr:col>27</xdr:col>
      <xdr:colOff>137160</xdr:colOff>
      <xdr:row>6</xdr:row>
      <xdr:rowOff>94195</xdr:rowOff>
    </xdr:to>
    <xdr:cxnSp macro="">
      <xdr:nvCxnSpPr>
        <xdr:cNvPr id="143" name="Straight Connector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CxnSpPr/>
      </xdr:nvCxnSpPr>
      <xdr:spPr>
        <a:xfrm>
          <a:off x="15849600" y="1065745"/>
          <a:ext cx="746760" cy="0"/>
        </a:xfrm>
        <a:prstGeom prst="line">
          <a:avLst/>
        </a:prstGeom>
        <a:ln>
          <a:solidFill>
            <a:schemeClr val="tx1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85725</xdr:colOff>
      <xdr:row>6</xdr:row>
      <xdr:rowOff>94195</xdr:rowOff>
    </xdr:from>
    <xdr:to>
      <xdr:col>31</xdr:col>
      <xdr:colOff>8043</xdr:colOff>
      <xdr:row>6</xdr:row>
      <xdr:rowOff>94195</xdr:rowOff>
    </xdr:to>
    <xdr:cxnSp macro="">
      <xdr:nvCxnSpPr>
        <xdr:cNvPr id="144" name="Straight Connector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>
          <a:off x="17764125" y="1065745"/>
          <a:ext cx="1141518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6</xdr:row>
      <xdr:rowOff>94195</xdr:rowOff>
    </xdr:from>
    <xdr:to>
      <xdr:col>33</xdr:col>
      <xdr:colOff>137160</xdr:colOff>
      <xdr:row>6</xdr:row>
      <xdr:rowOff>94195</xdr:rowOff>
    </xdr:to>
    <xdr:cxnSp macro="">
      <xdr:nvCxnSpPr>
        <xdr:cNvPr id="145" name="Straight Connector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CxnSpPr/>
      </xdr:nvCxnSpPr>
      <xdr:spPr>
        <a:xfrm>
          <a:off x="19507200" y="1065745"/>
          <a:ext cx="746760" cy="0"/>
        </a:xfrm>
        <a:prstGeom prst="line">
          <a:avLst/>
        </a:prstGeom>
        <a:ln>
          <a:solidFill>
            <a:schemeClr val="tx1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85725</xdr:colOff>
      <xdr:row>6</xdr:row>
      <xdr:rowOff>94195</xdr:rowOff>
    </xdr:from>
    <xdr:to>
      <xdr:col>37</xdr:col>
      <xdr:colOff>8043</xdr:colOff>
      <xdr:row>6</xdr:row>
      <xdr:rowOff>94195</xdr:rowOff>
    </xdr:to>
    <xdr:cxnSp macro="">
      <xdr:nvCxnSpPr>
        <xdr:cNvPr id="146" name="Straight Connector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>
          <a:off x="21421725" y="1065745"/>
          <a:ext cx="1141518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6</xdr:row>
      <xdr:rowOff>94195</xdr:rowOff>
    </xdr:from>
    <xdr:to>
      <xdr:col>39</xdr:col>
      <xdr:colOff>137160</xdr:colOff>
      <xdr:row>6</xdr:row>
      <xdr:rowOff>94195</xdr:rowOff>
    </xdr:to>
    <xdr:cxnSp macro="">
      <xdr:nvCxnSpPr>
        <xdr:cNvPr id="147" name="Straight Connector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CxnSpPr/>
      </xdr:nvCxnSpPr>
      <xdr:spPr>
        <a:xfrm>
          <a:off x="23164800" y="1065745"/>
          <a:ext cx="746760" cy="0"/>
        </a:xfrm>
        <a:prstGeom prst="line">
          <a:avLst/>
        </a:prstGeom>
        <a:ln>
          <a:solidFill>
            <a:schemeClr val="tx1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6</xdr:row>
      <xdr:rowOff>94195</xdr:rowOff>
    </xdr:from>
    <xdr:to>
      <xdr:col>43</xdr:col>
      <xdr:colOff>8043</xdr:colOff>
      <xdr:row>6</xdr:row>
      <xdr:rowOff>94195</xdr:rowOff>
    </xdr:to>
    <xdr:cxnSp macro="">
      <xdr:nvCxnSpPr>
        <xdr:cNvPr id="148" name="Straight Connector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CxnSpPr/>
      </xdr:nvCxnSpPr>
      <xdr:spPr>
        <a:xfrm>
          <a:off x="25079325" y="1065745"/>
          <a:ext cx="1141518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0</xdr:colOff>
      <xdr:row>6</xdr:row>
      <xdr:rowOff>94195</xdr:rowOff>
    </xdr:from>
    <xdr:to>
      <xdr:col>45</xdr:col>
      <xdr:colOff>137160</xdr:colOff>
      <xdr:row>6</xdr:row>
      <xdr:rowOff>94195</xdr:rowOff>
    </xdr:to>
    <xdr:cxnSp macro="">
      <xdr:nvCxnSpPr>
        <xdr:cNvPr id="149" name="Straight Connector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CxnSpPr/>
      </xdr:nvCxnSpPr>
      <xdr:spPr>
        <a:xfrm>
          <a:off x="26822400" y="1065745"/>
          <a:ext cx="746760" cy="0"/>
        </a:xfrm>
        <a:prstGeom prst="line">
          <a:avLst/>
        </a:prstGeom>
        <a:ln>
          <a:solidFill>
            <a:schemeClr val="tx1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85725</xdr:colOff>
      <xdr:row>6</xdr:row>
      <xdr:rowOff>94195</xdr:rowOff>
    </xdr:from>
    <xdr:to>
      <xdr:col>49</xdr:col>
      <xdr:colOff>8043</xdr:colOff>
      <xdr:row>6</xdr:row>
      <xdr:rowOff>94195</xdr:rowOff>
    </xdr:to>
    <xdr:cxnSp macro="">
      <xdr:nvCxnSpPr>
        <xdr:cNvPr id="150" name="Straight Connector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CxnSpPr/>
      </xdr:nvCxnSpPr>
      <xdr:spPr>
        <a:xfrm>
          <a:off x="28736925" y="1065745"/>
          <a:ext cx="1141518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0</xdr:colOff>
      <xdr:row>6</xdr:row>
      <xdr:rowOff>94195</xdr:rowOff>
    </xdr:from>
    <xdr:to>
      <xdr:col>51</xdr:col>
      <xdr:colOff>137160</xdr:colOff>
      <xdr:row>6</xdr:row>
      <xdr:rowOff>94195</xdr:rowOff>
    </xdr:to>
    <xdr:cxnSp macro="">
      <xdr:nvCxnSpPr>
        <xdr:cNvPr id="151" name="Straight Connector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CxnSpPr/>
      </xdr:nvCxnSpPr>
      <xdr:spPr>
        <a:xfrm>
          <a:off x="30480000" y="1065745"/>
          <a:ext cx="746760" cy="0"/>
        </a:xfrm>
        <a:prstGeom prst="line">
          <a:avLst/>
        </a:prstGeom>
        <a:ln>
          <a:solidFill>
            <a:schemeClr val="tx1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85725</xdr:colOff>
      <xdr:row>6</xdr:row>
      <xdr:rowOff>94195</xdr:rowOff>
    </xdr:from>
    <xdr:to>
      <xdr:col>55</xdr:col>
      <xdr:colOff>8043</xdr:colOff>
      <xdr:row>6</xdr:row>
      <xdr:rowOff>94195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CxnSpPr/>
      </xdr:nvCxnSpPr>
      <xdr:spPr>
        <a:xfrm>
          <a:off x="32394525" y="1065745"/>
          <a:ext cx="1141518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6</xdr:row>
      <xdr:rowOff>94195</xdr:rowOff>
    </xdr:from>
    <xdr:to>
      <xdr:col>57</xdr:col>
      <xdr:colOff>137160</xdr:colOff>
      <xdr:row>6</xdr:row>
      <xdr:rowOff>94195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CxnSpPr/>
      </xdr:nvCxnSpPr>
      <xdr:spPr>
        <a:xfrm>
          <a:off x="34137600" y="1065745"/>
          <a:ext cx="746760" cy="0"/>
        </a:xfrm>
        <a:prstGeom prst="line">
          <a:avLst/>
        </a:prstGeom>
        <a:ln>
          <a:solidFill>
            <a:schemeClr val="tx1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85725</xdr:colOff>
      <xdr:row>6</xdr:row>
      <xdr:rowOff>94195</xdr:rowOff>
    </xdr:from>
    <xdr:to>
      <xdr:col>61</xdr:col>
      <xdr:colOff>8043</xdr:colOff>
      <xdr:row>6</xdr:row>
      <xdr:rowOff>94195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CxnSpPr/>
      </xdr:nvCxnSpPr>
      <xdr:spPr>
        <a:xfrm>
          <a:off x="36052125" y="1065745"/>
          <a:ext cx="1141518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222250</xdr:colOff>
      <xdr:row>10</xdr:row>
      <xdr:rowOff>115357</xdr:rowOff>
    </xdr:from>
    <xdr:to>
      <xdr:col>11</xdr:col>
      <xdr:colOff>108288</xdr:colOff>
      <xdr:row>10</xdr:row>
      <xdr:rowOff>115357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CxnSpPr/>
      </xdr:nvCxnSpPr>
      <xdr:spPr>
        <a:xfrm flipV="1">
          <a:off x="6318250" y="1734607"/>
          <a:ext cx="495638" cy="0"/>
        </a:xfrm>
        <a:prstGeom prst="line">
          <a:avLst/>
        </a:prstGeom>
        <a:ln>
          <a:solidFill>
            <a:schemeClr val="tx1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82551</xdr:colOff>
      <xdr:row>37</xdr:row>
      <xdr:rowOff>0</xdr:rowOff>
    </xdr:from>
    <xdr:to>
      <xdr:col>6</xdr:col>
      <xdr:colOff>82551</xdr:colOff>
      <xdr:row>37</xdr:row>
      <xdr:rowOff>142875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CxnSpPr/>
      </xdr:nvCxnSpPr>
      <xdr:spPr>
        <a:xfrm>
          <a:off x="3740151" y="5991225"/>
          <a:ext cx="0" cy="142875"/>
        </a:xfrm>
        <a:prstGeom prst="line">
          <a:avLst/>
        </a:prstGeom>
        <a:ln>
          <a:solidFill>
            <a:schemeClr val="tx1"/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82551</xdr:colOff>
      <xdr:row>39</xdr:row>
      <xdr:rowOff>152397</xdr:rowOff>
    </xdr:from>
    <xdr:to>
      <xdr:col>6</xdr:col>
      <xdr:colOff>82551</xdr:colOff>
      <xdr:row>40</xdr:row>
      <xdr:rowOff>9522</xdr:rowOff>
    </xdr:to>
    <xdr:cxnSp macro="">
      <xdr:nvCxnSpPr>
        <xdr:cNvPr id="157" name="Straight Connector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CxnSpPr/>
      </xdr:nvCxnSpPr>
      <xdr:spPr>
        <a:xfrm flipV="1">
          <a:off x="3740151" y="6467472"/>
          <a:ext cx="0" cy="19050"/>
        </a:xfrm>
        <a:prstGeom prst="line">
          <a:avLst/>
        </a:prstGeom>
        <a:ln>
          <a:solidFill>
            <a:schemeClr val="tx1"/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105830</xdr:colOff>
      <xdr:row>42</xdr:row>
      <xdr:rowOff>0</xdr:rowOff>
    </xdr:from>
    <xdr:to>
      <xdr:col>69</xdr:col>
      <xdr:colOff>105830</xdr:colOff>
      <xdr:row>44</xdr:row>
      <xdr:rowOff>65405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CxnSpPr/>
      </xdr:nvCxnSpPr>
      <xdr:spPr>
        <a:xfrm flipV="1">
          <a:off x="42168230" y="6800850"/>
          <a:ext cx="0" cy="389255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109003</xdr:colOff>
      <xdr:row>52</xdr:row>
      <xdr:rowOff>4230</xdr:rowOff>
    </xdr:from>
    <xdr:to>
      <xdr:col>69</xdr:col>
      <xdr:colOff>109003</xdr:colOff>
      <xdr:row>53</xdr:row>
      <xdr:rowOff>13755</xdr:rowOff>
    </xdr:to>
    <xdr:cxnSp macro="">
      <xdr:nvCxnSpPr>
        <xdr:cNvPr id="159" name="Straight Connector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CxnSpPr/>
      </xdr:nvCxnSpPr>
      <xdr:spPr>
        <a:xfrm flipV="1">
          <a:off x="42171403" y="8424330"/>
          <a:ext cx="0" cy="171450"/>
        </a:xfrm>
        <a:prstGeom prst="line">
          <a:avLst/>
        </a:prstGeom>
        <a:ln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109003</xdr:colOff>
      <xdr:row>51</xdr:row>
      <xdr:rowOff>4230</xdr:rowOff>
    </xdr:from>
    <xdr:to>
      <xdr:col>69</xdr:col>
      <xdr:colOff>109003</xdr:colOff>
      <xdr:row>52</xdr:row>
      <xdr:rowOff>4230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CxnSpPr/>
      </xdr:nvCxnSpPr>
      <xdr:spPr>
        <a:xfrm flipV="1">
          <a:off x="42171403" y="8262405"/>
          <a:ext cx="0" cy="161925"/>
        </a:xfrm>
        <a:prstGeom prst="line">
          <a:avLst/>
        </a:prstGeom>
        <a:ln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109003</xdr:colOff>
      <xdr:row>52</xdr:row>
      <xdr:rowOff>194730</xdr:rowOff>
    </xdr:from>
    <xdr:to>
      <xdr:col>69</xdr:col>
      <xdr:colOff>109003</xdr:colOff>
      <xdr:row>54</xdr:row>
      <xdr:rowOff>4230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CxnSpPr/>
      </xdr:nvCxnSpPr>
      <xdr:spPr>
        <a:xfrm flipV="1">
          <a:off x="42171403" y="8586255"/>
          <a:ext cx="0" cy="161925"/>
        </a:xfrm>
        <a:prstGeom prst="line">
          <a:avLst/>
        </a:prstGeom>
        <a:ln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34</xdr:row>
      <xdr:rowOff>105836</xdr:rowOff>
    </xdr:from>
    <xdr:to>
      <xdr:col>24</xdr:col>
      <xdr:colOff>1905</xdr:colOff>
      <xdr:row>34</xdr:row>
      <xdr:rowOff>105836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CxnSpPr/>
      </xdr:nvCxnSpPr>
      <xdr:spPr>
        <a:xfrm>
          <a:off x="14068425" y="5611286"/>
          <a:ext cx="563880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34</xdr:row>
      <xdr:rowOff>105836</xdr:rowOff>
    </xdr:from>
    <xdr:to>
      <xdr:col>21</xdr:col>
      <xdr:colOff>182880</xdr:colOff>
      <xdr:row>34</xdr:row>
      <xdr:rowOff>105836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CxnSpPr/>
      </xdr:nvCxnSpPr>
      <xdr:spPr>
        <a:xfrm>
          <a:off x="12801600" y="5611286"/>
          <a:ext cx="182880" cy="0"/>
        </a:xfrm>
        <a:prstGeom prst="line">
          <a:avLst/>
        </a:prstGeom>
        <a:ln>
          <a:solidFill>
            <a:schemeClr val="tx1"/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47625</xdr:colOff>
      <xdr:row>34</xdr:row>
      <xdr:rowOff>105836</xdr:rowOff>
    </xdr:from>
    <xdr:to>
      <xdr:col>30</xdr:col>
      <xdr:colOff>1905</xdr:colOff>
      <xdr:row>34</xdr:row>
      <xdr:rowOff>105836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CxnSpPr/>
      </xdr:nvCxnSpPr>
      <xdr:spPr>
        <a:xfrm>
          <a:off x="17726025" y="5611286"/>
          <a:ext cx="563880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34</xdr:row>
      <xdr:rowOff>105836</xdr:rowOff>
    </xdr:from>
    <xdr:to>
      <xdr:col>27</xdr:col>
      <xdr:colOff>182880</xdr:colOff>
      <xdr:row>34</xdr:row>
      <xdr:rowOff>105836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CxnSpPr/>
      </xdr:nvCxnSpPr>
      <xdr:spPr>
        <a:xfrm>
          <a:off x="16459200" y="5611286"/>
          <a:ext cx="182880" cy="0"/>
        </a:xfrm>
        <a:prstGeom prst="line">
          <a:avLst/>
        </a:prstGeom>
        <a:ln>
          <a:solidFill>
            <a:schemeClr val="tx1"/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47625</xdr:colOff>
      <xdr:row>34</xdr:row>
      <xdr:rowOff>105836</xdr:rowOff>
    </xdr:from>
    <xdr:to>
      <xdr:col>36</xdr:col>
      <xdr:colOff>1905</xdr:colOff>
      <xdr:row>34</xdr:row>
      <xdr:rowOff>105836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CxnSpPr/>
      </xdr:nvCxnSpPr>
      <xdr:spPr>
        <a:xfrm>
          <a:off x="21383625" y="5611286"/>
          <a:ext cx="563880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34</xdr:row>
      <xdr:rowOff>105836</xdr:rowOff>
    </xdr:from>
    <xdr:to>
      <xdr:col>33</xdr:col>
      <xdr:colOff>182880</xdr:colOff>
      <xdr:row>34</xdr:row>
      <xdr:rowOff>105836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CxnSpPr/>
      </xdr:nvCxnSpPr>
      <xdr:spPr>
        <a:xfrm>
          <a:off x="20116800" y="5611286"/>
          <a:ext cx="182880" cy="0"/>
        </a:xfrm>
        <a:prstGeom prst="line">
          <a:avLst/>
        </a:prstGeom>
        <a:ln>
          <a:solidFill>
            <a:schemeClr val="tx1"/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47625</xdr:colOff>
      <xdr:row>34</xdr:row>
      <xdr:rowOff>105836</xdr:rowOff>
    </xdr:from>
    <xdr:to>
      <xdr:col>42</xdr:col>
      <xdr:colOff>1905</xdr:colOff>
      <xdr:row>34</xdr:row>
      <xdr:rowOff>105836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CxnSpPr/>
      </xdr:nvCxnSpPr>
      <xdr:spPr>
        <a:xfrm>
          <a:off x="25041225" y="5611286"/>
          <a:ext cx="563880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34</xdr:row>
      <xdr:rowOff>105836</xdr:rowOff>
    </xdr:from>
    <xdr:to>
      <xdr:col>39</xdr:col>
      <xdr:colOff>182880</xdr:colOff>
      <xdr:row>34</xdr:row>
      <xdr:rowOff>105836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CxnSpPr/>
      </xdr:nvCxnSpPr>
      <xdr:spPr>
        <a:xfrm>
          <a:off x="23774400" y="5611286"/>
          <a:ext cx="182880" cy="0"/>
        </a:xfrm>
        <a:prstGeom prst="line">
          <a:avLst/>
        </a:prstGeom>
        <a:ln>
          <a:solidFill>
            <a:schemeClr val="tx1"/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47625</xdr:colOff>
      <xdr:row>34</xdr:row>
      <xdr:rowOff>105836</xdr:rowOff>
    </xdr:from>
    <xdr:to>
      <xdr:col>48</xdr:col>
      <xdr:colOff>1905</xdr:colOff>
      <xdr:row>34</xdr:row>
      <xdr:rowOff>105836</xdr:rowOff>
    </xdr:to>
    <xdr:cxnSp macro="">
      <xdr:nvCxnSpPr>
        <xdr:cNvPr id="170" name="Straight Connector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CxnSpPr/>
      </xdr:nvCxnSpPr>
      <xdr:spPr>
        <a:xfrm>
          <a:off x="28698825" y="5611286"/>
          <a:ext cx="563880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34</xdr:row>
      <xdr:rowOff>105836</xdr:rowOff>
    </xdr:from>
    <xdr:to>
      <xdr:col>45</xdr:col>
      <xdr:colOff>182880</xdr:colOff>
      <xdr:row>34</xdr:row>
      <xdr:rowOff>105836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CxnSpPr/>
      </xdr:nvCxnSpPr>
      <xdr:spPr>
        <a:xfrm>
          <a:off x="27432000" y="5611286"/>
          <a:ext cx="182880" cy="0"/>
        </a:xfrm>
        <a:prstGeom prst="line">
          <a:avLst/>
        </a:prstGeom>
        <a:ln>
          <a:solidFill>
            <a:schemeClr val="tx1"/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47625</xdr:colOff>
      <xdr:row>34</xdr:row>
      <xdr:rowOff>105836</xdr:rowOff>
    </xdr:from>
    <xdr:to>
      <xdr:col>54</xdr:col>
      <xdr:colOff>1905</xdr:colOff>
      <xdr:row>34</xdr:row>
      <xdr:rowOff>105836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CxnSpPr/>
      </xdr:nvCxnSpPr>
      <xdr:spPr>
        <a:xfrm>
          <a:off x="32356425" y="5611286"/>
          <a:ext cx="563880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0</xdr:colOff>
      <xdr:row>34</xdr:row>
      <xdr:rowOff>105836</xdr:rowOff>
    </xdr:from>
    <xdr:to>
      <xdr:col>51</xdr:col>
      <xdr:colOff>182880</xdr:colOff>
      <xdr:row>34</xdr:row>
      <xdr:rowOff>105836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CxnSpPr/>
      </xdr:nvCxnSpPr>
      <xdr:spPr>
        <a:xfrm>
          <a:off x="31089600" y="5611286"/>
          <a:ext cx="182880" cy="0"/>
        </a:xfrm>
        <a:prstGeom prst="line">
          <a:avLst/>
        </a:prstGeom>
        <a:ln>
          <a:solidFill>
            <a:schemeClr val="tx1"/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47625</xdr:colOff>
      <xdr:row>34</xdr:row>
      <xdr:rowOff>105836</xdr:rowOff>
    </xdr:from>
    <xdr:to>
      <xdr:col>60</xdr:col>
      <xdr:colOff>1905</xdr:colOff>
      <xdr:row>34</xdr:row>
      <xdr:rowOff>105836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CxnSpPr/>
      </xdr:nvCxnSpPr>
      <xdr:spPr>
        <a:xfrm>
          <a:off x="36014025" y="5611286"/>
          <a:ext cx="563880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0</xdr:colOff>
      <xdr:row>34</xdr:row>
      <xdr:rowOff>105836</xdr:rowOff>
    </xdr:from>
    <xdr:to>
      <xdr:col>57</xdr:col>
      <xdr:colOff>182880</xdr:colOff>
      <xdr:row>34</xdr:row>
      <xdr:rowOff>105836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CxnSpPr/>
      </xdr:nvCxnSpPr>
      <xdr:spPr>
        <a:xfrm>
          <a:off x="34747200" y="5611286"/>
          <a:ext cx="182880" cy="0"/>
        </a:xfrm>
        <a:prstGeom prst="line">
          <a:avLst/>
        </a:prstGeom>
        <a:ln>
          <a:solidFill>
            <a:schemeClr val="tx1"/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105830</xdr:colOff>
      <xdr:row>36</xdr:row>
      <xdr:rowOff>179918</xdr:rowOff>
    </xdr:from>
    <xdr:to>
      <xdr:col>69</xdr:col>
      <xdr:colOff>105830</xdr:colOff>
      <xdr:row>38</xdr:row>
      <xdr:rowOff>105834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CxnSpPr/>
      </xdr:nvCxnSpPr>
      <xdr:spPr>
        <a:xfrm flipV="1">
          <a:off x="42168230" y="5990168"/>
          <a:ext cx="0" cy="268816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105830</xdr:colOff>
      <xdr:row>40</xdr:row>
      <xdr:rowOff>74083</xdr:rowOff>
    </xdr:from>
    <xdr:to>
      <xdr:col>69</xdr:col>
      <xdr:colOff>105830</xdr:colOff>
      <xdr:row>41</xdr:row>
      <xdr:rowOff>201082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CxnSpPr/>
      </xdr:nvCxnSpPr>
      <xdr:spPr>
        <a:xfrm>
          <a:off x="42168230" y="6551083"/>
          <a:ext cx="0" cy="250824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109003</xdr:colOff>
      <xdr:row>35</xdr:row>
      <xdr:rowOff>184146</xdr:rowOff>
    </xdr:from>
    <xdr:to>
      <xdr:col>69</xdr:col>
      <xdr:colOff>109003</xdr:colOff>
      <xdr:row>37</xdr:row>
      <xdr:rowOff>3171</xdr:rowOff>
    </xdr:to>
    <xdr:cxnSp macro="">
      <xdr:nvCxnSpPr>
        <xdr:cNvPr id="178" name="Straight Connector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CxnSpPr/>
      </xdr:nvCxnSpPr>
      <xdr:spPr>
        <a:xfrm flipV="1">
          <a:off x="42171403" y="5832471"/>
          <a:ext cx="0" cy="161925"/>
        </a:xfrm>
        <a:prstGeom prst="line">
          <a:avLst/>
        </a:prstGeom>
        <a:ln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31751</xdr:colOff>
      <xdr:row>33</xdr:row>
      <xdr:rowOff>127000</xdr:rowOff>
    </xdr:from>
    <xdr:to>
      <xdr:col>15</xdr:col>
      <xdr:colOff>211667</xdr:colOff>
      <xdr:row>36</xdr:row>
      <xdr:rowOff>84666</xdr:rowOff>
    </xdr:to>
    <xdr:cxnSp macro="">
      <xdr:nvCxnSpPr>
        <xdr:cNvPr id="179" name="Straight Connector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CxnSpPr/>
      </xdr:nvCxnSpPr>
      <xdr:spPr>
        <a:xfrm>
          <a:off x="7346951" y="5470525"/>
          <a:ext cx="2008716" cy="443441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85721</xdr:colOff>
      <xdr:row>40</xdr:row>
      <xdr:rowOff>4230</xdr:rowOff>
    </xdr:from>
    <xdr:to>
      <xdr:col>6</xdr:col>
      <xdr:colOff>85721</xdr:colOff>
      <xdr:row>41</xdr:row>
      <xdr:rowOff>13755</xdr:rowOff>
    </xdr:to>
    <xdr:cxnSp macro="">
      <xdr:nvCxnSpPr>
        <xdr:cNvPr id="180" name="Straight Connector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CxnSpPr/>
      </xdr:nvCxnSpPr>
      <xdr:spPr>
        <a:xfrm flipV="1">
          <a:off x="3743321" y="6481230"/>
          <a:ext cx="0" cy="171450"/>
        </a:xfrm>
        <a:prstGeom prst="line">
          <a:avLst/>
        </a:prstGeom>
        <a:ln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85721</xdr:colOff>
      <xdr:row>40</xdr:row>
      <xdr:rowOff>205313</xdr:rowOff>
    </xdr:from>
    <xdr:to>
      <xdr:col>6</xdr:col>
      <xdr:colOff>85721</xdr:colOff>
      <xdr:row>42</xdr:row>
      <xdr:rowOff>14813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CxnSpPr/>
      </xdr:nvCxnSpPr>
      <xdr:spPr>
        <a:xfrm flipV="1">
          <a:off x="3743321" y="6634688"/>
          <a:ext cx="0" cy="180975"/>
        </a:xfrm>
        <a:prstGeom prst="line">
          <a:avLst/>
        </a:prstGeom>
        <a:ln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103717</xdr:colOff>
      <xdr:row>39</xdr:row>
      <xdr:rowOff>285745</xdr:rowOff>
    </xdr:from>
    <xdr:to>
      <xdr:col>3</xdr:col>
      <xdr:colOff>103717</xdr:colOff>
      <xdr:row>43</xdr:row>
      <xdr:rowOff>127000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CxnSpPr/>
      </xdr:nvCxnSpPr>
      <xdr:spPr>
        <a:xfrm>
          <a:off x="1932517" y="6476995"/>
          <a:ext cx="0" cy="612780"/>
        </a:xfrm>
        <a:prstGeom prst="line">
          <a:avLst/>
        </a:prstGeom>
        <a:ln>
          <a:solidFill>
            <a:schemeClr val="tx1"/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103717</xdr:colOff>
      <xdr:row>46</xdr:row>
      <xdr:rowOff>37799</xdr:rowOff>
    </xdr:from>
    <xdr:to>
      <xdr:col>3</xdr:col>
      <xdr:colOff>103717</xdr:colOff>
      <xdr:row>50</xdr:row>
      <xdr:rowOff>190199</xdr:rowOff>
    </xdr:to>
    <xdr:cxnSp macro="">
      <xdr:nvCxnSpPr>
        <xdr:cNvPr id="183" name="Straight Connector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CxnSpPr/>
      </xdr:nvCxnSpPr>
      <xdr:spPr>
        <a:xfrm flipV="1">
          <a:off x="1932517" y="7486349"/>
          <a:ext cx="0" cy="771525"/>
        </a:xfrm>
        <a:prstGeom prst="line">
          <a:avLst/>
        </a:prstGeom>
        <a:ln>
          <a:solidFill>
            <a:schemeClr val="tx1"/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115360</xdr:colOff>
      <xdr:row>12</xdr:row>
      <xdr:rowOff>211665</xdr:rowOff>
    </xdr:from>
    <xdr:to>
      <xdr:col>16</xdr:col>
      <xdr:colOff>115360</xdr:colOff>
      <xdr:row>14</xdr:row>
      <xdr:rowOff>116417</xdr:rowOff>
    </xdr:to>
    <xdr:cxnSp macro="">
      <xdr:nvCxnSpPr>
        <xdr:cNvPr id="184" name="Straight Connector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CxnSpPr/>
      </xdr:nvCxnSpPr>
      <xdr:spPr>
        <a:xfrm>
          <a:off x="9868960" y="2107140"/>
          <a:ext cx="0" cy="276227"/>
        </a:xfrm>
        <a:prstGeom prst="line">
          <a:avLst/>
        </a:prstGeom>
        <a:ln>
          <a:solidFill>
            <a:schemeClr val="tx1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115360</xdr:colOff>
      <xdr:row>16</xdr:row>
      <xdr:rowOff>105834</xdr:rowOff>
    </xdr:from>
    <xdr:to>
      <xdr:col>16</xdr:col>
      <xdr:colOff>115360</xdr:colOff>
      <xdr:row>17</xdr:row>
      <xdr:rowOff>204044</xdr:rowOff>
    </xdr:to>
    <xdr:cxnSp macro="">
      <xdr:nvCxnSpPr>
        <xdr:cNvPr id="185" name="Straight Connector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CxnSpPr/>
      </xdr:nvCxnSpPr>
      <xdr:spPr>
        <a:xfrm flipV="1">
          <a:off x="9868960" y="2696634"/>
          <a:ext cx="0" cy="222035"/>
        </a:xfrm>
        <a:prstGeom prst="line">
          <a:avLst/>
        </a:prstGeom>
        <a:ln>
          <a:solidFill>
            <a:schemeClr val="tx1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106892</xdr:colOff>
      <xdr:row>15</xdr:row>
      <xdr:rowOff>104773</xdr:rowOff>
    </xdr:from>
    <xdr:to>
      <xdr:col>62</xdr:col>
      <xdr:colOff>198543</xdr:colOff>
      <xdr:row>15</xdr:row>
      <xdr:rowOff>104773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CxnSpPr/>
      </xdr:nvCxnSpPr>
      <xdr:spPr>
        <a:xfrm>
          <a:off x="37292492" y="2533648"/>
          <a:ext cx="701251" cy="0"/>
        </a:xfrm>
        <a:prstGeom prst="line">
          <a:avLst/>
        </a:prstGeom>
        <a:ln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15783</xdr:colOff>
      <xdr:row>39</xdr:row>
      <xdr:rowOff>215661</xdr:rowOff>
    </xdr:from>
    <xdr:to>
      <xdr:col>17</xdr:col>
      <xdr:colOff>212803</xdr:colOff>
      <xdr:row>41</xdr:row>
      <xdr:rowOff>2256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/>
      </xdr:nvSpPr>
      <xdr:spPr>
        <a:xfrm>
          <a:off x="9159783" y="6473586"/>
          <a:ext cx="1416220" cy="167595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Scum</a:t>
          </a:r>
        </a:p>
      </xdr:txBody>
    </xdr:sp>
    <xdr:clientData/>
  </xdr:twoCellAnchor>
  <xdr:twoCellAnchor>
    <xdr:from>
      <xdr:col>30</xdr:col>
      <xdr:colOff>104233</xdr:colOff>
      <xdr:row>40</xdr:row>
      <xdr:rowOff>116412</xdr:rowOff>
    </xdr:from>
    <xdr:to>
      <xdr:col>32</xdr:col>
      <xdr:colOff>23711</xdr:colOff>
      <xdr:row>40</xdr:row>
      <xdr:rowOff>116412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CxnSpPr/>
      </xdr:nvCxnSpPr>
      <xdr:spPr>
        <a:xfrm>
          <a:off x="18392233" y="6593412"/>
          <a:ext cx="1138678" cy="0"/>
        </a:xfrm>
        <a:prstGeom prst="straightConnector1">
          <a:avLst/>
        </a:prstGeom>
        <a:ln w="127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15875</xdr:colOff>
      <xdr:row>39</xdr:row>
      <xdr:rowOff>158001</xdr:rowOff>
    </xdr:from>
    <xdr:to>
      <xdr:col>23</xdr:col>
      <xdr:colOff>218282</xdr:colOff>
      <xdr:row>40</xdr:row>
      <xdr:rowOff>22941</xdr:rowOff>
    </xdr:to>
    <xdr:sp macro="" textlink="">
      <xdr:nvSpPr>
        <xdr:cNvPr id="189" name="Freeform 188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SpPr/>
      </xdr:nvSpPr>
      <xdr:spPr>
        <a:xfrm>
          <a:off x="12817475" y="6473076"/>
          <a:ext cx="1421607" cy="26865"/>
        </a:xfrm>
        <a:custGeom>
          <a:avLst/>
          <a:gdLst>
            <a:gd name="connsiteX0" fmla="*/ 1629 w 666832"/>
            <a:gd name="connsiteY0" fmla="*/ 119291 h 138341"/>
            <a:gd name="connsiteX1" fmla="*/ 4804 w 666832"/>
            <a:gd name="connsiteY1" fmla="*/ 93891 h 138341"/>
            <a:gd name="connsiteX2" fmla="*/ 20679 w 666832"/>
            <a:gd name="connsiteY2" fmla="*/ 24041 h 138341"/>
            <a:gd name="connsiteX3" fmla="*/ 46079 w 666832"/>
            <a:gd name="connsiteY3" fmla="*/ 27216 h 138341"/>
            <a:gd name="connsiteX4" fmla="*/ 55604 w 666832"/>
            <a:gd name="connsiteY4" fmla="*/ 33566 h 138341"/>
            <a:gd name="connsiteX5" fmla="*/ 119104 w 666832"/>
            <a:gd name="connsiteY5" fmla="*/ 30391 h 138341"/>
            <a:gd name="connsiteX6" fmla="*/ 141329 w 666832"/>
            <a:gd name="connsiteY6" fmla="*/ 20866 h 138341"/>
            <a:gd name="connsiteX7" fmla="*/ 160379 w 666832"/>
            <a:gd name="connsiteY7" fmla="*/ 17691 h 138341"/>
            <a:gd name="connsiteX8" fmla="*/ 182604 w 666832"/>
            <a:gd name="connsiteY8" fmla="*/ 20866 h 138341"/>
            <a:gd name="connsiteX9" fmla="*/ 195304 w 666832"/>
            <a:gd name="connsiteY9" fmla="*/ 39916 h 138341"/>
            <a:gd name="connsiteX10" fmla="*/ 208004 w 666832"/>
            <a:gd name="connsiteY10" fmla="*/ 52616 h 138341"/>
            <a:gd name="connsiteX11" fmla="*/ 220704 w 666832"/>
            <a:gd name="connsiteY11" fmla="*/ 30391 h 138341"/>
            <a:gd name="connsiteX12" fmla="*/ 230229 w 666832"/>
            <a:gd name="connsiteY12" fmla="*/ 27216 h 138341"/>
            <a:gd name="connsiteX13" fmla="*/ 277854 w 666832"/>
            <a:gd name="connsiteY13" fmla="*/ 20866 h 138341"/>
            <a:gd name="connsiteX14" fmla="*/ 287379 w 666832"/>
            <a:gd name="connsiteY14" fmla="*/ 17691 h 138341"/>
            <a:gd name="connsiteX15" fmla="*/ 296904 w 666832"/>
            <a:gd name="connsiteY15" fmla="*/ 30391 h 138341"/>
            <a:gd name="connsiteX16" fmla="*/ 315954 w 666832"/>
            <a:gd name="connsiteY16" fmla="*/ 39916 h 138341"/>
            <a:gd name="connsiteX17" fmla="*/ 347704 w 666832"/>
            <a:gd name="connsiteY17" fmla="*/ 33566 h 138341"/>
            <a:gd name="connsiteX18" fmla="*/ 373104 w 666832"/>
            <a:gd name="connsiteY18" fmla="*/ 20866 h 138341"/>
            <a:gd name="connsiteX19" fmla="*/ 392154 w 666832"/>
            <a:gd name="connsiteY19" fmla="*/ 14516 h 138341"/>
            <a:gd name="connsiteX20" fmla="*/ 401679 w 666832"/>
            <a:gd name="connsiteY20" fmla="*/ 11341 h 138341"/>
            <a:gd name="connsiteX21" fmla="*/ 563604 w 666832"/>
            <a:gd name="connsiteY21" fmla="*/ 27216 h 138341"/>
            <a:gd name="connsiteX22" fmla="*/ 569954 w 666832"/>
            <a:gd name="connsiteY22" fmla="*/ 39916 h 138341"/>
            <a:gd name="connsiteX23" fmla="*/ 649329 w 666832"/>
            <a:gd name="connsiteY23" fmla="*/ 30391 h 138341"/>
            <a:gd name="connsiteX24" fmla="*/ 658854 w 666832"/>
            <a:gd name="connsiteY24" fmla="*/ 24041 h 138341"/>
            <a:gd name="connsiteX25" fmla="*/ 652504 w 666832"/>
            <a:gd name="connsiteY25" fmla="*/ 33566 h 138341"/>
            <a:gd name="connsiteX26" fmla="*/ 658854 w 666832"/>
            <a:gd name="connsiteY26" fmla="*/ 78016 h 138341"/>
            <a:gd name="connsiteX27" fmla="*/ 665204 w 666832"/>
            <a:gd name="connsiteY27" fmla="*/ 97066 h 138341"/>
            <a:gd name="connsiteX28" fmla="*/ 662029 w 666832"/>
            <a:gd name="connsiteY28" fmla="*/ 128816 h 138341"/>
            <a:gd name="connsiteX29" fmla="*/ 620754 w 666832"/>
            <a:gd name="connsiteY29" fmla="*/ 122466 h 138341"/>
            <a:gd name="connsiteX30" fmla="*/ 608054 w 666832"/>
            <a:gd name="connsiteY30" fmla="*/ 119291 h 138341"/>
            <a:gd name="connsiteX31" fmla="*/ 589004 w 666832"/>
            <a:gd name="connsiteY31" fmla="*/ 116116 h 138341"/>
            <a:gd name="connsiteX32" fmla="*/ 503279 w 666832"/>
            <a:gd name="connsiteY32" fmla="*/ 119291 h 138341"/>
            <a:gd name="connsiteX33" fmla="*/ 493754 w 666832"/>
            <a:gd name="connsiteY33" fmla="*/ 122466 h 138341"/>
            <a:gd name="connsiteX34" fmla="*/ 385804 w 666832"/>
            <a:gd name="connsiteY34" fmla="*/ 125641 h 138341"/>
            <a:gd name="connsiteX35" fmla="*/ 354054 w 666832"/>
            <a:gd name="connsiteY35" fmla="*/ 128816 h 138341"/>
            <a:gd name="connsiteX36" fmla="*/ 290554 w 666832"/>
            <a:gd name="connsiteY36" fmla="*/ 131991 h 138341"/>
            <a:gd name="connsiteX37" fmla="*/ 281029 w 666832"/>
            <a:gd name="connsiteY37" fmla="*/ 135166 h 138341"/>
            <a:gd name="connsiteX38" fmla="*/ 265154 w 666832"/>
            <a:gd name="connsiteY38" fmla="*/ 138341 h 138341"/>
            <a:gd name="connsiteX39" fmla="*/ 33379 w 666832"/>
            <a:gd name="connsiteY39" fmla="*/ 135166 h 138341"/>
            <a:gd name="connsiteX40" fmla="*/ 23854 w 666832"/>
            <a:gd name="connsiteY40" fmla="*/ 131991 h 138341"/>
            <a:gd name="connsiteX41" fmla="*/ 1629 w 666832"/>
            <a:gd name="connsiteY41" fmla="*/ 119291 h 138341"/>
            <a:gd name="connsiteX0" fmla="*/ 1629 w 666832"/>
            <a:gd name="connsiteY0" fmla="*/ 119291 h 138341"/>
            <a:gd name="connsiteX1" fmla="*/ 4804 w 666832"/>
            <a:gd name="connsiteY1" fmla="*/ 93891 h 138341"/>
            <a:gd name="connsiteX2" fmla="*/ 20679 w 666832"/>
            <a:gd name="connsiteY2" fmla="*/ 24041 h 138341"/>
            <a:gd name="connsiteX3" fmla="*/ 46079 w 666832"/>
            <a:gd name="connsiteY3" fmla="*/ 27216 h 138341"/>
            <a:gd name="connsiteX4" fmla="*/ 55604 w 666832"/>
            <a:gd name="connsiteY4" fmla="*/ 33566 h 138341"/>
            <a:gd name="connsiteX5" fmla="*/ 119104 w 666832"/>
            <a:gd name="connsiteY5" fmla="*/ 30391 h 138341"/>
            <a:gd name="connsiteX6" fmla="*/ 141329 w 666832"/>
            <a:gd name="connsiteY6" fmla="*/ 20866 h 138341"/>
            <a:gd name="connsiteX7" fmla="*/ 160379 w 666832"/>
            <a:gd name="connsiteY7" fmla="*/ 17691 h 138341"/>
            <a:gd name="connsiteX8" fmla="*/ 182604 w 666832"/>
            <a:gd name="connsiteY8" fmla="*/ 20866 h 138341"/>
            <a:gd name="connsiteX9" fmla="*/ 195304 w 666832"/>
            <a:gd name="connsiteY9" fmla="*/ 39916 h 138341"/>
            <a:gd name="connsiteX10" fmla="*/ 208004 w 666832"/>
            <a:gd name="connsiteY10" fmla="*/ 52616 h 138341"/>
            <a:gd name="connsiteX11" fmla="*/ 220704 w 666832"/>
            <a:gd name="connsiteY11" fmla="*/ 30391 h 138341"/>
            <a:gd name="connsiteX12" fmla="*/ 230229 w 666832"/>
            <a:gd name="connsiteY12" fmla="*/ 27216 h 138341"/>
            <a:gd name="connsiteX13" fmla="*/ 277854 w 666832"/>
            <a:gd name="connsiteY13" fmla="*/ 20866 h 138341"/>
            <a:gd name="connsiteX14" fmla="*/ 287379 w 666832"/>
            <a:gd name="connsiteY14" fmla="*/ 17691 h 138341"/>
            <a:gd name="connsiteX15" fmla="*/ 296904 w 666832"/>
            <a:gd name="connsiteY15" fmla="*/ 30391 h 138341"/>
            <a:gd name="connsiteX16" fmla="*/ 315954 w 666832"/>
            <a:gd name="connsiteY16" fmla="*/ 39916 h 138341"/>
            <a:gd name="connsiteX17" fmla="*/ 347704 w 666832"/>
            <a:gd name="connsiteY17" fmla="*/ 33566 h 138341"/>
            <a:gd name="connsiteX18" fmla="*/ 373104 w 666832"/>
            <a:gd name="connsiteY18" fmla="*/ 20866 h 138341"/>
            <a:gd name="connsiteX19" fmla="*/ 392154 w 666832"/>
            <a:gd name="connsiteY19" fmla="*/ 14516 h 138341"/>
            <a:gd name="connsiteX20" fmla="*/ 401679 w 666832"/>
            <a:gd name="connsiteY20" fmla="*/ 11341 h 138341"/>
            <a:gd name="connsiteX21" fmla="*/ 563604 w 666832"/>
            <a:gd name="connsiteY21" fmla="*/ 27216 h 138341"/>
            <a:gd name="connsiteX22" fmla="*/ 569954 w 666832"/>
            <a:gd name="connsiteY22" fmla="*/ 39916 h 138341"/>
            <a:gd name="connsiteX23" fmla="*/ 649329 w 666832"/>
            <a:gd name="connsiteY23" fmla="*/ 30391 h 138341"/>
            <a:gd name="connsiteX24" fmla="*/ 658854 w 666832"/>
            <a:gd name="connsiteY24" fmla="*/ 24041 h 138341"/>
            <a:gd name="connsiteX25" fmla="*/ 665204 w 666832"/>
            <a:gd name="connsiteY25" fmla="*/ 41773 h 138341"/>
            <a:gd name="connsiteX26" fmla="*/ 658854 w 666832"/>
            <a:gd name="connsiteY26" fmla="*/ 78016 h 138341"/>
            <a:gd name="connsiteX27" fmla="*/ 665204 w 666832"/>
            <a:gd name="connsiteY27" fmla="*/ 97066 h 138341"/>
            <a:gd name="connsiteX28" fmla="*/ 662029 w 666832"/>
            <a:gd name="connsiteY28" fmla="*/ 128816 h 138341"/>
            <a:gd name="connsiteX29" fmla="*/ 620754 w 666832"/>
            <a:gd name="connsiteY29" fmla="*/ 122466 h 138341"/>
            <a:gd name="connsiteX30" fmla="*/ 608054 w 666832"/>
            <a:gd name="connsiteY30" fmla="*/ 119291 h 138341"/>
            <a:gd name="connsiteX31" fmla="*/ 589004 w 666832"/>
            <a:gd name="connsiteY31" fmla="*/ 116116 h 138341"/>
            <a:gd name="connsiteX32" fmla="*/ 503279 w 666832"/>
            <a:gd name="connsiteY32" fmla="*/ 119291 h 138341"/>
            <a:gd name="connsiteX33" fmla="*/ 493754 w 666832"/>
            <a:gd name="connsiteY33" fmla="*/ 122466 h 138341"/>
            <a:gd name="connsiteX34" fmla="*/ 385804 w 666832"/>
            <a:gd name="connsiteY34" fmla="*/ 125641 h 138341"/>
            <a:gd name="connsiteX35" fmla="*/ 354054 w 666832"/>
            <a:gd name="connsiteY35" fmla="*/ 128816 h 138341"/>
            <a:gd name="connsiteX36" fmla="*/ 290554 w 666832"/>
            <a:gd name="connsiteY36" fmla="*/ 131991 h 138341"/>
            <a:gd name="connsiteX37" fmla="*/ 281029 w 666832"/>
            <a:gd name="connsiteY37" fmla="*/ 135166 h 138341"/>
            <a:gd name="connsiteX38" fmla="*/ 265154 w 666832"/>
            <a:gd name="connsiteY38" fmla="*/ 138341 h 138341"/>
            <a:gd name="connsiteX39" fmla="*/ 33379 w 666832"/>
            <a:gd name="connsiteY39" fmla="*/ 135166 h 138341"/>
            <a:gd name="connsiteX40" fmla="*/ 23854 w 666832"/>
            <a:gd name="connsiteY40" fmla="*/ 131991 h 138341"/>
            <a:gd name="connsiteX41" fmla="*/ 1629 w 666832"/>
            <a:gd name="connsiteY41" fmla="*/ 119291 h 138341"/>
            <a:gd name="connsiteX0" fmla="*/ 1629 w 681079"/>
            <a:gd name="connsiteY0" fmla="*/ 125341 h 144391"/>
            <a:gd name="connsiteX1" fmla="*/ 4804 w 681079"/>
            <a:gd name="connsiteY1" fmla="*/ 99941 h 144391"/>
            <a:gd name="connsiteX2" fmla="*/ 20679 w 681079"/>
            <a:gd name="connsiteY2" fmla="*/ 30091 h 144391"/>
            <a:gd name="connsiteX3" fmla="*/ 46079 w 681079"/>
            <a:gd name="connsiteY3" fmla="*/ 33266 h 144391"/>
            <a:gd name="connsiteX4" fmla="*/ 55604 w 681079"/>
            <a:gd name="connsiteY4" fmla="*/ 39616 h 144391"/>
            <a:gd name="connsiteX5" fmla="*/ 119104 w 681079"/>
            <a:gd name="connsiteY5" fmla="*/ 36441 h 144391"/>
            <a:gd name="connsiteX6" fmla="*/ 141329 w 681079"/>
            <a:gd name="connsiteY6" fmla="*/ 26916 h 144391"/>
            <a:gd name="connsiteX7" fmla="*/ 160379 w 681079"/>
            <a:gd name="connsiteY7" fmla="*/ 23741 h 144391"/>
            <a:gd name="connsiteX8" fmla="*/ 182604 w 681079"/>
            <a:gd name="connsiteY8" fmla="*/ 26916 h 144391"/>
            <a:gd name="connsiteX9" fmla="*/ 195304 w 681079"/>
            <a:gd name="connsiteY9" fmla="*/ 45966 h 144391"/>
            <a:gd name="connsiteX10" fmla="*/ 208004 w 681079"/>
            <a:gd name="connsiteY10" fmla="*/ 58666 h 144391"/>
            <a:gd name="connsiteX11" fmla="*/ 220704 w 681079"/>
            <a:gd name="connsiteY11" fmla="*/ 36441 h 144391"/>
            <a:gd name="connsiteX12" fmla="*/ 230229 w 681079"/>
            <a:gd name="connsiteY12" fmla="*/ 33266 h 144391"/>
            <a:gd name="connsiteX13" fmla="*/ 277854 w 681079"/>
            <a:gd name="connsiteY13" fmla="*/ 26916 h 144391"/>
            <a:gd name="connsiteX14" fmla="*/ 287379 w 681079"/>
            <a:gd name="connsiteY14" fmla="*/ 23741 h 144391"/>
            <a:gd name="connsiteX15" fmla="*/ 296904 w 681079"/>
            <a:gd name="connsiteY15" fmla="*/ 36441 h 144391"/>
            <a:gd name="connsiteX16" fmla="*/ 315954 w 681079"/>
            <a:gd name="connsiteY16" fmla="*/ 45966 h 144391"/>
            <a:gd name="connsiteX17" fmla="*/ 347704 w 681079"/>
            <a:gd name="connsiteY17" fmla="*/ 39616 h 144391"/>
            <a:gd name="connsiteX18" fmla="*/ 373104 w 681079"/>
            <a:gd name="connsiteY18" fmla="*/ 26916 h 144391"/>
            <a:gd name="connsiteX19" fmla="*/ 392154 w 681079"/>
            <a:gd name="connsiteY19" fmla="*/ 20566 h 144391"/>
            <a:gd name="connsiteX20" fmla="*/ 401679 w 681079"/>
            <a:gd name="connsiteY20" fmla="*/ 17391 h 144391"/>
            <a:gd name="connsiteX21" fmla="*/ 563604 w 681079"/>
            <a:gd name="connsiteY21" fmla="*/ 33266 h 144391"/>
            <a:gd name="connsiteX22" fmla="*/ 569954 w 681079"/>
            <a:gd name="connsiteY22" fmla="*/ 45966 h 144391"/>
            <a:gd name="connsiteX23" fmla="*/ 649329 w 681079"/>
            <a:gd name="connsiteY23" fmla="*/ 36441 h 144391"/>
            <a:gd name="connsiteX24" fmla="*/ 681079 w 681079"/>
            <a:gd name="connsiteY24" fmla="*/ 0 h 144391"/>
            <a:gd name="connsiteX25" fmla="*/ 665204 w 681079"/>
            <a:gd name="connsiteY25" fmla="*/ 47823 h 144391"/>
            <a:gd name="connsiteX26" fmla="*/ 658854 w 681079"/>
            <a:gd name="connsiteY26" fmla="*/ 84066 h 144391"/>
            <a:gd name="connsiteX27" fmla="*/ 665204 w 681079"/>
            <a:gd name="connsiteY27" fmla="*/ 103116 h 144391"/>
            <a:gd name="connsiteX28" fmla="*/ 662029 w 681079"/>
            <a:gd name="connsiteY28" fmla="*/ 134866 h 144391"/>
            <a:gd name="connsiteX29" fmla="*/ 620754 w 681079"/>
            <a:gd name="connsiteY29" fmla="*/ 128516 h 144391"/>
            <a:gd name="connsiteX30" fmla="*/ 608054 w 681079"/>
            <a:gd name="connsiteY30" fmla="*/ 125341 h 144391"/>
            <a:gd name="connsiteX31" fmla="*/ 589004 w 681079"/>
            <a:gd name="connsiteY31" fmla="*/ 122166 h 144391"/>
            <a:gd name="connsiteX32" fmla="*/ 503279 w 681079"/>
            <a:gd name="connsiteY32" fmla="*/ 125341 h 144391"/>
            <a:gd name="connsiteX33" fmla="*/ 493754 w 681079"/>
            <a:gd name="connsiteY33" fmla="*/ 128516 h 144391"/>
            <a:gd name="connsiteX34" fmla="*/ 385804 w 681079"/>
            <a:gd name="connsiteY34" fmla="*/ 131691 h 144391"/>
            <a:gd name="connsiteX35" fmla="*/ 354054 w 681079"/>
            <a:gd name="connsiteY35" fmla="*/ 134866 h 144391"/>
            <a:gd name="connsiteX36" fmla="*/ 290554 w 681079"/>
            <a:gd name="connsiteY36" fmla="*/ 138041 h 144391"/>
            <a:gd name="connsiteX37" fmla="*/ 281029 w 681079"/>
            <a:gd name="connsiteY37" fmla="*/ 141216 h 144391"/>
            <a:gd name="connsiteX38" fmla="*/ 265154 w 681079"/>
            <a:gd name="connsiteY38" fmla="*/ 144391 h 144391"/>
            <a:gd name="connsiteX39" fmla="*/ 33379 w 681079"/>
            <a:gd name="connsiteY39" fmla="*/ 141216 h 144391"/>
            <a:gd name="connsiteX40" fmla="*/ 23854 w 681079"/>
            <a:gd name="connsiteY40" fmla="*/ 138041 h 144391"/>
            <a:gd name="connsiteX41" fmla="*/ 1629 w 681079"/>
            <a:gd name="connsiteY41" fmla="*/ 125341 h 144391"/>
            <a:gd name="connsiteX0" fmla="*/ 1629 w 681079"/>
            <a:gd name="connsiteY0" fmla="*/ 125341 h 144391"/>
            <a:gd name="connsiteX1" fmla="*/ 4804 w 681079"/>
            <a:gd name="connsiteY1" fmla="*/ 99941 h 144391"/>
            <a:gd name="connsiteX2" fmla="*/ 20679 w 681079"/>
            <a:gd name="connsiteY2" fmla="*/ 30091 h 144391"/>
            <a:gd name="connsiteX3" fmla="*/ 46079 w 681079"/>
            <a:gd name="connsiteY3" fmla="*/ 33266 h 144391"/>
            <a:gd name="connsiteX4" fmla="*/ 55604 w 681079"/>
            <a:gd name="connsiteY4" fmla="*/ 39616 h 144391"/>
            <a:gd name="connsiteX5" fmla="*/ 119104 w 681079"/>
            <a:gd name="connsiteY5" fmla="*/ 36441 h 144391"/>
            <a:gd name="connsiteX6" fmla="*/ 141329 w 681079"/>
            <a:gd name="connsiteY6" fmla="*/ 26916 h 144391"/>
            <a:gd name="connsiteX7" fmla="*/ 160379 w 681079"/>
            <a:gd name="connsiteY7" fmla="*/ 23741 h 144391"/>
            <a:gd name="connsiteX8" fmla="*/ 182604 w 681079"/>
            <a:gd name="connsiteY8" fmla="*/ 26916 h 144391"/>
            <a:gd name="connsiteX9" fmla="*/ 195304 w 681079"/>
            <a:gd name="connsiteY9" fmla="*/ 45966 h 144391"/>
            <a:gd name="connsiteX10" fmla="*/ 208004 w 681079"/>
            <a:gd name="connsiteY10" fmla="*/ 58666 h 144391"/>
            <a:gd name="connsiteX11" fmla="*/ 220704 w 681079"/>
            <a:gd name="connsiteY11" fmla="*/ 36441 h 144391"/>
            <a:gd name="connsiteX12" fmla="*/ 230229 w 681079"/>
            <a:gd name="connsiteY12" fmla="*/ 33266 h 144391"/>
            <a:gd name="connsiteX13" fmla="*/ 277854 w 681079"/>
            <a:gd name="connsiteY13" fmla="*/ 26916 h 144391"/>
            <a:gd name="connsiteX14" fmla="*/ 287379 w 681079"/>
            <a:gd name="connsiteY14" fmla="*/ 23741 h 144391"/>
            <a:gd name="connsiteX15" fmla="*/ 296904 w 681079"/>
            <a:gd name="connsiteY15" fmla="*/ 36441 h 144391"/>
            <a:gd name="connsiteX16" fmla="*/ 315954 w 681079"/>
            <a:gd name="connsiteY16" fmla="*/ 45966 h 144391"/>
            <a:gd name="connsiteX17" fmla="*/ 347704 w 681079"/>
            <a:gd name="connsiteY17" fmla="*/ 39616 h 144391"/>
            <a:gd name="connsiteX18" fmla="*/ 373104 w 681079"/>
            <a:gd name="connsiteY18" fmla="*/ 26916 h 144391"/>
            <a:gd name="connsiteX19" fmla="*/ 392154 w 681079"/>
            <a:gd name="connsiteY19" fmla="*/ 20566 h 144391"/>
            <a:gd name="connsiteX20" fmla="*/ 401679 w 681079"/>
            <a:gd name="connsiteY20" fmla="*/ 17391 h 144391"/>
            <a:gd name="connsiteX21" fmla="*/ 563604 w 681079"/>
            <a:gd name="connsiteY21" fmla="*/ 33266 h 144391"/>
            <a:gd name="connsiteX22" fmla="*/ 569954 w 681079"/>
            <a:gd name="connsiteY22" fmla="*/ 45966 h 144391"/>
            <a:gd name="connsiteX23" fmla="*/ 614404 w 681079"/>
            <a:gd name="connsiteY23" fmla="*/ 25499 h 144391"/>
            <a:gd name="connsiteX24" fmla="*/ 681079 w 681079"/>
            <a:gd name="connsiteY24" fmla="*/ 0 h 144391"/>
            <a:gd name="connsiteX25" fmla="*/ 665204 w 681079"/>
            <a:gd name="connsiteY25" fmla="*/ 47823 h 144391"/>
            <a:gd name="connsiteX26" fmla="*/ 658854 w 681079"/>
            <a:gd name="connsiteY26" fmla="*/ 84066 h 144391"/>
            <a:gd name="connsiteX27" fmla="*/ 665204 w 681079"/>
            <a:gd name="connsiteY27" fmla="*/ 103116 h 144391"/>
            <a:gd name="connsiteX28" fmla="*/ 662029 w 681079"/>
            <a:gd name="connsiteY28" fmla="*/ 134866 h 144391"/>
            <a:gd name="connsiteX29" fmla="*/ 620754 w 681079"/>
            <a:gd name="connsiteY29" fmla="*/ 128516 h 144391"/>
            <a:gd name="connsiteX30" fmla="*/ 608054 w 681079"/>
            <a:gd name="connsiteY30" fmla="*/ 125341 h 144391"/>
            <a:gd name="connsiteX31" fmla="*/ 589004 w 681079"/>
            <a:gd name="connsiteY31" fmla="*/ 122166 h 144391"/>
            <a:gd name="connsiteX32" fmla="*/ 503279 w 681079"/>
            <a:gd name="connsiteY32" fmla="*/ 125341 h 144391"/>
            <a:gd name="connsiteX33" fmla="*/ 493754 w 681079"/>
            <a:gd name="connsiteY33" fmla="*/ 128516 h 144391"/>
            <a:gd name="connsiteX34" fmla="*/ 385804 w 681079"/>
            <a:gd name="connsiteY34" fmla="*/ 131691 h 144391"/>
            <a:gd name="connsiteX35" fmla="*/ 354054 w 681079"/>
            <a:gd name="connsiteY35" fmla="*/ 134866 h 144391"/>
            <a:gd name="connsiteX36" fmla="*/ 290554 w 681079"/>
            <a:gd name="connsiteY36" fmla="*/ 138041 h 144391"/>
            <a:gd name="connsiteX37" fmla="*/ 281029 w 681079"/>
            <a:gd name="connsiteY37" fmla="*/ 141216 h 144391"/>
            <a:gd name="connsiteX38" fmla="*/ 265154 w 681079"/>
            <a:gd name="connsiteY38" fmla="*/ 144391 h 144391"/>
            <a:gd name="connsiteX39" fmla="*/ 33379 w 681079"/>
            <a:gd name="connsiteY39" fmla="*/ 141216 h 144391"/>
            <a:gd name="connsiteX40" fmla="*/ 23854 w 681079"/>
            <a:gd name="connsiteY40" fmla="*/ 138041 h 144391"/>
            <a:gd name="connsiteX41" fmla="*/ 1629 w 681079"/>
            <a:gd name="connsiteY41" fmla="*/ 125341 h 144391"/>
            <a:gd name="connsiteX0" fmla="*/ 1629 w 668379"/>
            <a:gd name="connsiteY0" fmla="*/ 119292 h 138342"/>
            <a:gd name="connsiteX1" fmla="*/ 4804 w 668379"/>
            <a:gd name="connsiteY1" fmla="*/ 93892 h 138342"/>
            <a:gd name="connsiteX2" fmla="*/ 20679 w 668379"/>
            <a:gd name="connsiteY2" fmla="*/ 24042 h 138342"/>
            <a:gd name="connsiteX3" fmla="*/ 46079 w 668379"/>
            <a:gd name="connsiteY3" fmla="*/ 27217 h 138342"/>
            <a:gd name="connsiteX4" fmla="*/ 55604 w 668379"/>
            <a:gd name="connsiteY4" fmla="*/ 33567 h 138342"/>
            <a:gd name="connsiteX5" fmla="*/ 119104 w 668379"/>
            <a:gd name="connsiteY5" fmla="*/ 30392 h 138342"/>
            <a:gd name="connsiteX6" fmla="*/ 141329 w 668379"/>
            <a:gd name="connsiteY6" fmla="*/ 20867 h 138342"/>
            <a:gd name="connsiteX7" fmla="*/ 160379 w 668379"/>
            <a:gd name="connsiteY7" fmla="*/ 17692 h 138342"/>
            <a:gd name="connsiteX8" fmla="*/ 182604 w 668379"/>
            <a:gd name="connsiteY8" fmla="*/ 20867 h 138342"/>
            <a:gd name="connsiteX9" fmla="*/ 195304 w 668379"/>
            <a:gd name="connsiteY9" fmla="*/ 39917 h 138342"/>
            <a:gd name="connsiteX10" fmla="*/ 208004 w 668379"/>
            <a:gd name="connsiteY10" fmla="*/ 52617 h 138342"/>
            <a:gd name="connsiteX11" fmla="*/ 220704 w 668379"/>
            <a:gd name="connsiteY11" fmla="*/ 30392 h 138342"/>
            <a:gd name="connsiteX12" fmla="*/ 230229 w 668379"/>
            <a:gd name="connsiteY12" fmla="*/ 27217 h 138342"/>
            <a:gd name="connsiteX13" fmla="*/ 277854 w 668379"/>
            <a:gd name="connsiteY13" fmla="*/ 20867 h 138342"/>
            <a:gd name="connsiteX14" fmla="*/ 287379 w 668379"/>
            <a:gd name="connsiteY14" fmla="*/ 17692 h 138342"/>
            <a:gd name="connsiteX15" fmla="*/ 296904 w 668379"/>
            <a:gd name="connsiteY15" fmla="*/ 30392 h 138342"/>
            <a:gd name="connsiteX16" fmla="*/ 315954 w 668379"/>
            <a:gd name="connsiteY16" fmla="*/ 39917 h 138342"/>
            <a:gd name="connsiteX17" fmla="*/ 347704 w 668379"/>
            <a:gd name="connsiteY17" fmla="*/ 33567 h 138342"/>
            <a:gd name="connsiteX18" fmla="*/ 373104 w 668379"/>
            <a:gd name="connsiteY18" fmla="*/ 20867 h 138342"/>
            <a:gd name="connsiteX19" fmla="*/ 392154 w 668379"/>
            <a:gd name="connsiteY19" fmla="*/ 14517 h 138342"/>
            <a:gd name="connsiteX20" fmla="*/ 401679 w 668379"/>
            <a:gd name="connsiteY20" fmla="*/ 11342 h 138342"/>
            <a:gd name="connsiteX21" fmla="*/ 563604 w 668379"/>
            <a:gd name="connsiteY21" fmla="*/ 27217 h 138342"/>
            <a:gd name="connsiteX22" fmla="*/ 569954 w 668379"/>
            <a:gd name="connsiteY22" fmla="*/ 39917 h 138342"/>
            <a:gd name="connsiteX23" fmla="*/ 614404 w 668379"/>
            <a:gd name="connsiteY23" fmla="*/ 19450 h 138342"/>
            <a:gd name="connsiteX24" fmla="*/ 668379 w 668379"/>
            <a:gd name="connsiteY24" fmla="*/ 7629 h 138342"/>
            <a:gd name="connsiteX25" fmla="*/ 665204 w 668379"/>
            <a:gd name="connsiteY25" fmla="*/ 41774 h 138342"/>
            <a:gd name="connsiteX26" fmla="*/ 658854 w 668379"/>
            <a:gd name="connsiteY26" fmla="*/ 78017 h 138342"/>
            <a:gd name="connsiteX27" fmla="*/ 665204 w 668379"/>
            <a:gd name="connsiteY27" fmla="*/ 97067 h 138342"/>
            <a:gd name="connsiteX28" fmla="*/ 662029 w 668379"/>
            <a:gd name="connsiteY28" fmla="*/ 128817 h 138342"/>
            <a:gd name="connsiteX29" fmla="*/ 620754 w 668379"/>
            <a:gd name="connsiteY29" fmla="*/ 122467 h 138342"/>
            <a:gd name="connsiteX30" fmla="*/ 608054 w 668379"/>
            <a:gd name="connsiteY30" fmla="*/ 119292 h 138342"/>
            <a:gd name="connsiteX31" fmla="*/ 589004 w 668379"/>
            <a:gd name="connsiteY31" fmla="*/ 116117 h 138342"/>
            <a:gd name="connsiteX32" fmla="*/ 503279 w 668379"/>
            <a:gd name="connsiteY32" fmla="*/ 119292 h 138342"/>
            <a:gd name="connsiteX33" fmla="*/ 493754 w 668379"/>
            <a:gd name="connsiteY33" fmla="*/ 122467 h 138342"/>
            <a:gd name="connsiteX34" fmla="*/ 385804 w 668379"/>
            <a:gd name="connsiteY34" fmla="*/ 125642 h 138342"/>
            <a:gd name="connsiteX35" fmla="*/ 354054 w 668379"/>
            <a:gd name="connsiteY35" fmla="*/ 128817 h 138342"/>
            <a:gd name="connsiteX36" fmla="*/ 290554 w 668379"/>
            <a:gd name="connsiteY36" fmla="*/ 131992 h 138342"/>
            <a:gd name="connsiteX37" fmla="*/ 281029 w 668379"/>
            <a:gd name="connsiteY37" fmla="*/ 135167 h 138342"/>
            <a:gd name="connsiteX38" fmla="*/ 265154 w 668379"/>
            <a:gd name="connsiteY38" fmla="*/ 138342 h 138342"/>
            <a:gd name="connsiteX39" fmla="*/ 33379 w 668379"/>
            <a:gd name="connsiteY39" fmla="*/ 135167 h 138342"/>
            <a:gd name="connsiteX40" fmla="*/ 23854 w 668379"/>
            <a:gd name="connsiteY40" fmla="*/ 131992 h 138342"/>
            <a:gd name="connsiteX41" fmla="*/ 1629 w 668379"/>
            <a:gd name="connsiteY41" fmla="*/ 119292 h 138342"/>
            <a:gd name="connsiteX0" fmla="*/ 1629 w 668379"/>
            <a:gd name="connsiteY0" fmla="*/ 119292 h 138342"/>
            <a:gd name="connsiteX1" fmla="*/ 4804 w 668379"/>
            <a:gd name="connsiteY1" fmla="*/ 93892 h 138342"/>
            <a:gd name="connsiteX2" fmla="*/ 20679 w 668379"/>
            <a:gd name="connsiteY2" fmla="*/ 24042 h 138342"/>
            <a:gd name="connsiteX3" fmla="*/ 46079 w 668379"/>
            <a:gd name="connsiteY3" fmla="*/ 27217 h 138342"/>
            <a:gd name="connsiteX4" fmla="*/ 55604 w 668379"/>
            <a:gd name="connsiteY4" fmla="*/ 33567 h 138342"/>
            <a:gd name="connsiteX5" fmla="*/ 119104 w 668379"/>
            <a:gd name="connsiteY5" fmla="*/ 30392 h 138342"/>
            <a:gd name="connsiteX6" fmla="*/ 141329 w 668379"/>
            <a:gd name="connsiteY6" fmla="*/ 20867 h 138342"/>
            <a:gd name="connsiteX7" fmla="*/ 160379 w 668379"/>
            <a:gd name="connsiteY7" fmla="*/ 17692 h 138342"/>
            <a:gd name="connsiteX8" fmla="*/ 182604 w 668379"/>
            <a:gd name="connsiteY8" fmla="*/ 20867 h 138342"/>
            <a:gd name="connsiteX9" fmla="*/ 195304 w 668379"/>
            <a:gd name="connsiteY9" fmla="*/ 39917 h 138342"/>
            <a:gd name="connsiteX10" fmla="*/ 208004 w 668379"/>
            <a:gd name="connsiteY10" fmla="*/ 52617 h 138342"/>
            <a:gd name="connsiteX11" fmla="*/ 220704 w 668379"/>
            <a:gd name="connsiteY11" fmla="*/ 30392 h 138342"/>
            <a:gd name="connsiteX12" fmla="*/ 230229 w 668379"/>
            <a:gd name="connsiteY12" fmla="*/ 27217 h 138342"/>
            <a:gd name="connsiteX13" fmla="*/ 277854 w 668379"/>
            <a:gd name="connsiteY13" fmla="*/ 20867 h 138342"/>
            <a:gd name="connsiteX14" fmla="*/ 287379 w 668379"/>
            <a:gd name="connsiteY14" fmla="*/ 17692 h 138342"/>
            <a:gd name="connsiteX15" fmla="*/ 296904 w 668379"/>
            <a:gd name="connsiteY15" fmla="*/ 30392 h 138342"/>
            <a:gd name="connsiteX16" fmla="*/ 315954 w 668379"/>
            <a:gd name="connsiteY16" fmla="*/ 39917 h 138342"/>
            <a:gd name="connsiteX17" fmla="*/ 347704 w 668379"/>
            <a:gd name="connsiteY17" fmla="*/ 33567 h 138342"/>
            <a:gd name="connsiteX18" fmla="*/ 373104 w 668379"/>
            <a:gd name="connsiteY18" fmla="*/ 20867 h 138342"/>
            <a:gd name="connsiteX19" fmla="*/ 392154 w 668379"/>
            <a:gd name="connsiteY19" fmla="*/ 14517 h 138342"/>
            <a:gd name="connsiteX20" fmla="*/ 401679 w 668379"/>
            <a:gd name="connsiteY20" fmla="*/ 11342 h 138342"/>
            <a:gd name="connsiteX21" fmla="*/ 563604 w 668379"/>
            <a:gd name="connsiteY21" fmla="*/ 27217 h 138342"/>
            <a:gd name="connsiteX22" fmla="*/ 569954 w 668379"/>
            <a:gd name="connsiteY22" fmla="*/ 39917 h 138342"/>
            <a:gd name="connsiteX23" fmla="*/ 614404 w 668379"/>
            <a:gd name="connsiteY23" fmla="*/ 19450 h 138342"/>
            <a:gd name="connsiteX24" fmla="*/ 668379 w 668379"/>
            <a:gd name="connsiteY24" fmla="*/ 7629 h 138342"/>
            <a:gd name="connsiteX25" fmla="*/ 665204 w 668379"/>
            <a:gd name="connsiteY25" fmla="*/ 41774 h 138342"/>
            <a:gd name="connsiteX26" fmla="*/ 668379 w 668379"/>
            <a:gd name="connsiteY26" fmla="*/ 69811 h 138342"/>
            <a:gd name="connsiteX27" fmla="*/ 665204 w 668379"/>
            <a:gd name="connsiteY27" fmla="*/ 97067 h 138342"/>
            <a:gd name="connsiteX28" fmla="*/ 662029 w 668379"/>
            <a:gd name="connsiteY28" fmla="*/ 128817 h 138342"/>
            <a:gd name="connsiteX29" fmla="*/ 620754 w 668379"/>
            <a:gd name="connsiteY29" fmla="*/ 122467 h 138342"/>
            <a:gd name="connsiteX30" fmla="*/ 608054 w 668379"/>
            <a:gd name="connsiteY30" fmla="*/ 119292 h 138342"/>
            <a:gd name="connsiteX31" fmla="*/ 589004 w 668379"/>
            <a:gd name="connsiteY31" fmla="*/ 116117 h 138342"/>
            <a:gd name="connsiteX32" fmla="*/ 503279 w 668379"/>
            <a:gd name="connsiteY32" fmla="*/ 119292 h 138342"/>
            <a:gd name="connsiteX33" fmla="*/ 493754 w 668379"/>
            <a:gd name="connsiteY33" fmla="*/ 122467 h 138342"/>
            <a:gd name="connsiteX34" fmla="*/ 385804 w 668379"/>
            <a:gd name="connsiteY34" fmla="*/ 125642 h 138342"/>
            <a:gd name="connsiteX35" fmla="*/ 354054 w 668379"/>
            <a:gd name="connsiteY35" fmla="*/ 128817 h 138342"/>
            <a:gd name="connsiteX36" fmla="*/ 290554 w 668379"/>
            <a:gd name="connsiteY36" fmla="*/ 131992 h 138342"/>
            <a:gd name="connsiteX37" fmla="*/ 281029 w 668379"/>
            <a:gd name="connsiteY37" fmla="*/ 135167 h 138342"/>
            <a:gd name="connsiteX38" fmla="*/ 265154 w 668379"/>
            <a:gd name="connsiteY38" fmla="*/ 138342 h 138342"/>
            <a:gd name="connsiteX39" fmla="*/ 33379 w 668379"/>
            <a:gd name="connsiteY39" fmla="*/ 135167 h 138342"/>
            <a:gd name="connsiteX40" fmla="*/ 23854 w 668379"/>
            <a:gd name="connsiteY40" fmla="*/ 131992 h 138342"/>
            <a:gd name="connsiteX41" fmla="*/ 1629 w 668379"/>
            <a:gd name="connsiteY41" fmla="*/ 119292 h 138342"/>
            <a:gd name="connsiteX0" fmla="*/ 1629 w 668379"/>
            <a:gd name="connsiteY0" fmla="*/ 119292 h 138342"/>
            <a:gd name="connsiteX1" fmla="*/ 4804 w 668379"/>
            <a:gd name="connsiteY1" fmla="*/ 93892 h 138342"/>
            <a:gd name="connsiteX2" fmla="*/ 20679 w 668379"/>
            <a:gd name="connsiteY2" fmla="*/ 24042 h 138342"/>
            <a:gd name="connsiteX3" fmla="*/ 46079 w 668379"/>
            <a:gd name="connsiteY3" fmla="*/ 27217 h 138342"/>
            <a:gd name="connsiteX4" fmla="*/ 55604 w 668379"/>
            <a:gd name="connsiteY4" fmla="*/ 33567 h 138342"/>
            <a:gd name="connsiteX5" fmla="*/ 119104 w 668379"/>
            <a:gd name="connsiteY5" fmla="*/ 30392 h 138342"/>
            <a:gd name="connsiteX6" fmla="*/ 141329 w 668379"/>
            <a:gd name="connsiteY6" fmla="*/ 20867 h 138342"/>
            <a:gd name="connsiteX7" fmla="*/ 160379 w 668379"/>
            <a:gd name="connsiteY7" fmla="*/ 17692 h 138342"/>
            <a:gd name="connsiteX8" fmla="*/ 182604 w 668379"/>
            <a:gd name="connsiteY8" fmla="*/ 20867 h 138342"/>
            <a:gd name="connsiteX9" fmla="*/ 195304 w 668379"/>
            <a:gd name="connsiteY9" fmla="*/ 39917 h 138342"/>
            <a:gd name="connsiteX10" fmla="*/ 217529 w 668379"/>
            <a:gd name="connsiteY10" fmla="*/ 27997 h 138342"/>
            <a:gd name="connsiteX11" fmla="*/ 220704 w 668379"/>
            <a:gd name="connsiteY11" fmla="*/ 30392 h 138342"/>
            <a:gd name="connsiteX12" fmla="*/ 230229 w 668379"/>
            <a:gd name="connsiteY12" fmla="*/ 27217 h 138342"/>
            <a:gd name="connsiteX13" fmla="*/ 277854 w 668379"/>
            <a:gd name="connsiteY13" fmla="*/ 20867 h 138342"/>
            <a:gd name="connsiteX14" fmla="*/ 287379 w 668379"/>
            <a:gd name="connsiteY14" fmla="*/ 17692 h 138342"/>
            <a:gd name="connsiteX15" fmla="*/ 296904 w 668379"/>
            <a:gd name="connsiteY15" fmla="*/ 30392 h 138342"/>
            <a:gd name="connsiteX16" fmla="*/ 315954 w 668379"/>
            <a:gd name="connsiteY16" fmla="*/ 39917 h 138342"/>
            <a:gd name="connsiteX17" fmla="*/ 347704 w 668379"/>
            <a:gd name="connsiteY17" fmla="*/ 33567 h 138342"/>
            <a:gd name="connsiteX18" fmla="*/ 373104 w 668379"/>
            <a:gd name="connsiteY18" fmla="*/ 20867 h 138342"/>
            <a:gd name="connsiteX19" fmla="*/ 392154 w 668379"/>
            <a:gd name="connsiteY19" fmla="*/ 14517 h 138342"/>
            <a:gd name="connsiteX20" fmla="*/ 401679 w 668379"/>
            <a:gd name="connsiteY20" fmla="*/ 11342 h 138342"/>
            <a:gd name="connsiteX21" fmla="*/ 563604 w 668379"/>
            <a:gd name="connsiteY21" fmla="*/ 27217 h 138342"/>
            <a:gd name="connsiteX22" fmla="*/ 569954 w 668379"/>
            <a:gd name="connsiteY22" fmla="*/ 39917 h 138342"/>
            <a:gd name="connsiteX23" fmla="*/ 614404 w 668379"/>
            <a:gd name="connsiteY23" fmla="*/ 19450 h 138342"/>
            <a:gd name="connsiteX24" fmla="*/ 668379 w 668379"/>
            <a:gd name="connsiteY24" fmla="*/ 7629 h 138342"/>
            <a:gd name="connsiteX25" fmla="*/ 665204 w 668379"/>
            <a:gd name="connsiteY25" fmla="*/ 41774 h 138342"/>
            <a:gd name="connsiteX26" fmla="*/ 668379 w 668379"/>
            <a:gd name="connsiteY26" fmla="*/ 69811 h 138342"/>
            <a:gd name="connsiteX27" fmla="*/ 665204 w 668379"/>
            <a:gd name="connsiteY27" fmla="*/ 97067 h 138342"/>
            <a:gd name="connsiteX28" fmla="*/ 662029 w 668379"/>
            <a:gd name="connsiteY28" fmla="*/ 128817 h 138342"/>
            <a:gd name="connsiteX29" fmla="*/ 620754 w 668379"/>
            <a:gd name="connsiteY29" fmla="*/ 122467 h 138342"/>
            <a:gd name="connsiteX30" fmla="*/ 608054 w 668379"/>
            <a:gd name="connsiteY30" fmla="*/ 119292 h 138342"/>
            <a:gd name="connsiteX31" fmla="*/ 589004 w 668379"/>
            <a:gd name="connsiteY31" fmla="*/ 116117 h 138342"/>
            <a:gd name="connsiteX32" fmla="*/ 503279 w 668379"/>
            <a:gd name="connsiteY32" fmla="*/ 119292 h 138342"/>
            <a:gd name="connsiteX33" fmla="*/ 493754 w 668379"/>
            <a:gd name="connsiteY33" fmla="*/ 122467 h 138342"/>
            <a:gd name="connsiteX34" fmla="*/ 385804 w 668379"/>
            <a:gd name="connsiteY34" fmla="*/ 125642 h 138342"/>
            <a:gd name="connsiteX35" fmla="*/ 354054 w 668379"/>
            <a:gd name="connsiteY35" fmla="*/ 128817 h 138342"/>
            <a:gd name="connsiteX36" fmla="*/ 290554 w 668379"/>
            <a:gd name="connsiteY36" fmla="*/ 131992 h 138342"/>
            <a:gd name="connsiteX37" fmla="*/ 281029 w 668379"/>
            <a:gd name="connsiteY37" fmla="*/ 135167 h 138342"/>
            <a:gd name="connsiteX38" fmla="*/ 265154 w 668379"/>
            <a:gd name="connsiteY38" fmla="*/ 138342 h 138342"/>
            <a:gd name="connsiteX39" fmla="*/ 33379 w 668379"/>
            <a:gd name="connsiteY39" fmla="*/ 135167 h 138342"/>
            <a:gd name="connsiteX40" fmla="*/ 23854 w 668379"/>
            <a:gd name="connsiteY40" fmla="*/ 131992 h 138342"/>
            <a:gd name="connsiteX41" fmla="*/ 1629 w 668379"/>
            <a:gd name="connsiteY41" fmla="*/ 119292 h 138342"/>
            <a:gd name="connsiteX0" fmla="*/ 1629 w 668379"/>
            <a:gd name="connsiteY0" fmla="*/ 119292 h 138342"/>
            <a:gd name="connsiteX1" fmla="*/ 4804 w 668379"/>
            <a:gd name="connsiteY1" fmla="*/ 93892 h 138342"/>
            <a:gd name="connsiteX2" fmla="*/ 20679 w 668379"/>
            <a:gd name="connsiteY2" fmla="*/ 24042 h 138342"/>
            <a:gd name="connsiteX3" fmla="*/ 46079 w 668379"/>
            <a:gd name="connsiteY3" fmla="*/ 27217 h 138342"/>
            <a:gd name="connsiteX4" fmla="*/ 55604 w 668379"/>
            <a:gd name="connsiteY4" fmla="*/ 33567 h 138342"/>
            <a:gd name="connsiteX5" fmla="*/ 119104 w 668379"/>
            <a:gd name="connsiteY5" fmla="*/ 30392 h 138342"/>
            <a:gd name="connsiteX6" fmla="*/ 141329 w 668379"/>
            <a:gd name="connsiteY6" fmla="*/ 20867 h 138342"/>
            <a:gd name="connsiteX7" fmla="*/ 160379 w 668379"/>
            <a:gd name="connsiteY7" fmla="*/ 17692 h 138342"/>
            <a:gd name="connsiteX8" fmla="*/ 182604 w 668379"/>
            <a:gd name="connsiteY8" fmla="*/ 20867 h 138342"/>
            <a:gd name="connsiteX9" fmla="*/ 195304 w 668379"/>
            <a:gd name="connsiteY9" fmla="*/ 39917 h 138342"/>
            <a:gd name="connsiteX10" fmla="*/ 217529 w 668379"/>
            <a:gd name="connsiteY10" fmla="*/ 27997 h 138342"/>
            <a:gd name="connsiteX11" fmla="*/ 220704 w 668379"/>
            <a:gd name="connsiteY11" fmla="*/ 30392 h 138342"/>
            <a:gd name="connsiteX12" fmla="*/ 230229 w 668379"/>
            <a:gd name="connsiteY12" fmla="*/ 27217 h 138342"/>
            <a:gd name="connsiteX13" fmla="*/ 277854 w 668379"/>
            <a:gd name="connsiteY13" fmla="*/ 20867 h 138342"/>
            <a:gd name="connsiteX14" fmla="*/ 287379 w 668379"/>
            <a:gd name="connsiteY14" fmla="*/ 17692 h 138342"/>
            <a:gd name="connsiteX15" fmla="*/ 296904 w 668379"/>
            <a:gd name="connsiteY15" fmla="*/ 30392 h 138342"/>
            <a:gd name="connsiteX16" fmla="*/ 344529 w 668379"/>
            <a:gd name="connsiteY16" fmla="*/ 20768 h 138342"/>
            <a:gd name="connsiteX17" fmla="*/ 347704 w 668379"/>
            <a:gd name="connsiteY17" fmla="*/ 33567 h 138342"/>
            <a:gd name="connsiteX18" fmla="*/ 373104 w 668379"/>
            <a:gd name="connsiteY18" fmla="*/ 20867 h 138342"/>
            <a:gd name="connsiteX19" fmla="*/ 392154 w 668379"/>
            <a:gd name="connsiteY19" fmla="*/ 14517 h 138342"/>
            <a:gd name="connsiteX20" fmla="*/ 401679 w 668379"/>
            <a:gd name="connsiteY20" fmla="*/ 11342 h 138342"/>
            <a:gd name="connsiteX21" fmla="*/ 563604 w 668379"/>
            <a:gd name="connsiteY21" fmla="*/ 27217 h 138342"/>
            <a:gd name="connsiteX22" fmla="*/ 569954 w 668379"/>
            <a:gd name="connsiteY22" fmla="*/ 39917 h 138342"/>
            <a:gd name="connsiteX23" fmla="*/ 614404 w 668379"/>
            <a:gd name="connsiteY23" fmla="*/ 19450 h 138342"/>
            <a:gd name="connsiteX24" fmla="*/ 668379 w 668379"/>
            <a:gd name="connsiteY24" fmla="*/ 7629 h 138342"/>
            <a:gd name="connsiteX25" fmla="*/ 665204 w 668379"/>
            <a:gd name="connsiteY25" fmla="*/ 41774 h 138342"/>
            <a:gd name="connsiteX26" fmla="*/ 668379 w 668379"/>
            <a:gd name="connsiteY26" fmla="*/ 69811 h 138342"/>
            <a:gd name="connsiteX27" fmla="*/ 665204 w 668379"/>
            <a:gd name="connsiteY27" fmla="*/ 97067 h 138342"/>
            <a:gd name="connsiteX28" fmla="*/ 662029 w 668379"/>
            <a:gd name="connsiteY28" fmla="*/ 128817 h 138342"/>
            <a:gd name="connsiteX29" fmla="*/ 620754 w 668379"/>
            <a:gd name="connsiteY29" fmla="*/ 122467 h 138342"/>
            <a:gd name="connsiteX30" fmla="*/ 608054 w 668379"/>
            <a:gd name="connsiteY30" fmla="*/ 119292 h 138342"/>
            <a:gd name="connsiteX31" fmla="*/ 589004 w 668379"/>
            <a:gd name="connsiteY31" fmla="*/ 116117 h 138342"/>
            <a:gd name="connsiteX32" fmla="*/ 503279 w 668379"/>
            <a:gd name="connsiteY32" fmla="*/ 119292 h 138342"/>
            <a:gd name="connsiteX33" fmla="*/ 493754 w 668379"/>
            <a:gd name="connsiteY33" fmla="*/ 122467 h 138342"/>
            <a:gd name="connsiteX34" fmla="*/ 385804 w 668379"/>
            <a:gd name="connsiteY34" fmla="*/ 125642 h 138342"/>
            <a:gd name="connsiteX35" fmla="*/ 354054 w 668379"/>
            <a:gd name="connsiteY35" fmla="*/ 128817 h 138342"/>
            <a:gd name="connsiteX36" fmla="*/ 290554 w 668379"/>
            <a:gd name="connsiteY36" fmla="*/ 131992 h 138342"/>
            <a:gd name="connsiteX37" fmla="*/ 281029 w 668379"/>
            <a:gd name="connsiteY37" fmla="*/ 135167 h 138342"/>
            <a:gd name="connsiteX38" fmla="*/ 265154 w 668379"/>
            <a:gd name="connsiteY38" fmla="*/ 138342 h 138342"/>
            <a:gd name="connsiteX39" fmla="*/ 33379 w 668379"/>
            <a:gd name="connsiteY39" fmla="*/ 135167 h 138342"/>
            <a:gd name="connsiteX40" fmla="*/ 23854 w 668379"/>
            <a:gd name="connsiteY40" fmla="*/ 131992 h 138342"/>
            <a:gd name="connsiteX41" fmla="*/ 1629 w 668379"/>
            <a:gd name="connsiteY41" fmla="*/ 119292 h 138342"/>
            <a:gd name="connsiteX0" fmla="*/ 1629 w 668379"/>
            <a:gd name="connsiteY0" fmla="*/ 111663 h 130713"/>
            <a:gd name="connsiteX1" fmla="*/ 4804 w 668379"/>
            <a:gd name="connsiteY1" fmla="*/ 86263 h 130713"/>
            <a:gd name="connsiteX2" fmla="*/ 20679 w 668379"/>
            <a:gd name="connsiteY2" fmla="*/ 16413 h 130713"/>
            <a:gd name="connsiteX3" fmla="*/ 46079 w 668379"/>
            <a:gd name="connsiteY3" fmla="*/ 19588 h 130713"/>
            <a:gd name="connsiteX4" fmla="*/ 55604 w 668379"/>
            <a:gd name="connsiteY4" fmla="*/ 25938 h 130713"/>
            <a:gd name="connsiteX5" fmla="*/ 119104 w 668379"/>
            <a:gd name="connsiteY5" fmla="*/ 22763 h 130713"/>
            <a:gd name="connsiteX6" fmla="*/ 141329 w 668379"/>
            <a:gd name="connsiteY6" fmla="*/ 13238 h 130713"/>
            <a:gd name="connsiteX7" fmla="*/ 160379 w 668379"/>
            <a:gd name="connsiteY7" fmla="*/ 10063 h 130713"/>
            <a:gd name="connsiteX8" fmla="*/ 182604 w 668379"/>
            <a:gd name="connsiteY8" fmla="*/ 13238 h 130713"/>
            <a:gd name="connsiteX9" fmla="*/ 195304 w 668379"/>
            <a:gd name="connsiteY9" fmla="*/ 32288 h 130713"/>
            <a:gd name="connsiteX10" fmla="*/ 217529 w 668379"/>
            <a:gd name="connsiteY10" fmla="*/ 20368 h 130713"/>
            <a:gd name="connsiteX11" fmla="*/ 220704 w 668379"/>
            <a:gd name="connsiteY11" fmla="*/ 22763 h 130713"/>
            <a:gd name="connsiteX12" fmla="*/ 230229 w 668379"/>
            <a:gd name="connsiteY12" fmla="*/ 19588 h 130713"/>
            <a:gd name="connsiteX13" fmla="*/ 277854 w 668379"/>
            <a:gd name="connsiteY13" fmla="*/ 13238 h 130713"/>
            <a:gd name="connsiteX14" fmla="*/ 287379 w 668379"/>
            <a:gd name="connsiteY14" fmla="*/ 10063 h 130713"/>
            <a:gd name="connsiteX15" fmla="*/ 296904 w 668379"/>
            <a:gd name="connsiteY15" fmla="*/ 22763 h 130713"/>
            <a:gd name="connsiteX16" fmla="*/ 344529 w 668379"/>
            <a:gd name="connsiteY16" fmla="*/ 13139 h 130713"/>
            <a:gd name="connsiteX17" fmla="*/ 347704 w 668379"/>
            <a:gd name="connsiteY17" fmla="*/ 25938 h 130713"/>
            <a:gd name="connsiteX18" fmla="*/ 373104 w 668379"/>
            <a:gd name="connsiteY18" fmla="*/ 13238 h 130713"/>
            <a:gd name="connsiteX19" fmla="*/ 392154 w 668379"/>
            <a:gd name="connsiteY19" fmla="*/ 6888 h 130713"/>
            <a:gd name="connsiteX20" fmla="*/ 401679 w 668379"/>
            <a:gd name="connsiteY20" fmla="*/ 3713 h 130713"/>
            <a:gd name="connsiteX21" fmla="*/ 563604 w 668379"/>
            <a:gd name="connsiteY21" fmla="*/ 19588 h 130713"/>
            <a:gd name="connsiteX22" fmla="*/ 579479 w 668379"/>
            <a:gd name="connsiteY22" fmla="*/ 4933 h 130713"/>
            <a:gd name="connsiteX23" fmla="*/ 614404 w 668379"/>
            <a:gd name="connsiteY23" fmla="*/ 11821 h 130713"/>
            <a:gd name="connsiteX24" fmla="*/ 668379 w 668379"/>
            <a:gd name="connsiteY24" fmla="*/ 0 h 130713"/>
            <a:gd name="connsiteX25" fmla="*/ 665204 w 668379"/>
            <a:gd name="connsiteY25" fmla="*/ 34145 h 130713"/>
            <a:gd name="connsiteX26" fmla="*/ 668379 w 668379"/>
            <a:gd name="connsiteY26" fmla="*/ 62182 h 130713"/>
            <a:gd name="connsiteX27" fmla="*/ 665204 w 668379"/>
            <a:gd name="connsiteY27" fmla="*/ 89438 h 130713"/>
            <a:gd name="connsiteX28" fmla="*/ 662029 w 668379"/>
            <a:gd name="connsiteY28" fmla="*/ 121188 h 130713"/>
            <a:gd name="connsiteX29" fmla="*/ 620754 w 668379"/>
            <a:gd name="connsiteY29" fmla="*/ 114838 h 130713"/>
            <a:gd name="connsiteX30" fmla="*/ 608054 w 668379"/>
            <a:gd name="connsiteY30" fmla="*/ 111663 h 130713"/>
            <a:gd name="connsiteX31" fmla="*/ 589004 w 668379"/>
            <a:gd name="connsiteY31" fmla="*/ 108488 h 130713"/>
            <a:gd name="connsiteX32" fmla="*/ 503279 w 668379"/>
            <a:gd name="connsiteY32" fmla="*/ 111663 h 130713"/>
            <a:gd name="connsiteX33" fmla="*/ 493754 w 668379"/>
            <a:gd name="connsiteY33" fmla="*/ 114838 h 130713"/>
            <a:gd name="connsiteX34" fmla="*/ 385804 w 668379"/>
            <a:gd name="connsiteY34" fmla="*/ 118013 h 130713"/>
            <a:gd name="connsiteX35" fmla="*/ 354054 w 668379"/>
            <a:gd name="connsiteY35" fmla="*/ 121188 h 130713"/>
            <a:gd name="connsiteX36" fmla="*/ 290554 w 668379"/>
            <a:gd name="connsiteY36" fmla="*/ 124363 h 130713"/>
            <a:gd name="connsiteX37" fmla="*/ 281029 w 668379"/>
            <a:gd name="connsiteY37" fmla="*/ 127538 h 130713"/>
            <a:gd name="connsiteX38" fmla="*/ 265154 w 668379"/>
            <a:gd name="connsiteY38" fmla="*/ 130713 h 130713"/>
            <a:gd name="connsiteX39" fmla="*/ 33379 w 668379"/>
            <a:gd name="connsiteY39" fmla="*/ 127538 h 130713"/>
            <a:gd name="connsiteX40" fmla="*/ 23854 w 668379"/>
            <a:gd name="connsiteY40" fmla="*/ 124363 h 130713"/>
            <a:gd name="connsiteX41" fmla="*/ 1629 w 668379"/>
            <a:gd name="connsiteY41" fmla="*/ 111663 h 130713"/>
            <a:gd name="connsiteX0" fmla="*/ 1629 w 668379"/>
            <a:gd name="connsiteY0" fmla="*/ 111663 h 130713"/>
            <a:gd name="connsiteX1" fmla="*/ 4804 w 668379"/>
            <a:gd name="connsiteY1" fmla="*/ 86263 h 130713"/>
            <a:gd name="connsiteX2" fmla="*/ 20679 w 668379"/>
            <a:gd name="connsiteY2" fmla="*/ 16413 h 130713"/>
            <a:gd name="connsiteX3" fmla="*/ 46079 w 668379"/>
            <a:gd name="connsiteY3" fmla="*/ 19588 h 130713"/>
            <a:gd name="connsiteX4" fmla="*/ 55604 w 668379"/>
            <a:gd name="connsiteY4" fmla="*/ 25938 h 130713"/>
            <a:gd name="connsiteX5" fmla="*/ 119104 w 668379"/>
            <a:gd name="connsiteY5" fmla="*/ 22763 h 130713"/>
            <a:gd name="connsiteX6" fmla="*/ 141329 w 668379"/>
            <a:gd name="connsiteY6" fmla="*/ 13238 h 130713"/>
            <a:gd name="connsiteX7" fmla="*/ 160379 w 668379"/>
            <a:gd name="connsiteY7" fmla="*/ 10063 h 130713"/>
            <a:gd name="connsiteX8" fmla="*/ 182604 w 668379"/>
            <a:gd name="connsiteY8" fmla="*/ 13238 h 130713"/>
            <a:gd name="connsiteX9" fmla="*/ 195304 w 668379"/>
            <a:gd name="connsiteY9" fmla="*/ 32288 h 130713"/>
            <a:gd name="connsiteX10" fmla="*/ 217529 w 668379"/>
            <a:gd name="connsiteY10" fmla="*/ 20368 h 130713"/>
            <a:gd name="connsiteX11" fmla="*/ 220704 w 668379"/>
            <a:gd name="connsiteY11" fmla="*/ 22763 h 130713"/>
            <a:gd name="connsiteX12" fmla="*/ 230229 w 668379"/>
            <a:gd name="connsiteY12" fmla="*/ 19588 h 130713"/>
            <a:gd name="connsiteX13" fmla="*/ 277854 w 668379"/>
            <a:gd name="connsiteY13" fmla="*/ 13238 h 130713"/>
            <a:gd name="connsiteX14" fmla="*/ 287379 w 668379"/>
            <a:gd name="connsiteY14" fmla="*/ 10063 h 130713"/>
            <a:gd name="connsiteX15" fmla="*/ 296904 w 668379"/>
            <a:gd name="connsiteY15" fmla="*/ 22763 h 130713"/>
            <a:gd name="connsiteX16" fmla="*/ 344529 w 668379"/>
            <a:gd name="connsiteY16" fmla="*/ 13139 h 130713"/>
            <a:gd name="connsiteX17" fmla="*/ 347704 w 668379"/>
            <a:gd name="connsiteY17" fmla="*/ 25938 h 130713"/>
            <a:gd name="connsiteX18" fmla="*/ 373104 w 668379"/>
            <a:gd name="connsiteY18" fmla="*/ 13238 h 130713"/>
            <a:gd name="connsiteX19" fmla="*/ 392154 w 668379"/>
            <a:gd name="connsiteY19" fmla="*/ 6888 h 130713"/>
            <a:gd name="connsiteX20" fmla="*/ 401679 w 668379"/>
            <a:gd name="connsiteY20" fmla="*/ 3713 h 130713"/>
            <a:gd name="connsiteX21" fmla="*/ 509629 w 668379"/>
            <a:gd name="connsiteY21" fmla="*/ 5910 h 130713"/>
            <a:gd name="connsiteX22" fmla="*/ 579479 w 668379"/>
            <a:gd name="connsiteY22" fmla="*/ 4933 h 130713"/>
            <a:gd name="connsiteX23" fmla="*/ 614404 w 668379"/>
            <a:gd name="connsiteY23" fmla="*/ 11821 h 130713"/>
            <a:gd name="connsiteX24" fmla="*/ 668379 w 668379"/>
            <a:gd name="connsiteY24" fmla="*/ 0 h 130713"/>
            <a:gd name="connsiteX25" fmla="*/ 665204 w 668379"/>
            <a:gd name="connsiteY25" fmla="*/ 34145 h 130713"/>
            <a:gd name="connsiteX26" fmla="*/ 668379 w 668379"/>
            <a:gd name="connsiteY26" fmla="*/ 62182 h 130713"/>
            <a:gd name="connsiteX27" fmla="*/ 665204 w 668379"/>
            <a:gd name="connsiteY27" fmla="*/ 89438 h 130713"/>
            <a:gd name="connsiteX28" fmla="*/ 662029 w 668379"/>
            <a:gd name="connsiteY28" fmla="*/ 121188 h 130713"/>
            <a:gd name="connsiteX29" fmla="*/ 620754 w 668379"/>
            <a:gd name="connsiteY29" fmla="*/ 114838 h 130713"/>
            <a:gd name="connsiteX30" fmla="*/ 608054 w 668379"/>
            <a:gd name="connsiteY30" fmla="*/ 111663 h 130713"/>
            <a:gd name="connsiteX31" fmla="*/ 589004 w 668379"/>
            <a:gd name="connsiteY31" fmla="*/ 108488 h 130713"/>
            <a:gd name="connsiteX32" fmla="*/ 503279 w 668379"/>
            <a:gd name="connsiteY32" fmla="*/ 111663 h 130713"/>
            <a:gd name="connsiteX33" fmla="*/ 493754 w 668379"/>
            <a:gd name="connsiteY33" fmla="*/ 114838 h 130713"/>
            <a:gd name="connsiteX34" fmla="*/ 385804 w 668379"/>
            <a:gd name="connsiteY34" fmla="*/ 118013 h 130713"/>
            <a:gd name="connsiteX35" fmla="*/ 354054 w 668379"/>
            <a:gd name="connsiteY35" fmla="*/ 121188 h 130713"/>
            <a:gd name="connsiteX36" fmla="*/ 290554 w 668379"/>
            <a:gd name="connsiteY36" fmla="*/ 124363 h 130713"/>
            <a:gd name="connsiteX37" fmla="*/ 281029 w 668379"/>
            <a:gd name="connsiteY37" fmla="*/ 127538 h 130713"/>
            <a:gd name="connsiteX38" fmla="*/ 265154 w 668379"/>
            <a:gd name="connsiteY38" fmla="*/ 130713 h 130713"/>
            <a:gd name="connsiteX39" fmla="*/ 33379 w 668379"/>
            <a:gd name="connsiteY39" fmla="*/ 127538 h 130713"/>
            <a:gd name="connsiteX40" fmla="*/ 23854 w 668379"/>
            <a:gd name="connsiteY40" fmla="*/ 124363 h 130713"/>
            <a:gd name="connsiteX41" fmla="*/ 1629 w 668379"/>
            <a:gd name="connsiteY41" fmla="*/ 111663 h 1307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</a:cxnLst>
          <a:rect l="l" t="t" r="r" b="b"/>
          <a:pathLst>
            <a:path w="668379" h="130713">
              <a:moveTo>
                <a:pt x="1629" y="111663"/>
              </a:moveTo>
              <a:cubicBezTo>
                <a:pt x="-1546" y="105313"/>
                <a:pt x="132" y="123637"/>
                <a:pt x="4804" y="86263"/>
              </a:cubicBezTo>
              <a:cubicBezTo>
                <a:pt x="13861" y="13811"/>
                <a:pt x="-14720" y="25263"/>
                <a:pt x="20679" y="16413"/>
              </a:cubicBezTo>
              <a:cubicBezTo>
                <a:pt x="29146" y="17471"/>
                <a:pt x="37847" y="17343"/>
                <a:pt x="46079" y="19588"/>
              </a:cubicBezTo>
              <a:cubicBezTo>
                <a:pt x="49760" y="20592"/>
                <a:pt x="51792" y="25772"/>
                <a:pt x="55604" y="25938"/>
              </a:cubicBezTo>
              <a:lnTo>
                <a:pt x="119104" y="22763"/>
              </a:lnTo>
              <a:cubicBezTo>
                <a:pt x="126869" y="18880"/>
                <a:pt x="132920" y="15107"/>
                <a:pt x="141329" y="13238"/>
              </a:cubicBezTo>
              <a:cubicBezTo>
                <a:pt x="147613" y="11841"/>
                <a:pt x="154029" y="11121"/>
                <a:pt x="160379" y="10063"/>
              </a:cubicBezTo>
              <a:cubicBezTo>
                <a:pt x="167787" y="11121"/>
                <a:pt x="176290" y="9220"/>
                <a:pt x="182604" y="13238"/>
              </a:cubicBezTo>
              <a:cubicBezTo>
                <a:pt x="189043" y="17335"/>
                <a:pt x="189483" y="31100"/>
                <a:pt x="195304" y="32288"/>
              </a:cubicBezTo>
              <a:cubicBezTo>
                <a:pt x="201125" y="33476"/>
                <a:pt x="210121" y="24341"/>
                <a:pt x="217529" y="20368"/>
              </a:cubicBezTo>
              <a:cubicBezTo>
                <a:pt x="243196" y="3257"/>
                <a:pt x="218587" y="22893"/>
                <a:pt x="220704" y="22763"/>
              </a:cubicBezTo>
              <a:cubicBezTo>
                <a:pt x="222821" y="22633"/>
                <a:pt x="226928" y="20138"/>
                <a:pt x="230229" y="19588"/>
              </a:cubicBezTo>
              <a:cubicBezTo>
                <a:pt x="246027" y="16955"/>
                <a:pt x="261979" y="15355"/>
                <a:pt x="277854" y="13238"/>
              </a:cubicBezTo>
              <a:cubicBezTo>
                <a:pt x="281029" y="12180"/>
                <a:pt x="284386" y="8566"/>
                <a:pt x="287379" y="10063"/>
              </a:cubicBezTo>
              <a:cubicBezTo>
                <a:pt x="292112" y="12430"/>
                <a:pt x="287379" y="22250"/>
                <a:pt x="296904" y="22763"/>
              </a:cubicBezTo>
              <a:cubicBezTo>
                <a:pt x="306429" y="23276"/>
                <a:pt x="336782" y="10557"/>
                <a:pt x="344529" y="13139"/>
              </a:cubicBezTo>
              <a:cubicBezTo>
                <a:pt x="355112" y="11022"/>
                <a:pt x="342942" y="25922"/>
                <a:pt x="347704" y="25938"/>
              </a:cubicBezTo>
              <a:cubicBezTo>
                <a:pt x="352466" y="25954"/>
                <a:pt x="364124" y="16231"/>
                <a:pt x="373104" y="13238"/>
              </a:cubicBezTo>
              <a:lnTo>
                <a:pt x="392154" y="6888"/>
              </a:lnTo>
              <a:cubicBezTo>
                <a:pt x="395329" y="5830"/>
                <a:pt x="382100" y="3876"/>
                <a:pt x="401679" y="3713"/>
              </a:cubicBezTo>
              <a:cubicBezTo>
                <a:pt x="421258" y="3550"/>
                <a:pt x="479996" y="5707"/>
                <a:pt x="509629" y="5910"/>
              </a:cubicBezTo>
              <a:cubicBezTo>
                <a:pt x="539262" y="6113"/>
                <a:pt x="577362" y="700"/>
                <a:pt x="579479" y="4933"/>
              </a:cubicBezTo>
              <a:cubicBezTo>
                <a:pt x="629983" y="2528"/>
                <a:pt x="599587" y="12643"/>
                <a:pt x="614404" y="11821"/>
              </a:cubicBezTo>
              <a:cubicBezTo>
                <a:pt x="629221" y="10999"/>
                <a:pt x="665204" y="2117"/>
                <a:pt x="668379" y="0"/>
              </a:cubicBezTo>
              <a:cubicBezTo>
                <a:pt x="666262" y="3175"/>
                <a:pt x="665204" y="23781"/>
                <a:pt x="665204" y="34145"/>
              </a:cubicBezTo>
              <a:cubicBezTo>
                <a:pt x="665204" y="44509"/>
                <a:pt x="668379" y="52967"/>
                <a:pt x="668379" y="62182"/>
              </a:cubicBezTo>
              <a:cubicBezTo>
                <a:pt x="668379" y="71397"/>
                <a:pt x="666262" y="79604"/>
                <a:pt x="665204" y="89438"/>
              </a:cubicBezTo>
              <a:cubicBezTo>
                <a:pt x="664146" y="99272"/>
                <a:pt x="671264" y="115911"/>
                <a:pt x="662029" y="121188"/>
              </a:cubicBezTo>
              <a:cubicBezTo>
                <a:pt x="649943" y="128094"/>
                <a:pt x="634462" y="117257"/>
                <a:pt x="620754" y="114838"/>
              </a:cubicBezTo>
              <a:cubicBezTo>
                <a:pt x="616457" y="114080"/>
                <a:pt x="612333" y="112519"/>
                <a:pt x="608054" y="111663"/>
              </a:cubicBezTo>
              <a:cubicBezTo>
                <a:pt x="601741" y="110400"/>
                <a:pt x="595354" y="109546"/>
                <a:pt x="589004" y="108488"/>
              </a:cubicBezTo>
              <a:cubicBezTo>
                <a:pt x="560429" y="109546"/>
                <a:pt x="531810" y="109761"/>
                <a:pt x="503279" y="111663"/>
              </a:cubicBezTo>
              <a:cubicBezTo>
                <a:pt x="499940" y="111886"/>
                <a:pt x="497096" y="114657"/>
                <a:pt x="493754" y="114838"/>
              </a:cubicBezTo>
              <a:cubicBezTo>
                <a:pt x="457808" y="116781"/>
                <a:pt x="421787" y="116955"/>
                <a:pt x="385804" y="118013"/>
              </a:cubicBezTo>
              <a:cubicBezTo>
                <a:pt x="375221" y="119071"/>
                <a:pt x="364667" y="120480"/>
                <a:pt x="354054" y="121188"/>
              </a:cubicBezTo>
              <a:cubicBezTo>
                <a:pt x="332908" y="122598"/>
                <a:pt x="311667" y="122527"/>
                <a:pt x="290554" y="124363"/>
              </a:cubicBezTo>
              <a:cubicBezTo>
                <a:pt x="287220" y="124653"/>
                <a:pt x="284276" y="126726"/>
                <a:pt x="281029" y="127538"/>
              </a:cubicBezTo>
              <a:cubicBezTo>
                <a:pt x="275794" y="128847"/>
                <a:pt x="270446" y="129655"/>
                <a:pt x="265154" y="130713"/>
              </a:cubicBezTo>
              <a:lnTo>
                <a:pt x="33379" y="127538"/>
              </a:lnTo>
              <a:cubicBezTo>
                <a:pt x="30033" y="127450"/>
                <a:pt x="27167" y="124836"/>
                <a:pt x="23854" y="124363"/>
              </a:cubicBezTo>
              <a:cubicBezTo>
                <a:pt x="19663" y="123764"/>
                <a:pt x="4804" y="118013"/>
                <a:pt x="1629" y="111663"/>
              </a:cubicBezTo>
              <a:close/>
            </a:path>
          </a:pathLst>
        </a:cu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15</xdr:col>
      <xdr:colOff>16522</xdr:colOff>
      <xdr:row>39</xdr:row>
      <xdr:rowOff>77129</xdr:rowOff>
    </xdr:from>
    <xdr:to>
      <xdr:col>18</xdr:col>
      <xdr:colOff>3055</xdr:colOff>
      <xdr:row>39</xdr:row>
      <xdr:rowOff>229616</xdr:rowOff>
    </xdr:to>
    <xdr:sp macro="" textlink="">
      <xdr:nvSpPr>
        <xdr:cNvPr id="190" name="Freeform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SpPr/>
      </xdr:nvSpPr>
      <xdr:spPr>
        <a:xfrm>
          <a:off x="9160522" y="6392204"/>
          <a:ext cx="1815333" cy="85812"/>
        </a:xfrm>
        <a:custGeom>
          <a:avLst/>
          <a:gdLst>
            <a:gd name="connsiteX0" fmla="*/ 1629 w 666832"/>
            <a:gd name="connsiteY0" fmla="*/ 119291 h 138341"/>
            <a:gd name="connsiteX1" fmla="*/ 4804 w 666832"/>
            <a:gd name="connsiteY1" fmla="*/ 93891 h 138341"/>
            <a:gd name="connsiteX2" fmla="*/ 20679 w 666832"/>
            <a:gd name="connsiteY2" fmla="*/ 24041 h 138341"/>
            <a:gd name="connsiteX3" fmla="*/ 46079 w 666832"/>
            <a:gd name="connsiteY3" fmla="*/ 27216 h 138341"/>
            <a:gd name="connsiteX4" fmla="*/ 55604 w 666832"/>
            <a:gd name="connsiteY4" fmla="*/ 33566 h 138341"/>
            <a:gd name="connsiteX5" fmla="*/ 119104 w 666832"/>
            <a:gd name="connsiteY5" fmla="*/ 30391 h 138341"/>
            <a:gd name="connsiteX6" fmla="*/ 141329 w 666832"/>
            <a:gd name="connsiteY6" fmla="*/ 20866 h 138341"/>
            <a:gd name="connsiteX7" fmla="*/ 160379 w 666832"/>
            <a:gd name="connsiteY7" fmla="*/ 17691 h 138341"/>
            <a:gd name="connsiteX8" fmla="*/ 182604 w 666832"/>
            <a:gd name="connsiteY8" fmla="*/ 20866 h 138341"/>
            <a:gd name="connsiteX9" fmla="*/ 195304 w 666832"/>
            <a:gd name="connsiteY9" fmla="*/ 39916 h 138341"/>
            <a:gd name="connsiteX10" fmla="*/ 208004 w 666832"/>
            <a:gd name="connsiteY10" fmla="*/ 52616 h 138341"/>
            <a:gd name="connsiteX11" fmla="*/ 220704 w 666832"/>
            <a:gd name="connsiteY11" fmla="*/ 30391 h 138341"/>
            <a:gd name="connsiteX12" fmla="*/ 230229 w 666832"/>
            <a:gd name="connsiteY12" fmla="*/ 27216 h 138341"/>
            <a:gd name="connsiteX13" fmla="*/ 277854 w 666832"/>
            <a:gd name="connsiteY13" fmla="*/ 20866 h 138341"/>
            <a:gd name="connsiteX14" fmla="*/ 287379 w 666832"/>
            <a:gd name="connsiteY14" fmla="*/ 17691 h 138341"/>
            <a:gd name="connsiteX15" fmla="*/ 296904 w 666832"/>
            <a:gd name="connsiteY15" fmla="*/ 30391 h 138341"/>
            <a:gd name="connsiteX16" fmla="*/ 315954 w 666832"/>
            <a:gd name="connsiteY16" fmla="*/ 39916 h 138341"/>
            <a:gd name="connsiteX17" fmla="*/ 347704 w 666832"/>
            <a:gd name="connsiteY17" fmla="*/ 33566 h 138341"/>
            <a:gd name="connsiteX18" fmla="*/ 373104 w 666832"/>
            <a:gd name="connsiteY18" fmla="*/ 20866 h 138341"/>
            <a:gd name="connsiteX19" fmla="*/ 392154 w 666832"/>
            <a:gd name="connsiteY19" fmla="*/ 14516 h 138341"/>
            <a:gd name="connsiteX20" fmla="*/ 401679 w 666832"/>
            <a:gd name="connsiteY20" fmla="*/ 11341 h 138341"/>
            <a:gd name="connsiteX21" fmla="*/ 563604 w 666832"/>
            <a:gd name="connsiteY21" fmla="*/ 27216 h 138341"/>
            <a:gd name="connsiteX22" fmla="*/ 569954 w 666832"/>
            <a:gd name="connsiteY22" fmla="*/ 39916 h 138341"/>
            <a:gd name="connsiteX23" fmla="*/ 649329 w 666832"/>
            <a:gd name="connsiteY23" fmla="*/ 30391 h 138341"/>
            <a:gd name="connsiteX24" fmla="*/ 658854 w 666832"/>
            <a:gd name="connsiteY24" fmla="*/ 24041 h 138341"/>
            <a:gd name="connsiteX25" fmla="*/ 652504 w 666832"/>
            <a:gd name="connsiteY25" fmla="*/ 33566 h 138341"/>
            <a:gd name="connsiteX26" fmla="*/ 658854 w 666832"/>
            <a:gd name="connsiteY26" fmla="*/ 78016 h 138341"/>
            <a:gd name="connsiteX27" fmla="*/ 665204 w 666832"/>
            <a:gd name="connsiteY27" fmla="*/ 97066 h 138341"/>
            <a:gd name="connsiteX28" fmla="*/ 662029 w 666832"/>
            <a:gd name="connsiteY28" fmla="*/ 128816 h 138341"/>
            <a:gd name="connsiteX29" fmla="*/ 620754 w 666832"/>
            <a:gd name="connsiteY29" fmla="*/ 122466 h 138341"/>
            <a:gd name="connsiteX30" fmla="*/ 608054 w 666832"/>
            <a:gd name="connsiteY30" fmla="*/ 119291 h 138341"/>
            <a:gd name="connsiteX31" fmla="*/ 589004 w 666832"/>
            <a:gd name="connsiteY31" fmla="*/ 116116 h 138341"/>
            <a:gd name="connsiteX32" fmla="*/ 503279 w 666832"/>
            <a:gd name="connsiteY32" fmla="*/ 119291 h 138341"/>
            <a:gd name="connsiteX33" fmla="*/ 493754 w 666832"/>
            <a:gd name="connsiteY33" fmla="*/ 122466 h 138341"/>
            <a:gd name="connsiteX34" fmla="*/ 385804 w 666832"/>
            <a:gd name="connsiteY34" fmla="*/ 125641 h 138341"/>
            <a:gd name="connsiteX35" fmla="*/ 354054 w 666832"/>
            <a:gd name="connsiteY35" fmla="*/ 128816 h 138341"/>
            <a:gd name="connsiteX36" fmla="*/ 290554 w 666832"/>
            <a:gd name="connsiteY36" fmla="*/ 131991 h 138341"/>
            <a:gd name="connsiteX37" fmla="*/ 281029 w 666832"/>
            <a:gd name="connsiteY37" fmla="*/ 135166 h 138341"/>
            <a:gd name="connsiteX38" fmla="*/ 265154 w 666832"/>
            <a:gd name="connsiteY38" fmla="*/ 138341 h 138341"/>
            <a:gd name="connsiteX39" fmla="*/ 33379 w 666832"/>
            <a:gd name="connsiteY39" fmla="*/ 135166 h 138341"/>
            <a:gd name="connsiteX40" fmla="*/ 23854 w 666832"/>
            <a:gd name="connsiteY40" fmla="*/ 131991 h 138341"/>
            <a:gd name="connsiteX41" fmla="*/ 1629 w 666832"/>
            <a:gd name="connsiteY41" fmla="*/ 119291 h 138341"/>
            <a:gd name="connsiteX0" fmla="*/ 1629 w 666832"/>
            <a:gd name="connsiteY0" fmla="*/ 119291 h 138341"/>
            <a:gd name="connsiteX1" fmla="*/ 4804 w 666832"/>
            <a:gd name="connsiteY1" fmla="*/ 93891 h 138341"/>
            <a:gd name="connsiteX2" fmla="*/ 20679 w 666832"/>
            <a:gd name="connsiteY2" fmla="*/ 24041 h 138341"/>
            <a:gd name="connsiteX3" fmla="*/ 46079 w 666832"/>
            <a:gd name="connsiteY3" fmla="*/ 27216 h 138341"/>
            <a:gd name="connsiteX4" fmla="*/ 55604 w 666832"/>
            <a:gd name="connsiteY4" fmla="*/ 33566 h 138341"/>
            <a:gd name="connsiteX5" fmla="*/ 119104 w 666832"/>
            <a:gd name="connsiteY5" fmla="*/ 30391 h 138341"/>
            <a:gd name="connsiteX6" fmla="*/ 141329 w 666832"/>
            <a:gd name="connsiteY6" fmla="*/ 20866 h 138341"/>
            <a:gd name="connsiteX7" fmla="*/ 160379 w 666832"/>
            <a:gd name="connsiteY7" fmla="*/ 17691 h 138341"/>
            <a:gd name="connsiteX8" fmla="*/ 182604 w 666832"/>
            <a:gd name="connsiteY8" fmla="*/ 20866 h 138341"/>
            <a:gd name="connsiteX9" fmla="*/ 195304 w 666832"/>
            <a:gd name="connsiteY9" fmla="*/ 39916 h 138341"/>
            <a:gd name="connsiteX10" fmla="*/ 208004 w 666832"/>
            <a:gd name="connsiteY10" fmla="*/ 52616 h 138341"/>
            <a:gd name="connsiteX11" fmla="*/ 220704 w 666832"/>
            <a:gd name="connsiteY11" fmla="*/ 30391 h 138341"/>
            <a:gd name="connsiteX12" fmla="*/ 230229 w 666832"/>
            <a:gd name="connsiteY12" fmla="*/ 27216 h 138341"/>
            <a:gd name="connsiteX13" fmla="*/ 277854 w 666832"/>
            <a:gd name="connsiteY13" fmla="*/ 20866 h 138341"/>
            <a:gd name="connsiteX14" fmla="*/ 287379 w 666832"/>
            <a:gd name="connsiteY14" fmla="*/ 17691 h 138341"/>
            <a:gd name="connsiteX15" fmla="*/ 296904 w 666832"/>
            <a:gd name="connsiteY15" fmla="*/ 30391 h 138341"/>
            <a:gd name="connsiteX16" fmla="*/ 315954 w 666832"/>
            <a:gd name="connsiteY16" fmla="*/ 39916 h 138341"/>
            <a:gd name="connsiteX17" fmla="*/ 347704 w 666832"/>
            <a:gd name="connsiteY17" fmla="*/ 33566 h 138341"/>
            <a:gd name="connsiteX18" fmla="*/ 373104 w 666832"/>
            <a:gd name="connsiteY18" fmla="*/ 20866 h 138341"/>
            <a:gd name="connsiteX19" fmla="*/ 392154 w 666832"/>
            <a:gd name="connsiteY19" fmla="*/ 14516 h 138341"/>
            <a:gd name="connsiteX20" fmla="*/ 401679 w 666832"/>
            <a:gd name="connsiteY20" fmla="*/ 11341 h 138341"/>
            <a:gd name="connsiteX21" fmla="*/ 563604 w 666832"/>
            <a:gd name="connsiteY21" fmla="*/ 27216 h 138341"/>
            <a:gd name="connsiteX22" fmla="*/ 569954 w 666832"/>
            <a:gd name="connsiteY22" fmla="*/ 39916 h 138341"/>
            <a:gd name="connsiteX23" fmla="*/ 649329 w 666832"/>
            <a:gd name="connsiteY23" fmla="*/ 30391 h 138341"/>
            <a:gd name="connsiteX24" fmla="*/ 658854 w 666832"/>
            <a:gd name="connsiteY24" fmla="*/ 24041 h 138341"/>
            <a:gd name="connsiteX25" fmla="*/ 665204 w 666832"/>
            <a:gd name="connsiteY25" fmla="*/ 41773 h 138341"/>
            <a:gd name="connsiteX26" fmla="*/ 658854 w 666832"/>
            <a:gd name="connsiteY26" fmla="*/ 78016 h 138341"/>
            <a:gd name="connsiteX27" fmla="*/ 665204 w 666832"/>
            <a:gd name="connsiteY27" fmla="*/ 97066 h 138341"/>
            <a:gd name="connsiteX28" fmla="*/ 662029 w 666832"/>
            <a:gd name="connsiteY28" fmla="*/ 128816 h 138341"/>
            <a:gd name="connsiteX29" fmla="*/ 620754 w 666832"/>
            <a:gd name="connsiteY29" fmla="*/ 122466 h 138341"/>
            <a:gd name="connsiteX30" fmla="*/ 608054 w 666832"/>
            <a:gd name="connsiteY30" fmla="*/ 119291 h 138341"/>
            <a:gd name="connsiteX31" fmla="*/ 589004 w 666832"/>
            <a:gd name="connsiteY31" fmla="*/ 116116 h 138341"/>
            <a:gd name="connsiteX32" fmla="*/ 503279 w 666832"/>
            <a:gd name="connsiteY32" fmla="*/ 119291 h 138341"/>
            <a:gd name="connsiteX33" fmla="*/ 493754 w 666832"/>
            <a:gd name="connsiteY33" fmla="*/ 122466 h 138341"/>
            <a:gd name="connsiteX34" fmla="*/ 385804 w 666832"/>
            <a:gd name="connsiteY34" fmla="*/ 125641 h 138341"/>
            <a:gd name="connsiteX35" fmla="*/ 354054 w 666832"/>
            <a:gd name="connsiteY35" fmla="*/ 128816 h 138341"/>
            <a:gd name="connsiteX36" fmla="*/ 290554 w 666832"/>
            <a:gd name="connsiteY36" fmla="*/ 131991 h 138341"/>
            <a:gd name="connsiteX37" fmla="*/ 281029 w 666832"/>
            <a:gd name="connsiteY37" fmla="*/ 135166 h 138341"/>
            <a:gd name="connsiteX38" fmla="*/ 265154 w 666832"/>
            <a:gd name="connsiteY38" fmla="*/ 138341 h 138341"/>
            <a:gd name="connsiteX39" fmla="*/ 33379 w 666832"/>
            <a:gd name="connsiteY39" fmla="*/ 135166 h 138341"/>
            <a:gd name="connsiteX40" fmla="*/ 23854 w 666832"/>
            <a:gd name="connsiteY40" fmla="*/ 131991 h 138341"/>
            <a:gd name="connsiteX41" fmla="*/ 1629 w 666832"/>
            <a:gd name="connsiteY41" fmla="*/ 119291 h 138341"/>
            <a:gd name="connsiteX0" fmla="*/ 1629 w 681079"/>
            <a:gd name="connsiteY0" fmla="*/ 125341 h 144391"/>
            <a:gd name="connsiteX1" fmla="*/ 4804 w 681079"/>
            <a:gd name="connsiteY1" fmla="*/ 99941 h 144391"/>
            <a:gd name="connsiteX2" fmla="*/ 20679 w 681079"/>
            <a:gd name="connsiteY2" fmla="*/ 30091 h 144391"/>
            <a:gd name="connsiteX3" fmla="*/ 46079 w 681079"/>
            <a:gd name="connsiteY3" fmla="*/ 33266 h 144391"/>
            <a:gd name="connsiteX4" fmla="*/ 55604 w 681079"/>
            <a:gd name="connsiteY4" fmla="*/ 39616 h 144391"/>
            <a:gd name="connsiteX5" fmla="*/ 119104 w 681079"/>
            <a:gd name="connsiteY5" fmla="*/ 36441 h 144391"/>
            <a:gd name="connsiteX6" fmla="*/ 141329 w 681079"/>
            <a:gd name="connsiteY6" fmla="*/ 26916 h 144391"/>
            <a:gd name="connsiteX7" fmla="*/ 160379 w 681079"/>
            <a:gd name="connsiteY7" fmla="*/ 23741 h 144391"/>
            <a:gd name="connsiteX8" fmla="*/ 182604 w 681079"/>
            <a:gd name="connsiteY8" fmla="*/ 26916 h 144391"/>
            <a:gd name="connsiteX9" fmla="*/ 195304 w 681079"/>
            <a:gd name="connsiteY9" fmla="*/ 45966 h 144391"/>
            <a:gd name="connsiteX10" fmla="*/ 208004 w 681079"/>
            <a:gd name="connsiteY10" fmla="*/ 58666 h 144391"/>
            <a:gd name="connsiteX11" fmla="*/ 220704 w 681079"/>
            <a:gd name="connsiteY11" fmla="*/ 36441 h 144391"/>
            <a:gd name="connsiteX12" fmla="*/ 230229 w 681079"/>
            <a:gd name="connsiteY12" fmla="*/ 33266 h 144391"/>
            <a:gd name="connsiteX13" fmla="*/ 277854 w 681079"/>
            <a:gd name="connsiteY13" fmla="*/ 26916 h 144391"/>
            <a:gd name="connsiteX14" fmla="*/ 287379 w 681079"/>
            <a:gd name="connsiteY14" fmla="*/ 23741 h 144391"/>
            <a:gd name="connsiteX15" fmla="*/ 296904 w 681079"/>
            <a:gd name="connsiteY15" fmla="*/ 36441 h 144391"/>
            <a:gd name="connsiteX16" fmla="*/ 315954 w 681079"/>
            <a:gd name="connsiteY16" fmla="*/ 45966 h 144391"/>
            <a:gd name="connsiteX17" fmla="*/ 347704 w 681079"/>
            <a:gd name="connsiteY17" fmla="*/ 39616 h 144391"/>
            <a:gd name="connsiteX18" fmla="*/ 373104 w 681079"/>
            <a:gd name="connsiteY18" fmla="*/ 26916 h 144391"/>
            <a:gd name="connsiteX19" fmla="*/ 392154 w 681079"/>
            <a:gd name="connsiteY19" fmla="*/ 20566 h 144391"/>
            <a:gd name="connsiteX20" fmla="*/ 401679 w 681079"/>
            <a:gd name="connsiteY20" fmla="*/ 17391 h 144391"/>
            <a:gd name="connsiteX21" fmla="*/ 563604 w 681079"/>
            <a:gd name="connsiteY21" fmla="*/ 33266 h 144391"/>
            <a:gd name="connsiteX22" fmla="*/ 569954 w 681079"/>
            <a:gd name="connsiteY22" fmla="*/ 45966 h 144391"/>
            <a:gd name="connsiteX23" fmla="*/ 649329 w 681079"/>
            <a:gd name="connsiteY23" fmla="*/ 36441 h 144391"/>
            <a:gd name="connsiteX24" fmla="*/ 681079 w 681079"/>
            <a:gd name="connsiteY24" fmla="*/ 0 h 144391"/>
            <a:gd name="connsiteX25" fmla="*/ 665204 w 681079"/>
            <a:gd name="connsiteY25" fmla="*/ 47823 h 144391"/>
            <a:gd name="connsiteX26" fmla="*/ 658854 w 681079"/>
            <a:gd name="connsiteY26" fmla="*/ 84066 h 144391"/>
            <a:gd name="connsiteX27" fmla="*/ 665204 w 681079"/>
            <a:gd name="connsiteY27" fmla="*/ 103116 h 144391"/>
            <a:gd name="connsiteX28" fmla="*/ 662029 w 681079"/>
            <a:gd name="connsiteY28" fmla="*/ 134866 h 144391"/>
            <a:gd name="connsiteX29" fmla="*/ 620754 w 681079"/>
            <a:gd name="connsiteY29" fmla="*/ 128516 h 144391"/>
            <a:gd name="connsiteX30" fmla="*/ 608054 w 681079"/>
            <a:gd name="connsiteY30" fmla="*/ 125341 h 144391"/>
            <a:gd name="connsiteX31" fmla="*/ 589004 w 681079"/>
            <a:gd name="connsiteY31" fmla="*/ 122166 h 144391"/>
            <a:gd name="connsiteX32" fmla="*/ 503279 w 681079"/>
            <a:gd name="connsiteY32" fmla="*/ 125341 h 144391"/>
            <a:gd name="connsiteX33" fmla="*/ 493754 w 681079"/>
            <a:gd name="connsiteY33" fmla="*/ 128516 h 144391"/>
            <a:gd name="connsiteX34" fmla="*/ 385804 w 681079"/>
            <a:gd name="connsiteY34" fmla="*/ 131691 h 144391"/>
            <a:gd name="connsiteX35" fmla="*/ 354054 w 681079"/>
            <a:gd name="connsiteY35" fmla="*/ 134866 h 144391"/>
            <a:gd name="connsiteX36" fmla="*/ 290554 w 681079"/>
            <a:gd name="connsiteY36" fmla="*/ 138041 h 144391"/>
            <a:gd name="connsiteX37" fmla="*/ 281029 w 681079"/>
            <a:gd name="connsiteY37" fmla="*/ 141216 h 144391"/>
            <a:gd name="connsiteX38" fmla="*/ 265154 w 681079"/>
            <a:gd name="connsiteY38" fmla="*/ 144391 h 144391"/>
            <a:gd name="connsiteX39" fmla="*/ 33379 w 681079"/>
            <a:gd name="connsiteY39" fmla="*/ 141216 h 144391"/>
            <a:gd name="connsiteX40" fmla="*/ 23854 w 681079"/>
            <a:gd name="connsiteY40" fmla="*/ 138041 h 144391"/>
            <a:gd name="connsiteX41" fmla="*/ 1629 w 681079"/>
            <a:gd name="connsiteY41" fmla="*/ 125341 h 144391"/>
            <a:gd name="connsiteX0" fmla="*/ 1629 w 681079"/>
            <a:gd name="connsiteY0" fmla="*/ 125341 h 144391"/>
            <a:gd name="connsiteX1" fmla="*/ 4804 w 681079"/>
            <a:gd name="connsiteY1" fmla="*/ 99941 h 144391"/>
            <a:gd name="connsiteX2" fmla="*/ 20679 w 681079"/>
            <a:gd name="connsiteY2" fmla="*/ 30091 h 144391"/>
            <a:gd name="connsiteX3" fmla="*/ 46079 w 681079"/>
            <a:gd name="connsiteY3" fmla="*/ 33266 h 144391"/>
            <a:gd name="connsiteX4" fmla="*/ 55604 w 681079"/>
            <a:gd name="connsiteY4" fmla="*/ 39616 h 144391"/>
            <a:gd name="connsiteX5" fmla="*/ 119104 w 681079"/>
            <a:gd name="connsiteY5" fmla="*/ 36441 h 144391"/>
            <a:gd name="connsiteX6" fmla="*/ 141329 w 681079"/>
            <a:gd name="connsiteY6" fmla="*/ 26916 h 144391"/>
            <a:gd name="connsiteX7" fmla="*/ 160379 w 681079"/>
            <a:gd name="connsiteY7" fmla="*/ 23741 h 144391"/>
            <a:gd name="connsiteX8" fmla="*/ 182604 w 681079"/>
            <a:gd name="connsiteY8" fmla="*/ 26916 h 144391"/>
            <a:gd name="connsiteX9" fmla="*/ 195304 w 681079"/>
            <a:gd name="connsiteY9" fmla="*/ 45966 h 144391"/>
            <a:gd name="connsiteX10" fmla="*/ 208004 w 681079"/>
            <a:gd name="connsiteY10" fmla="*/ 58666 h 144391"/>
            <a:gd name="connsiteX11" fmla="*/ 220704 w 681079"/>
            <a:gd name="connsiteY11" fmla="*/ 36441 h 144391"/>
            <a:gd name="connsiteX12" fmla="*/ 230229 w 681079"/>
            <a:gd name="connsiteY12" fmla="*/ 33266 h 144391"/>
            <a:gd name="connsiteX13" fmla="*/ 277854 w 681079"/>
            <a:gd name="connsiteY13" fmla="*/ 26916 h 144391"/>
            <a:gd name="connsiteX14" fmla="*/ 287379 w 681079"/>
            <a:gd name="connsiteY14" fmla="*/ 23741 h 144391"/>
            <a:gd name="connsiteX15" fmla="*/ 296904 w 681079"/>
            <a:gd name="connsiteY15" fmla="*/ 36441 h 144391"/>
            <a:gd name="connsiteX16" fmla="*/ 315954 w 681079"/>
            <a:gd name="connsiteY16" fmla="*/ 45966 h 144391"/>
            <a:gd name="connsiteX17" fmla="*/ 347704 w 681079"/>
            <a:gd name="connsiteY17" fmla="*/ 39616 h 144391"/>
            <a:gd name="connsiteX18" fmla="*/ 373104 w 681079"/>
            <a:gd name="connsiteY18" fmla="*/ 26916 h 144391"/>
            <a:gd name="connsiteX19" fmla="*/ 392154 w 681079"/>
            <a:gd name="connsiteY19" fmla="*/ 20566 h 144391"/>
            <a:gd name="connsiteX20" fmla="*/ 401679 w 681079"/>
            <a:gd name="connsiteY20" fmla="*/ 17391 h 144391"/>
            <a:gd name="connsiteX21" fmla="*/ 563604 w 681079"/>
            <a:gd name="connsiteY21" fmla="*/ 33266 h 144391"/>
            <a:gd name="connsiteX22" fmla="*/ 569954 w 681079"/>
            <a:gd name="connsiteY22" fmla="*/ 45966 h 144391"/>
            <a:gd name="connsiteX23" fmla="*/ 614404 w 681079"/>
            <a:gd name="connsiteY23" fmla="*/ 25499 h 144391"/>
            <a:gd name="connsiteX24" fmla="*/ 681079 w 681079"/>
            <a:gd name="connsiteY24" fmla="*/ 0 h 144391"/>
            <a:gd name="connsiteX25" fmla="*/ 665204 w 681079"/>
            <a:gd name="connsiteY25" fmla="*/ 47823 h 144391"/>
            <a:gd name="connsiteX26" fmla="*/ 658854 w 681079"/>
            <a:gd name="connsiteY26" fmla="*/ 84066 h 144391"/>
            <a:gd name="connsiteX27" fmla="*/ 665204 w 681079"/>
            <a:gd name="connsiteY27" fmla="*/ 103116 h 144391"/>
            <a:gd name="connsiteX28" fmla="*/ 662029 w 681079"/>
            <a:gd name="connsiteY28" fmla="*/ 134866 h 144391"/>
            <a:gd name="connsiteX29" fmla="*/ 620754 w 681079"/>
            <a:gd name="connsiteY29" fmla="*/ 128516 h 144391"/>
            <a:gd name="connsiteX30" fmla="*/ 608054 w 681079"/>
            <a:gd name="connsiteY30" fmla="*/ 125341 h 144391"/>
            <a:gd name="connsiteX31" fmla="*/ 589004 w 681079"/>
            <a:gd name="connsiteY31" fmla="*/ 122166 h 144391"/>
            <a:gd name="connsiteX32" fmla="*/ 503279 w 681079"/>
            <a:gd name="connsiteY32" fmla="*/ 125341 h 144391"/>
            <a:gd name="connsiteX33" fmla="*/ 493754 w 681079"/>
            <a:gd name="connsiteY33" fmla="*/ 128516 h 144391"/>
            <a:gd name="connsiteX34" fmla="*/ 385804 w 681079"/>
            <a:gd name="connsiteY34" fmla="*/ 131691 h 144391"/>
            <a:gd name="connsiteX35" fmla="*/ 354054 w 681079"/>
            <a:gd name="connsiteY35" fmla="*/ 134866 h 144391"/>
            <a:gd name="connsiteX36" fmla="*/ 290554 w 681079"/>
            <a:gd name="connsiteY36" fmla="*/ 138041 h 144391"/>
            <a:gd name="connsiteX37" fmla="*/ 281029 w 681079"/>
            <a:gd name="connsiteY37" fmla="*/ 141216 h 144391"/>
            <a:gd name="connsiteX38" fmla="*/ 265154 w 681079"/>
            <a:gd name="connsiteY38" fmla="*/ 144391 h 144391"/>
            <a:gd name="connsiteX39" fmla="*/ 33379 w 681079"/>
            <a:gd name="connsiteY39" fmla="*/ 141216 h 144391"/>
            <a:gd name="connsiteX40" fmla="*/ 23854 w 681079"/>
            <a:gd name="connsiteY40" fmla="*/ 138041 h 144391"/>
            <a:gd name="connsiteX41" fmla="*/ 1629 w 681079"/>
            <a:gd name="connsiteY41" fmla="*/ 125341 h 144391"/>
            <a:gd name="connsiteX0" fmla="*/ 1629 w 668379"/>
            <a:gd name="connsiteY0" fmla="*/ 119292 h 138342"/>
            <a:gd name="connsiteX1" fmla="*/ 4804 w 668379"/>
            <a:gd name="connsiteY1" fmla="*/ 93892 h 138342"/>
            <a:gd name="connsiteX2" fmla="*/ 20679 w 668379"/>
            <a:gd name="connsiteY2" fmla="*/ 24042 h 138342"/>
            <a:gd name="connsiteX3" fmla="*/ 46079 w 668379"/>
            <a:gd name="connsiteY3" fmla="*/ 27217 h 138342"/>
            <a:gd name="connsiteX4" fmla="*/ 55604 w 668379"/>
            <a:gd name="connsiteY4" fmla="*/ 33567 h 138342"/>
            <a:gd name="connsiteX5" fmla="*/ 119104 w 668379"/>
            <a:gd name="connsiteY5" fmla="*/ 30392 h 138342"/>
            <a:gd name="connsiteX6" fmla="*/ 141329 w 668379"/>
            <a:gd name="connsiteY6" fmla="*/ 20867 h 138342"/>
            <a:gd name="connsiteX7" fmla="*/ 160379 w 668379"/>
            <a:gd name="connsiteY7" fmla="*/ 17692 h 138342"/>
            <a:gd name="connsiteX8" fmla="*/ 182604 w 668379"/>
            <a:gd name="connsiteY8" fmla="*/ 20867 h 138342"/>
            <a:gd name="connsiteX9" fmla="*/ 195304 w 668379"/>
            <a:gd name="connsiteY9" fmla="*/ 39917 h 138342"/>
            <a:gd name="connsiteX10" fmla="*/ 208004 w 668379"/>
            <a:gd name="connsiteY10" fmla="*/ 52617 h 138342"/>
            <a:gd name="connsiteX11" fmla="*/ 220704 w 668379"/>
            <a:gd name="connsiteY11" fmla="*/ 30392 h 138342"/>
            <a:gd name="connsiteX12" fmla="*/ 230229 w 668379"/>
            <a:gd name="connsiteY12" fmla="*/ 27217 h 138342"/>
            <a:gd name="connsiteX13" fmla="*/ 277854 w 668379"/>
            <a:gd name="connsiteY13" fmla="*/ 20867 h 138342"/>
            <a:gd name="connsiteX14" fmla="*/ 287379 w 668379"/>
            <a:gd name="connsiteY14" fmla="*/ 17692 h 138342"/>
            <a:gd name="connsiteX15" fmla="*/ 296904 w 668379"/>
            <a:gd name="connsiteY15" fmla="*/ 30392 h 138342"/>
            <a:gd name="connsiteX16" fmla="*/ 315954 w 668379"/>
            <a:gd name="connsiteY16" fmla="*/ 39917 h 138342"/>
            <a:gd name="connsiteX17" fmla="*/ 347704 w 668379"/>
            <a:gd name="connsiteY17" fmla="*/ 33567 h 138342"/>
            <a:gd name="connsiteX18" fmla="*/ 373104 w 668379"/>
            <a:gd name="connsiteY18" fmla="*/ 20867 h 138342"/>
            <a:gd name="connsiteX19" fmla="*/ 392154 w 668379"/>
            <a:gd name="connsiteY19" fmla="*/ 14517 h 138342"/>
            <a:gd name="connsiteX20" fmla="*/ 401679 w 668379"/>
            <a:gd name="connsiteY20" fmla="*/ 11342 h 138342"/>
            <a:gd name="connsiteX21" fmla="*/ 563604 w 668379"/>
            <a:gd name="connsiteY21" fmla="*/ 27217 h 138342"/>
            <a:gd name="connsiteX22" fmla="*/ 569954 w 668379"/>
            <a:gd name="connsiteY22" fmla="*/ 39917 h 138342"/>
            <a:gd name="connsiteX23" fmla="*/ 614404 w 668379"/>
            <a:gd name="connsiteY23" fmla="*/ 19450 h 138342"/>
            <a:gd name="connsiteX24" fmla="*/ 668379 w 668379"/>
            <a:gd name="connsiteY24" fmla="*/ 7629 h 138342"/>
            <a:gd name="connsiteX25" fmla="*/ 665204 w 668379"/>
            <a:gd name="connsiteY25" fmla="*/ 41774 h 138342"/>
            <a:gd name="connsiteX26" fmla="*/ 658854 w 668379"/>
            <a:gd name="connsiteY26" fmla="*/ 78017 h 138342"/>
            <a:gd name="connsiteX27" fmla="*/ 665204 w 668379"/>
            <a:gd name="connsiteY27" fmla="*/ 97067 h 138342"/>
            <a:gd name="connsiteX28" fmla="*/ 662029 w 668379"/>
            <a:gd name="connsiteY28" fmla="*/ 128817 h 138342"/>
            <a:gd name="connsiteX29" fmla="*/ 620754 w 668379"/>
            <a:gd name="connsiteY29" fmla="*/ 122467 h 138342"/>
            <a:gd name="connsiteX30" fmla="*/ 608054 w 668379"/>
            <a:gd name="connsiteY30" fmla="*/ 119292 h 138342"/>
            <a:gd name="connsiteX31" fmla="*/ 589004 w 668379"/>
            <a:gd name="connsiteY31" fmla="*/ 116117 h 138342"/>
            <a:gd name="connsiteX32" fmla="*/ 503279 w 668379"/>
            <a:gd name="connsiteY32" fmla="*/ 119292 h 138342"/>
            <a:gd name="connsiteX33" fmla="*/ 493754 w 668379"/>
            <a:gd name="connsiteY33" fmla="*/ 122467 h 138342"/>
            <a:gd name="connsiteX34" fmla="*/ 385804 w 668379"/>
            <a:gd name="connsiteY34" fmla="*/ 125642 h 138342"/>
            <a:gd name="connsiteX35" fmla="*/ 354054 w 668379"/>
            <a:gd name="connsiteY35" fmla="*/ 128817 h 138342"/>
            <a:gd name="connsiteX36" fmla="*/ 290554 w 668379"/>
            <a:gd name="connsiteY36" fmla="*/ 131992 h 138342"/>
            <a:gd name="connsiteX37" fmla="*/ 281029 w 668379"/>
            <a:gd name="connsiteY37" fmla="*/ 135167 h 138342"/>
            <a:gd name="connsiteX38" fmla="*/ 265154 w 668379"/>
            <a:gd name="connsiteY38" fmla="*/ 138342 h 138342"/>
            <a:gd name="connsiteX39" fmla="*/ 33379 w 668379"/>
            <a:gd name="connsiteY39" fmla="*/ 135167 h 138342"/>
            <a:gd name="connsiteX40" fmla="*/ 23854 w 668379"/>
            <a:gd name="connsiteY40" fmla="*/ 131992 h 138342"/>
            <a:gd name="connsiteX41" fmla="*/ 1629 w 668379"/>
            <a:gd name="connsiteY41" fmla="*/ 119292 h 138342"/>
            <a:gd name="connsiteX0" fmla="*/ 1629 w 668379"/>
            <a:gd name="connsiteY0" fmla="*/ 119292 h 138342"/>
            <a:gd name="connsiteX1" fmla="*/ 4804 w 668379"/>
            <a:gd name="connsiteY1" fmla="*/ 93892 h 138342"/>
            <a:gd name="connsiteX2" fmla="*/ 20679 w 668379"/>
            <a:gd name="connsiteY2" fmla="*/ 24042 h 138342"/>
            <a:gd name="connsiteX3" fmla="*/ 46079 w 668379"/>
            <a:gd name="connsiteY3" fmla="*/ 27217 h 138342"/>
            <a:gd name="connsiteX4" fmla="*/ 55604 w 668379"/>
            <a:gd name="connsiteY4" fmla="*/ 33567 h 138342"/>
            <a:gd name="connsiteX5" fmla="*/ 119104 w 668379"/>
            <a:gd name="connsiteY5" fmla="*/ 30392 h 138342"/>
            <a:gd name="connsiteX6" fmla="*/ 141329 w 668379"/>
            <a:gd name="connsiteY6" fmla="*/ 20867 h 138342"/>
            <a:gd name="connsiteX7" fmla="*/ 160379 w 668379"/>
            <a:gd name="connsiteY7" fmla="*/ 17692 h 138342"/>
            <a:gd name="connsiteX8" fmla="*/ 182604 w 668379"/>
            <a:gd name="connsiteY8" fmla="*/ 20867 h 138342"/>
            <a:gd name="connsiteX9" fmla="*/ 195304 w 668379"/>
            <a:gd name="connsiteY9" fmla="*/ 39917 h 138342"/>
            <a:gd name="connsiteX10" fmla="*/ 208004 w 668379"/>
            <a:gd name="connsiteY10" fmla="*/ 52617 h 138342"/>
            <a:gd name="connsiteX11" fmla="*/ 220704 w 668379"/>
            <a:gd name="connsiteY11" fmla="*/ 30392 h 138342"/>
            <a:gd name="connsiteX12" fmla="*/ 230229 w 668379"/>
            <a:gd name="connsiteY12" fmla="*/ 27217 h 138342"/>
            <a:gd name="connsiteX13" fmla="*/ 277854 w 668379"/>
            <a:gd name="connsiteY13" fmla="*/ 20867 h 138342"/>
            <a:gd name="connsiteX14" fmla="*/ 287379 w 668379"/>
            <a:gd name="connsiteY14" fmla="*/ 17692 h 138342"/>
            <a:gd name="connsiteX15" fmla="*/ 296904 w 668379"/>
            <a:gd name="connsiteY15" fmla="*/ 30392 h 138342"/>
            <a:gd name="connsiteX16" fmla="*/ 315954 w 668379"/>
            <a:gd name="connsiteY16" fmla="*/ 39917 h 138342"/>
            <a:gd name="connsiteX17" fmla="*/ 347704 w 668379"/>
            <a:gd name="connsiteY17" fmla="*/ 33567 h 138342"/>
            <a:gd name="connsiteX18" fmla="*/ 373104 w 668379"/>
            <a:gd name="connsiteY18" fmla="*/ 20867 h 138342"/>
            <a:gd name="connsiteX19" fmla="*/ 392154 w 668379"/>
            <a:gd name="connsiteY19" fmla="*/ 14517 h 138342"/>
            <a:gd name="connsiteX20" fmla="*/ 401679 w 668379"/>
            <a:gd name="connsiteY20" fmla="*/ 11342 h 138342"/>
            <a:gd name="connsiteX21" fmla="*/ 563604 w 668379"/>
            <a:gd name="connsiteY21" fmla="*/ 27217 h 138342"/>
            <a:gd name="connsiteX22" fmla="*/ 569954 w 668379"/>
            <a:gd name="connsiteY22" fmla="*/ 39917 h 138342"/>
            <a:gd name="connsiteX23" fmla="*/ 614404 w 668379"/>
            <a:gd name="connsiteY23" fmla="*/ 19450 h 138342"/>
            <a:gd name="connsiteX24" fmla="*/ 668379 w 668379"/>
            <a:gd name="connsiteY24" fmla="*/ 7629 h 138342"/>
            <a:gd name="connsiteX25" fmla="*/ 665204 w 668379"/>
            <a:gd name="connsiteY25" fmla="*/ 41774 h 138342"/>
            <a:gd name="connsiteX26" fmla="*/ 668379 w 668379"/>
            <a:gd name="connsiteY26" fmla="*/ 69811 h 138342"/>
            <a:gd name="connsiteX27" fmla="*/ 665204 w 668379"/>
            <a:gd name="connsiteY27" fmla="*/ 97067 h 138342"/>
            <a:gd name="connsiteX28" fmla="*/ 662029 w 668379"/>
            <a:gd name="connsiteY28" fmla="*/ 128817 h 138342"/>
            <a:gd name="connsiteX29" fmla="*/ 620754 w 668379"/>
            <a:gd name="connsiteY29" fmla="*/ 122467 h 138342"/>
            <a:gd name="connsiteX30" fmla="*/ 608054 w 668379"/>
            <a:gd name="connsiteY30" fmla="*/ 119292 h 138342"/>
            <a:gd name="connsiteX31" fmla="*/ 589004 w 668379"/>
            <a:gd name="connsiteY31" fmla="*/ 116117 h 138342"/>
            <a:gd name="connsiteX32" fmla="*/ 503279 w 668379"/>
            <a:gd name="connsiteY32" fmla="*/ 119292 h 138342"/>
            <a:gd name="connsiteX33" fmla="*/ 493754 w 668379"/>
            <a:gd name="connsiteY33" fmla="*/ 122467 h 138342"/>
            <a:gd name="connsiteX34" fmla="*/ 385804 w 668379"/>
            <a:gd name="connsiteY34" fmla="*/ 125642 h 138342"/>
            <a:gd name="connsiteX35" fmla="*/ 354054 w 668379"/>
            <a:gd name="connsiteY35" fmla="*/ 128817 h 138342"/>
            <a:gd name="connsiteX36" fmla="*/ 290554 w 668379"/>
            <a:gd name="connsiteY36" fmla="*/ 131992 h 138342"/>
            <a:gd name="connsiteX37" fmla="*/ 281029 w 668379"/>
            <a:gd name="connsiteY37" fmla="*/ 135167 h 138342"/>
            <a:gd name="connsiteX38" fmla="*/ 265154 w 668379"/>
            <a:gd name="connsiteY38" fmla="*/ 138342 h 138342"/>
            <a:gd name="connsiteX39" fmla="*/ 33379 w 668379"/>
            <a:gd name="connsiteY39" fmla="*/ 135167 h 138342"/>
            <a:gd name="connsiteX40" fmla="*/ 23854 w 668379"/>
            <a:gd name="connsiteY40" fmla="*/ 131992 h 138342"/>
            <a:gd name="connsiteX41" fmla="*/ 1629 w 668379"/>
            <a:gd name="connsiteY41" fmla="*/ 119292 h 138342"/>
            <a:gd name="connsiteX0" fmla="*/ 1629 w 668379"/>
            <a:gd name="connsiteY0" fmla="*/ 119292 h 138342"/>
            <a:gd name="connsiteX1" fmla="*/ 4804 w 668379"/>
            <a:gd name="connsiteY1" fmla="*/ 93892 h 138342"/>
            <a:gd name="connsiteX2" fmla="*/ 20679 w 668379"/>
            <a:gd name="connsiteY2" fmla="*/ 24042 h 138342"/>
            <a:gd name="connsiteX3" fmla="*/ 46079 w 668379"/>
            <a:gd name="connsiteY3" fmla="*/ 27217 h 138342"/>
            <a:gd name="connsiteX4" fmla="*/ 55604 w 668379"/>
            <a:gd name="connsiteY4" fmla="*/ 33567 h 138342"/>
            <a:gd name="connsiteX5" fmla="*/ 119104 w 668379"/>
            <a:gd name="connsiteY5" fmla="*/ 30392 h 138342"/>
            <a:gd name="connsiteX6" fmla="*/ 141329 w 668379"/>
            <a:gd name="connsiteY6" fmla="*/ 20867 h 138342"/>
            <a:gd name="connsiteX7" fmla="*/ 160379 w 668379"/>
            <a:gd name="connsiteY7" fmla="*/ 17692 h 138342"/>
            <a:gd name="connsiteX8" fmla="*/ 182604 w 668379"/>
            <a:gd name="connsiteY8" fmla="*/ 20867 h 138342"/>
            <a:gd name="connsiteX9" fmla="*/ 195304 w 668379"/>
            <a:gd name="connsiteY9" fmla="*/ 39917 h 138342"/>
            <a:gd name="connsiteX10" fmla="*/ 217529 w 668379"/>
            <a:gd name="connsiteY10" fmla="*/ 27997 h 138342"/>
            <a:gd name="connsiteX11" fmla="*/ 220704 w 668379"/>
            <a:gd name="connsiteY11" fmla="*/ 30392 h 138342"/>
            <a:gd name="connsiteX12" fmla="*/ 230229 w 668379"/>
            <a:gd name="connsiteY12" fmla="*/ 27217 h 138342"/>
            <a:gd name="connsiteX13" fmla="*/ 277854 w 668379"/>
            <a:gd name="connsiteY13" fmla="*/ 20867 h 138342"/>
            <a:gd name="connsiteX14" fmla="*/ 287379 w 668379"/>
            <a:gd name="connsiteY14" fmla="*/ 17692 h 138342"/>
            <a:gd name="connsiteX15" fmla="*/ 296904 w 668379"/>
            <a:gd name="connsiteY15" fmla="*/ 30392 h 138342"/>
            <a:gd name="connsiteX16" fmla="*/ 315954 w 668379"/>
            <a:gd name="connsiteY16" fmla="*/ 39917 h 138342"/>
            <a:gd name="connsiteX17" fmla="*/ 347704 w 668379"/>
            <a:gd name="connsiteY17" fmla="*/ 33567 h 138342"/>
            <a:gd name="connsiteX18" fmla="*/ 373104 w 668379"/>
            <a:gd name="connsiteY18" fmla="*/ 20867 h 138342"/>
            <a:gd name="connsiteX19" fmla="*/ 392154 w 668379"/>
            <a:gd name="connsiteY19" fmla="*/ 14517 h 138342"/>
            <a:gd name="connsiteX20" fmla="*/ 401679 w 668379"/>
            <a:gd name="connsiteY20" fmla="*/ 11342 h 138342"/>
            <a:gd name="connsiteX21" fmla="*/ 563604 w 668379"/>
            <a:gd name="connsiteY21" fmla="*/ 27217 h 138342"/>
            <a:gd name="connsiteX22" fmla="*/ 569954 w 668379"/>
            <a:gd name="connsiteY22" fmla="*/ 39917 h 138342"/>
            <a:gd name="connsiteX23" fmla="*/ 614404 w 668379"/>
            <a:gd name="connsiteY23" fmla="*/ 19450 h 138342"/>
            <a:gd name="connsiteX24" fmla="*/ 668379 w 668379"/>
            <a:gd name="connsiteY24" fmla="*/ 7629 h 138342"/>
            <a:gd name="connsiteX25" fmla="*/ 665204 w 668379"/>
            <a:gd name="connsiteY25" fmla="*/ 41774 h 138342"/>
            <a:gd name="connsiteX26" fmla="*/ 668379 w 668379"/>
            <a:gd name="connsiteY26" fmla="*/ 69811 h 138342"/>
            <a:gd name="connsiteX27" fmla="*/ 665204 w 668379"/>
            <a:gd name="connsiteY27" fmla="*/ 97067 h 138342"/>
            <a:gd name="connsiteX28" fmla="*/ 662029 w 668379"/>
            <a:gd name="connsiteY28" fmla="*/ 128817 h 138342"/>
            <a:gd name="connsiteX29" fmla="*/ 620754 w 668379"/>
            <a:gd name="connsiteY29" fmla="*/ 122467 h 138342"/>
            <a:gd name="connsiteX30" fmla="*/ 608054 w 668379"/>
            <a:gd name="connsiteY30" fmla="*/ 119292 h 138342"/>
            <a:gd name="connsiteX31" fmla="*/ 589004 w 668379"/>
            <a:gd name="connsiteY31" fmla="*/ 116117 h 138342"/>
            <a:gd name="connsiteX32" fmla="*/ 503279 w 668379"/>
            <a:gd name="connsiteY32" fmla="*/ 119292 h 138342"/>
            <a:gd name="connsiteX33" fmla="*/ 493754 w 668379"/>
            <a:gd name="connsiteY33" fmla="*/ 122467 h 138342"/>
            <a:gd name="connsiteX34" fmla="*/ 385804 w 668379"/>
            <a:gd name="connsiteY34" fmla="*/ 125642 h 138342"/>
            <a:gd name="connsiteX35" fmla="*/ 354054 w 668379"/>
            <a:gd name="connsiteY35" fmla="*/ 128817 h 138342"/>
            <a:gd name="connsiteX36" fmla="*/ 290554 w 668379"/>
            <a:gd name="connsiteY36" fmla="*/ 131992 h 138342"/>
            <a:gd name="connsiteX37" fmla="*/ 281029 w 668379"/>
            <a:gd name="connsiteY37" fmla="*/ 135167 h 138342"/>
            <a:gd name="connsiteX38" fmla="*/ 265154 w 668379"/>
            <a:gd name="connsiteY38" fmla="*/ 138342 h 138342"/>
            <a:gd name="connsiteX39" fmla="*/ 33379 w 668379"/>
            <a:gd name="connsiteY39" fmla="*/ 135167 h 138342"/>
            <a:gd name="connsiteX40" fmla="*/ 23854 w 668379"/>
            <a:gd name="connsiteY40" fmla="*/ 131992 h 138342"/>
            <a:gd name="connsiteX41" fmla="*/ 1629 w 668379"/>
            <a:gd name="connsiteY41" fmla="*/ 119292 h 138342"/>
            <a:gd name="connsiteX0" fmla="*/ 1629 w 668379"/>
            <a:gd name="connsiteY0" fmla="*/ 119292 h 138342"/>
            <a:gd name="connsiteX1" fmla="*/ 4804 w 668379"/>
            <a:gd name="connsiteY1" fmla="*/ 93892 h 138342"/>
            <a:gd name="connsiteX2" fmla="*/ 20679 w 668379"/>
            <a:gd name="connsiteY2" fmla="*/ 24042 h 138342"/>
            <a:gd name="connsiteX3" fmla="*/ 46079 w 668379"/>
            <a:gd name="connsiteY3" fmla="*/ 27217 h 138342"/>
            <a:gd name="connsiteX4" fmla="*/ 55604 w 668379"/>
            <a:gd name="connsiteY4" fmla="*/ 33567 h 138342"/>
            <a:gd name="connsiteX5" fmla="*/ 119104 w 668379"/>
            <a:gd name="connsiteY5" fmla="*/ 30392 h 138342"/>
            <a:gd name="connsiteX6" fmla="*/ 141329 w 668379"/>
            <a:gd name="connsiteY6" fmla="*/ 20867 h 138342"/>
            <a:gd name="connsiteX7" fmla="*/ 160379 w 668379"/>
            <a:gd name="connsiteY7" fmla="*/ 17692 h 138342"/>
            <a:gd name="connsiteX8" fmla="*/ 182604 w 668379"/>
            <a:gd name="connsiteY8" fmla="*/ 20867 h 138342"/>
            <a:gd name="connsiteX9" fmla="*/ 195304 w 668379"/>
            <a:gd name="connsiteY9" fmla="*/ 39917 h 138342"/>
            <a:gd name="connsiteX10" fmla="*/ 217529 w 668379"/>
            <a:gd name="connsiteY10" fmla="*/ 27997 h 138342"/>
            <a:gd name="connsiteX11" fmla="*/ 220704 w 668379"/>
            <a:gd name="connsiteY11" fmla="*/ 30392 h 138342"/>
            <a:gd name="connsiteX12" fmla="*/ 230229 w 668379"/>
            <a:gd name="connsiteY12" fmla="*/ 27217 h 138342"/>
            <a:gd name="connsiteX13" fmla="*/ 277854 w 668379"/>
            <a:gd name="connsiteY13" fmla="*/ 20867 h 138342"/>
            <a:gd name="connsiteX14" fmla="*/ 287379 w 668379"/>
            <a:gd name="connsiteY14" fmla="*/ 17692 h 138342"/>
            <a:gd name="connsiteX15" fmla="*/ 296904 w 668379"/>
            <a:gd name="connsiteY15" fmla="*/ 30392 h 138342"/>
            <a:gd name="connsiteX16" fmla="*/ 344529 w 668379"/>
            <a:gd name="connsiteY16" fmla="*/ 20768 h 138342"/>
            <a:gd name="connsiteX17" fmla="*/ 347704 w 668379"/>
            <a:gd name="connsiteY17" fmla="*/ 33567 h 138342"/>
            <a:gd name="connsiteX18" fmla="*/ 373104 w 668379"/>
            <a:gd name="connsiteY18" fmla="*/ 20867 h 138342"/>
            <a:gd name="connsiteX19" fmla="*/ 392154 w 668379"/>
            <a:gd name="connsiteY19" fmla="*/ 14517 h 138342"/>
            <a:gd name="connsiteX20" fmla="*/ 401679 w 668379"/>
            <a:gd name="connsiteY20" fmla="*/ 11342 h 138342"/>
            <a:gd name="connsiteX21" fmla="*/ 563604 w 668379"/>
            <a:gd name="connsiteY21" fmla="*/ 27217 h 138342"/>
            <a:gd name="connsiteX22" fmla="*/ 569954 w 668379"/>
            <a:gd name="connsiteY22" fmla="*/ 39917 h 138342"/>
            <a:gd name="connsiteX23" fmla="*/ 614404 w 668379"/>
            <a:gd name="connsiteY23" fmla="*/ 19450 h 138342"/>
            <a:gd name="connsiteX24" fmla="*/ 668379 w 668379"/>
            <a:gd name="connsiteY24" fmla="*/ 7629 h 138342"/>
            <a:gd name="connsiteX25" fmla="*/ 665204 w 668379"/>
            <a:gd name="connsiteY25" fmla="*/ 41774 h 138342"/>
            <a:gd name="connsiteX26" fmla="*/ 668379 w 668379"/>
            <a:gd name="connsiteY26" fmla="*/ 69811 h 138342"/>
            <a:gd name="connsiteX27" fmla="*/ 665204 w 668379"/>
            <a:gd name="connsiteY27" fmla="*/ 97067 h 138342"/>
            <a:gd name="connsiteX28" fmla="*/ 662029 w 668379"/>
            <a:gd name="connsiteY28" fmla="*/ 128817 h 138342"/>
            <a:gd name="connsiteX29" fmla="*/ 620754 w 668379"/>
            <a:gd name="connsiteY29" fmla="*/ 122467 h 138342"/>
            <a:gd name="connsiteX30" fmla="*/ 608054 w 668379"/>
            <a:gd name="connsiteY30" fmla="*/ 119292 h 138342"/>
            <a:gd name="connsiteX31" fmla="*/ 589004 w 668379"/>
            <a:gd name="connsiteY31" fmla="*/ 116117 h 138342"/>
            <a:gd name="connsiteX32" fmla="*/ 503279 w 668379"/>
            <a:gd name="connsiteY32" fmla="*/ 119292 h 138342"/>
            <a:gd name="connsiteX33" fmla="*/ 493754 w 668379"/>
            <a:gd name="connsiteY33" fmla="*/ 122467 h 138342"/>
            <a:gd name="connsiteX34" fmla="*/ 385804 w 668379"/>
            <a:gd name="connsiteY34" fmla="*/ 125642 h 138342"/>
            <a:gd name="connsiteX35" fmla="*/ 354054 w 668379"/>
            <a:gd name="connsiteY35" fmla="*/ 128817 h 138342"/>
            <a:gd name="connsiteX36" fmla="*/ 290554 w 668379"/>
            <a:gd name="connsiteY36" fmla="*/ 131992 h 138342"/>
            <a:gd name="connsiteX37" fmla="*/ 281029 w 668379"/>
            <a:gd name="connsiteY37" fmla="*/ 135167 h 138342"/>
            <a:gd name="connsiteX38" fmla="*/ 265154 w 668379"/>
            <a:gd name="connsiteY38" fmla="*/ 138342 h 138342"/>
            <a:gd name="connsiteX39" fmla="*/ 33379 w 668379"/>
            <a:gd name="connsiteY39" fmla="*/ 135167 h 138342"/>
            <a:gd name="connsiteX40" fmla="*/ 23854 w 668379"/>
            <a:gd name="connsiteY40" fmla="*/ 131992 h 138342"/>
            <a:gd name="connsiteX41" fmla="*/ 1629 w 668379"/>
            <a:gd name="connsiteY41" fmla="*/ 119292 h 138342"/>
            <a:gd name="connsiteX0" fmla="*/ 1629 w 668379"/>
            <a:gd name="connsiteY0" fmla="*/ 111663 h 130713"/>
            <a:gd name="connsiteX1" fmla="*/ 4804 w 668379"/>
            <a:gd name="connsiteY1" fmla="*/ 86263 h 130713"/>
            <a:gd name="connsiteX2" fmla="*/ 20679 w 668379"/>
            <a:gd name="connsiteY2" fmla="*/ 16413 h 130713"/>
            <a:gd name="connsiteX3" fmla="*/ 46079 w 668379"/>
            <a:gd name="connsiteY3" fmla="*/ 19588 h 130713"/>
            <a:gd name="connsiteX4" fmla="*/ 55604 w 668379"/>
            <a:gd name="connsiteY4" fmla="*/ 25938 h 130713"/>
            <a:gd name="connsiteX5" fmla="*/ 119104 w 668379"/>
            <a:gd name="connsiteY5" fmla="*/ 22763 h 130713"/>
            <a:gd name="connsiteX6" fmla="*/ 141329 w 668379"/>
            <a:gd name="connsiteY6" fmla="*/ 13238 h 130713"/>
            <a:gd name="connsiteX7" fmla="*/ 160379 w 668379"/>
            <a:gd name="connsiteY7" fmla="*/ 10063 h 130713"/>
            <a:gd name="connsiteX8" fmla="*/ 182604 w 668379"/>
            <a:gd name="connsiteY8" fmla="*/ 13238 h 130713"/>
            <a:gd name="connsiteX9" fmla="*/ 195304 w 668379"/>
            <a:gd name="connsiteY9" fmla="*/ 32288 h 130713"/>
            <a:gd name="connsiteX10" fmla="*/ 217529 w 668379"/>
            <a:gd name="connsiteY10" fmla="*/ 20368 h 130713"/>
            <a:gd name="connsiteX11" fmla="*/ 220704 w 668379"/>
            <a:gd name="connsiteY11" fmla="*/ 22763 h 130713"/>
            <a:gd name="connsiteX12" fmla="*/ 230229 w 668379"/>
            <a:gd name="connsiteY12" fmla="*/ 19588 h 130713"/>
            <a:gd name="connsiteX13" fmla="*/ 277854 w 668379"/>
            <a:gd name="connsiteY13" fmla="*/ 13238 h 130713"/>
            <a:gd name="connsiteX14" fmla="*/ 287379 w 668379"/>
            <a:gd name="connsiteY14" fmla="*/ 10063 h 130713"/>
            <a:gd name="connsiteX15" fmla="*/ 296904 w 668379"/>
            <a:gd name="connsiteY15" fmla="*/ 22763 h 130713"/>
            <a:gd name="connsiteX16" fmla="*/ 344529 w 668379"/>
            <a:gd name="connsiteY16" fmla="*/ 13139 h 130713"/>
            <a:gd name="connsiteX17" fmla="*/ 347704 w 668379"/>
            <a:gd name="connsiteY17" fmla="*/ 25938 h 130713"/>
            <a:gd name="connsiteX18" fmla="*/ 373104 w 668379"/>
            <a:gd name="connsiteY18" fmla="*/ 13238 h 130713"/>
            <a:gd name="connsiteX19" fmla="*/ 392154 w 668379"/>
            <a:gd name="connsiteY19" fmla="*/ 6888 h 130713"/>
            <a:gd name="connsiteX20" fmla="*/ 401679 w 668379"/>
            <a:gd name="connsiteY20" fmla="*/ 3713 h 130713"/>
            <a:gd name="connsiteX21" fmla="*/ 563604 w 668379"/>
            <a:gd name="connsiteY21" fmla="*/ 19588 h 130713"/>
            <a:gd name="connsiteX22" fmla="*/ 579479 w 668379"/>
            <a:gd name="connsiteY22" fmla="*/ 4933 h 130713"/>
            <a:gd name="connsiteX23" fmla="*/ 614404 w 668379"/>
            <a:gd name="connsiteY23" fmla="*/ 11821 h 130713"/>
            <a:gd name="connsiteX24" fmla="*/ 668379 w 668379"/>
            <a:gd name="connsiteY24" fmla="*/ 0 h 130713"/>
            <a:gd name="connsiteX25" fmla="*/ 665204 w 668379"/>
            <a:gd name="connsiteY25" fmla="*/ 34145 h 130713"/>
            <a:gd name="connsiteX26" fmla="*/ 668379 w 668379"/>
            <a:gd name="connsiteY26" fmla="*/ 62182 h 130713"/>
            <a:gd name="connsiteX27" fmla="*/ 665204 w 668379"/>
            <a:gd name="connsiteY27" fmla="*/ 89438 h 130713"/>
            <a:gd name="connsiteX28" fmla="*/ 662029 w 668379"/>
            <a:gd name="connsiteY28" fmla="*/ 121188 h 130713"/>
            <a:gd name="connsiteX29" fmla="*/ 620754 w 668379"/>
            <a:gd name="connsiteY29" fmla="*/ 114838 h 130713"/>
            <a:gd name="connsiteX30" fmla="*/ 608054 w 668379"/>
            <a:gd name="connsiteY30" fmla="*/ 111663 h 130713"/>
            <a:gd name="connsiteX31" fmla="*/ 589004 w 668379"/>
            <a:gd name="connsiteY31" fmla="*/ 108488 h 130713"/>
            <a:gd name="connsiteX32" fmla="*/ 503279 w 668379"/>
            <a:gd name="connsiteY32" fmla="*/ 111663 h 130713"/>
            <a:gd name="connsiteX33" fmla="*/ 493754 w 668379"/>
            <a:gd name="connsiteY33" fmla="*/ 114838 h 130713"/>
            <a:gd name="connsiteX34" fmla="*/ 385804 w 668379"/>
            <a:gd name="connsiteY34" fmla="*/ 118013 h 130713"/>
            <a:gd name="connsiteX35" fmla="*/ 354054 w 668379"/>
            <a:gd name="connsiteY35" fmla="*/ 121188 h 130713"/>
            <a:gd name="connsiteX36" fmla="*/ 290554 w 668379"/>
            <a:gd name="connsiteY36" fmla="*/ 124363 h 130713"/>
            <a:gd name="connsiteX37" fmla="*/ 281029 w 668379"/>
            <a:gd name="connsiteY37" fmla="*/ 127538 h 130713"/>
            <a:gd name="connsiteX38" fmla="*/ 265154 w 668379"/>
            <a:gd name="connsiteY38" fmla="*/ 130713 h 130713"/>
            <a:gd name="connsiteX39" fmla="*/ 33379 w 668379"/>
            <a:gd name="connsiteY39" fmla="*/ 127538 h 130713"/>
            <a:gd name="connsiteX40" fmla="*/ 23854 w 668379"/>
            <a:gd name="connsiteY40" fmla="*/ 124363 h 130713"/>
            <a:gd name="connsiteX41" fmla="*/ 1629 w 668379"/>
            <a:gd name="connsiteY41" fmla="*/ 111663 h 130713"/>
            <a:gd name="connsiteX0" fmla="*/ 1629 w 668379"/>
            <a:gd name="connsiteY0" fmla="*/ 111663 h 130713"/>
            <a:gd name="connsiteX1" fmla="*/ 4804 w 668379"/>
            <a:gd name="connsiteY1" fmla="*/ 86263 h 130713"/>
            <a:gd name="connsiteX2" fmla="*/ 20679 w 668379"/>
            <a:gd name="connsiteY2" fmla="*/ 16413 h 130713"/>
            <a:gd name="connsiteX3" fmla="*/ 46079 w 668379"/>
            <a:gd name="connsiteY3" fmla="*/ 19588 h 130713"/>
            <a:gd name="connsiteX4" fmla="*/ 55604 w 668379"/>
            <a:gd name="connsiteY4" fmla="*/ 25938 h 130713"/>
            <a:gd name="connsiteX5" fmla="*/ 119104 w 668379"/>
            <a:gd name="connsiteY5" fmla="*/ 22763 h 130713"/>
            <a:gd name="connsiteX6" fmla="*/ 141329 w 668379"/>
            <a:gd name="connsiteY6" fmla="*/ 13238 h 130713"/>
            <a:gd name="connsiteX7" fmla="*/ 160379 w 668379"/>
            <a:gd name="connsiteY7" fmla="*/ 10063 h 130713"/>
            <a:gd name="connsiteX8" fmla="*/ 182604 w 668379"/>
            <a:gd name="connsiteY8" fmla="*/ 13238 h 130713"/>
            <a:gd name="connsiteX9" fmla="*/ 195304 w 668379"/>
            <a:gd name="connsiteY9" fmla="*/ 32288 h 130713"/>
            <a:gd name="connsiteX10" fmla="*/ 217529 w 668379"/>
            <a:gd name="connsiteY10" fmla="*/ 20368 h 130713"/>
            <a:gd name="connsiteX11" fmla="*/ 220704 w 668379"/>
            <a:gd name="connsiteY11" fmla="*/ 22763 h 130713"/>
            <a:gd name="connsiteX12" fmla="*/ 230229 w 668379"/>
            <a:gd name="connsiteY12" fmla="*/ 19588 h 130713"/>
            <a:gd name="connsiteX13" fmla="*/ 277854 w 668379"/>
            <a:gd name="connsiteY13" fmla="*/ 13238 h 130713"/>
            <a:gd name="connsiteX14" fmla="*/ 287379 w 668379"/>
            <a:gd name="connsiteY14" fmla="*/ 10063 h 130713"/>
            <a:gd name="connsiteX15" fmla="*/ 296904 w 668379"/>
            <a:gd name="connsiteY15" fmla="*/ 22763 h 130713"/>
            <a:gd name="connsiteX16" fmla="*/ 344529 w 668379"/>
            <a:gd name="connsiteY16" fmla="*/ 13139 h 130713"/>
            <a:gd name="connsiteX17" fmla="*/ 347704 w 668379"/>
            <a:gd name="connsiteY17" fmla="*/ 25938 h 130713"/>
            <a:gd name="connsiteX18" fmla="*/ 373104 w 668379"/>
            <a:gd name="connsiteY18" fmla="*/ 13238 h 130713"/>
            <a:gd name="connsiteX19" fmla="*/ 392154 w 668379"/>
            <a:gd name="connsiteY19" fmla="*/ 6888 h 130713"/>
            <a:gd name="connsiteX20" fmla="*/ 401679 w 668379"/>
            <a:gd name="connsiteY20" fmla="*/ 3713 h 130713"/>
            <a:gd name="connsiteX21" fmla="*/ 509629 w 668379"/>
            <a:gd name="connsiteY21" fmla="*/ 5910 h 130713"/>
            <a:gd name="connsiteX22" fmla="*/ 579479 w 668379"/>
            <a:gd name="connsiteY22" fmla="*/ 4933 h 130713"/>
            <a:gd name="connsiteX23" fmla="*/ 614404 w 668379"/>
            <a:gd name="connsiteY23" fmla="*/ 11821 h 130713"/>
            <a:gd name="connsiteX24" fmla="*/ 668379 w 668379"/>
            <a:gd name="connsiteY24" fmla="*/ 0 h 130713"/>
            <a:gd name="connsiteX25" fmla="*/ 665204 w 668379"/>
            <a:gd name="connsiteY25" fmla="*/ 34145 h 130713"/>
            <a:gd name="connsiteX26" fmla="*/ 668379 w 668379"/>
            <a:gd name="connsiteY26" fmla="*/ 62182 h 130713"/>
            <a:gd name="connsiteX27" fmla="*/ 665204 w 668379"/>
            <a:gd name="connsiteY27" fmla="*/ 89438 h 130713"/>
            <a:gd name="connsiteX28" fmla="*/ 662029 w 668379"/>
            <a:gd name="connsiteY28" fmla="*/ 121188 h 130713"/>
            <a:gd name="connsiteX29" fmla="*/ 620754 w 668379"/>
            <a:gd name="connsiteY29" fmla="*/ 114838 h 130713"/>
            <a:gd name="connsiteX30" fmla="*/ 608054 w 668379"/>
            <a:gd name="connsiteY30" fmla="*/ 111663 h 130713"/>
            <a:gd name="connsiteX31" fmla="*/ 589004 w 668379"/>
            <a:gd name="connsiteY31" fmla="*/ 108488 h 130713"/>
            <a:gd name="connsiteX32" fmla="*/ 503279 w 668379"/>
            <a:gd name="connsiteY32" fmla="*/ 111663 h 130713"/>
            <a:gd name="connsiteX33" fmla="*/ 493754 w 668379"/>
            <a:gd name="connsiteY33" fmla="*/ 114838 h 130713"/>
            <a:gd name="connsiteX34" fmla="*/ 385804 w 668379"/>
            <a:gd name="connsiteY34" fmla="*/ 118013 h 130713"/>
            <a:gd name="connsiteX35" fmla="*/ 354054 w 668379"/>
            <a:gd name="connsiteY35" fmla="*/ 121188 h 130713"/>
            <a:gd name="connsiteX36" fmla="*/ 290554 w 668379"/>
            <a:gd name="connsiteY36" fmla="*/ 124363 h 130713"/>
            <a:gd name="connsiteX37" fmla="*/ 281029 w 668379"/>
            <a:gd name="connsiteY37" fmla="*/ 127538 h 130713"/>
            <a:gd name="connsiteX38" fmla="*/ 265154 w 668379"/>
            <a:gd name="connsiteY38" fmla="*/ 130713 h 130713"/>
            <a:gd name="connsiteX39" fmla="*/ 33379 w 668379"/>
            <a:gd name="connsiteY39" fmla="*/ 127538 h 130713"/>
            <a:gd name="connsiteX40" fmla="*/ 23854 w 668379"/>
            <a:gd name="connsiteY40" fmla="*/ 124363 h 130713"/>
            <a:gd name="connsiteX41" fmla="*/ 1629 w 668379"/>
            <a:gd name="connsiteY41" fmla="*/ 111663 h 1307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</a:cxnLst>
          <a:rect l="l" t="t" r="r" b="b"/>
          <a:pathLst>
            <a:path w="668379" h="130713">
              <a:moveTo>
                <a:pt x="1629" y="111663"/>
              </a:moveTo>
              <a:cubicBezTo>
                <a:pt x="-1546" y="105313"/>
                <a:pt x="132" y="123637"/>
                <a:pt x="4804" y="86263"/>
              </a:cubicBezTo>
              <a:cubicBezTo>
                <a:pt x="13861" y="13811"/>
                <a:pt x="-14720" y="25263"/>
                <a:pt x="20679" y="16413"/>
              </a:cubicBezTo>
              <a:cubicBezTo>
                <a:pt x="29146" y="17471"/>
                <a:pt x="37847" y="17343"/>
                <a:pt x="46079" y="19588"/>
              </a:cubicBezTo>
              <a:cubicBezTo>
                <a:pt x="49760" y="20592"/>
                <a:pt x="51792" y="25772"/>
                <a:pt x="55604" y="25938"/>
              </a:cubicBezTo>
              <a:lnTo>
                <a:pt x="119104" y="22763"/>
              </a:lnTo>
              <a:cubicBezTo>
                <a:pt x="126869" y="18880"/>
                <a:pt x="132920" y="15107"/>
                <a:pt x="141329" y="13238"/>
              </a:cubicBezTo>
              <a:cubicBezTo>
                <a:pt x="147613" y="11841"/>
                <a:pt x="154029" y="11121"/>
                <a:pt x="160379" y="10063"/>
              </a:cubicBezTo>
              <a:cubicBezTo>
                <a:pt x="167787" y="11121"/>
                <a:pt x="176290" y="9220"/>
                <a:pt x="182604" y="13238"/>
              </a:cubicBezTo>
              <a:cubicBezTo>
                <a:pt x="189043" y="17335"/>
                <a:pt x="189483" y="31100"/>
                <a:pt x="195304" y="32288"/>
              </a:cubicBezTo>
              <a:cubicBezTo>
                <a:pt x="201125" y="33476"/>
                <a:pt x="210121" y="24341"/>
                <a:pt x="217529" y="20368"/>
              </a:cubicBezTo>
              <a:cubicBezTo>
                <a:pt x="243196" y="3257"/>
                <a:pt x="218587" y="22893"/>
                <a:pt x="220704" y="22763"/>
              </a:cubicBezTo>
              <a:cubicBezTo>
                <a:pt x="222821" y="22633"/>
                <a:pt x="226928" y="20138"/>
                <a:pt x="230229" y="19588"/>
              </a:cubicBezTo>
              <a:cubicBezTo>
                <a:pt x="246027" y="16955"/>
                <a:pt x="261979" y="15355"/>
                <a:pt x="277854" y="13238"/>
              </a:cubicBezTo>
              <a:cubicBezTo>
                <a:pt x="281029" y="12180"/>
                <a:pt x="284386" y="8566"/>
                <a:pt x="287379" y="10063"/>
              </a:cubicBezTo>
              <a:cubicBezTo>
                <a:pt x="292112" y="12430"/>
                <a:pt x="287379" y="22250"/>
                <a:pt x="296904" y="22763"/>
              </a:cubicBezTo>
              <a:cubicBezTo>
                <a:pt x="306429" y="23276"/>
                <a:pt x="336782" y="10557"/>
                <a:pt x="344529" y="13139"/>
              </a:cubicBezTo>
              <a:cubicBezTo>
                <a:pt x="355112" y="11022"/>
                <a:pt x="342942" y="25922"/>
                <a:pt x="347704" y="25938"/>
              </a:cubicBezTo>
              <a:cubicBezTo>
                <a:pt x="352466" y="25954"/>
                <a:pt x="364124" y="16231"/>
                <a:pt x="373104" y="13238"/>
              </a:cubicBezTo>
              <a:lnTo>
                <a:pt x="392154" y="6888"/>
              </a:lnTo>
              <a:cubicBezTo>
                <a:pt x="395329" y="5830"/>
                <a:pt x="382100" y="3876"/>
                <a:pt x="401679" y="3713"/>
              </a:cubicBezTo>
              <a:cubicBezTo>
                <a:pt x="421258" y="3550"/>
                <a:pt x="479996" y="5707"/>
                <a:pt x="509629" y="5910"/>
              </a:cubicBezTo>
              <a:cubicBezTo>
                <a:pt x="539262" y="6113"/>
                <a:pt x="577362" y="700"/>
                <a:pt x="579479" y="4933"/>
              </a:cubicBezTo>
              <a:cubicBezTo>
                <a:pt x="629983" y="2528"/>
                <a:pt x="599587" y="12643"/>
                <a:pt x="614404" y="11821"/>
              </a:cubicBezTo>
              <a:cubicBezTo>
                <a:pt x="629221" y="10999"/>
                <a:pt x="665204" y="2117"/>
                <a:pt x="668379" y="0"/>
              </a:cubicBezTo>
              <a:cubicBezTo>
                <a:pt x="666262" y="3175"/>
                <a:pt x="665204" y="23781"/>
                <a:pt x="665204" y="34145"/>
              </a:cubicBezTo>
              <a:cubicBezTo>
                <a:pt x="665204" y="44509"/>
                <a:pt x="668379" y="52967"/>
                <a:pt x="668379" y="62182"/>
              </a:cubicBezTo>
              <a:cubicBezTo>
                <a:pt x="668379" y="71397"/>
                <a:pt x="666262" y="79604"/>
                <a:pt x="665204" y="89438"/>
              </a:cubicBezTo>
              <a:cubicBezTo>
                <a:pt x="664146" y="99272"/>
                <a:pt x="671264" y="115911"/>
                <a:pt x="662029" y="121188"/>
              </a:cubicBezTo>
              <a:cubicBezTo>
                <a:pt x="649943" y="128094"/>
                <a:pt x="634462" y="117257"/>
                <a:pt x="620754" y="114838"/>
              </a:cubicBezTo>
              <a:cubicBezTo>
                <a:pt x="616457" y="114080"/>
                <a:pt x="612333" y="112519"/>
                <a:pt x="608054" y="111663"/>
              </a:cubicBezTo>
              <a:cubicBezTo>
                <a:pt x="601741" y="110400"/>
                <a:pt x="595354" y="109546"/>
                <a:pt x="589004" y="108488"/>
              </a:cubicBezTo>
              <a:cubicBezTo>
                <a:pt x="560429" y="109546"/>
                <a:pt x="531810" y="109761"/>
                <a:pt x="503279" y="111663"/>
              </a:cubicBezTo>
              <a:cubicBezTo>
                <a:pt x="499940" y="111886"/>
                <a:pt x="497096" y="114657"/>
                <a:pt x="493754" y="114838"/>
              </a:cubicBezTo>
              <a:cubicBezTo>
                <a:pt x="457808" y="116781"/>
                <a:pt x="421787" y="116955"/>
                <a:pt x="385804" y="118013"/>
              </a:cubicBezTo>
              <a:cubicBezTo>
                <a:pt x="375221" y="119071"/>
                <a:pt x="364667" y="120480"/>
                <a:pt x="354054" y="121188"/>
              </a:cubicBezTo>
              <a:cubicBezTo>
                <a:pt x="332908" y="122598"/>
                <a:pt x="311667" y="122527"/>
                <a:pt x="290554" y="124363"/>
              </a:cubicBezTo>
              <a:cubicBezTo>
                <a:pt x="287220" y="124653"/>
                <a:pt x="284276" y="126726"/>
                <a:pt x="281029" y="127538"/>
              </a:cubicBezTo>
              <a:cubicBezTo>
                <a:pt x="275794" y="128847"/>
                <a:pt x="270446" y="129655"/>
                <a:pt x="265154" y="130713"/>
              </a:cubicBezTo>
              <a:lnTo>
                <a:pt x="33379" y="127538"/>
              </a:lnTo>
              <a:cubicBezTo>
                <a:pt x="30033" y="127450"/>
                <a:pt x="27167" y="124836"/>
                <a:pt x="23854" y="124363"/>
              </a:cubicBezTo>
              <a:cubicBezTo>
                <a:pt x="19663" y="123764"/>
                <a:pt x="4804" y="118013"/>
                <a:pt x="1629" y="111663"/>
              </a:cubicBezTo>
              <a:close/>
            </a:path>
          </a:pathLst>
        </a:cu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27</xdr:col>
      <xdr:colOff>14001</xdr:colOff>
      <xdr:row>39</xdr:row>
      <xdr:rowOff>215660</xdr:rowOff>
    </xdr:from>
    <xdr:to>
      <xdr:col>29</xdr:col>
      <xdr:colOff>194468</xdr:colOff>
      <xdr:row>40</xdr:row>
      <xdr:rowOff>80873</xdr:rowOff>
    </xdr:to>
    <xdr:sp macro="" textlink="">
      <xdr:nvSpPr>
        <xdr:cNvPr id="191" name="Freeform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SpPr/>
      </xdr:nvSpPr>
      <xdr:spPr>
        <a:xfrm>
          <a:off x="16473201" y="6473585"/>
          <a:ext cx="1399667" cy="84288"/>
        </a:xfrm>
        <a:custGeom>
          <a:avLst/>
          <a:gdLst>
            <a:gd name="connsiteX0" fmla="*/ 1629 w 666832"/>
            <a:gd name="connsiteY0" fmla="*/ 119291 h 138341"/>
            <a:gd name="connsiteX1" fmla="*/ 4804 w 666832"/>
            <a:gd name="connsiteY1" fmla="*/ 93891 h 138341"/>
            <a:gd name="connsiteX2" fmla="*/ 20679 w 666832"/>
            <a:gd name="connsiteY2" fmla="*/ 24041 h 138341"/>
            <a:gd name="connsiteX3" fmla="*/ 46079 w 666832"/>
            <a:gd name="connsiteY3" fmla="*/ 27216 h 138341"/>
            <a:gd name="connsiteX4" fmla="*/ 55604 w 666832"/>
            <a:gd name="connsiteY4" fmla="*/ 33566 h 138341"/>
            <a:gd name="connsiteX5" fmla="*/ 119104 w 666832"/>
            <a:gd name="connsiteY5" fmla="*/ 30391 h 138341"/>
            <a:gd name="connsiteX6" fmla="*/ 141329 w 666832"/>
            <a:gd name="connsiteY6" fmla="*/ 20866 h 138341"/>
            <a:gd name="connsiteX7" fmla="*/ 160379 w 666832"/>
            <a:gd name="connsiteY7" fmla="*/ 17691 h 138341"/>
            <a:gd name="connsiteX8" fmla="*/ 182604 w 666832"/>
            <a:gd name="connsiteY8" fmla="*/ 20866 h 138341"/>
            <a:gd name="connsiteX9" fmla="*/ 195304 w 666832"/>
            <a:gd name="connsiteY9" fmla="*/ 39916 h 138341"/>
            <a:gd name="connsiteX10" fmla="*/ 208004 w 666832"/>
            <a:gd name="connsiteY10" fmla="*/ 52616 h 138341"/>
            <a:gd name="connsiteX11" fmla="*/ 220704 w 666832"/>
            <a:gd name="connsiteY11" fmla="*/ 30391 h 138341"/>
            <a:gd name="connsiteX12" fmla="*/ 230229 w 666832"/>
            <a:gd name="connsiteY12" fmla="*/ 27216 h 138341"/>
            <a:gd name="connsiteX13" fmla="*/ 277854 w 666832"/>
            <a:gd name="connsiteY13" fmla="*/ 20866 h 138341"/>
            <a:gd name="connsiteX14" fmla="*/ 287379 w 666832"/>
            <a:gd name="connsiteY14" fmla="*/ 17691 h 138341"/>
            <a:gd name="connsiteX15" fmla="*/ 296904 w 666832"/>
            <a:gd name="connsiteY15" fmla="*/ 30391 h 138341"/>
            <a:gd name="connsiteX16" fmla="*/ 315954 w 666832"/>
            <a:gd name="connsiteY16" fmla="*/ 39916 h 138341"/>
            <a:gd name="connsiteX17" fmla="*/ 347704 w 666832"/>
            <a:gd name="connsiteY17" fmla="*/ 33566 h 138341"/>
            <a:gd name="connsiteX18" fmla="*/ 373104 w 666832"/>
            <a:gd name="connsiteY18" fmla="*/ 20866 h 138341"/>
            <a:gd name="connsiteX19" fmla="*/ 392154 w 666832"/>
            <a:gd name="connsiteY19" fmla="*/ 14516 h 138341"/>
            <a:gd name="connsiteX20" fmla="*/ 401679 w 666832"/>
            <a:gd name="connsiteY20" fmla="*/ 11341 h 138341"/>
            <a:gd name="connsiteX21" fmla="*/ 563604 w 666832"/>
            <a:gd name="connsiteY21" fmla="*/ 27216 h 138341"/>
            <a:gd name="connsiteX22" fmla="*/ 569954 w 666832"/>
            <a:gd name="connsiteY22" fmla="*/ 39916 h 138341"/>
            <a:gd name="connsiteX23" fmla="*/ 649329 w 666832"/>
            <a:gd name="connsiteY23" fmla="*/ 30391 h 138341"/>
            <a:gd name="connsiteX24" fmla="*/ 658854 w 666832"/>
            <a:gd name="connsiteY24" fmla="*/ 24041 h 138341"/>
            <a:gd name="connsiteX25" fmla="*/ 652504 w 666832"/>
            <a:gd name="connsiteY25" fmla="*/ 33566 h 138341"/>
            <a:gd name="connsiteX26" fmla="*/ 658854 w 666832"/>
            <a:gd name="connsiteY26" fmla="*/ 78016 h 138341"/>
            <a:gd name="connsiteX27" fmla="*/ 665204 w 666832"/>
            <a:gd name="connsiteY27" fmla="*/ 97066 h 138341"/>
            <a:gd name="connsiteX28" fmla="*/ 662029 w 666832"/>
            <a:gd name="connsiteY28" fmla="*/ 128816 h 138341"/>
            <a:gd name="connsiteX29" fmla="*/ 620754 w 666832"/>
            <a:gd name="connsiteY29" fmla="*/ 122466 h 138341"/>
            <a:gd name="connsiteX30" fmla="*/ 608054 w 666832"/>
            <a:gd name="connsiteY30" fmla="*/ 119291 h 138341"/>
            <a:gd name="connsiteX31" fmla="*/ 589004 w 666832"/>
            <a:gd name="connsiteY31" fmla="*/ 116116 h 138341"/>
            <a:gd name="connsiteX32" fmla="*/ 503279 w 666832"/>
            <a:gd name="connsiteY32" fmla="*/ 119291 h 138341"/>
            <a:gd name="connsiteX33" fmla="*/ 493754 w 666832"/>
            <a:gd name="connsiteY33" fmla="*/ 122466 h 138341"/>
            <a:gd name="connsiteX34" fmla="*/ 385804 w 666832"/>
            <a:gd name="connsiteY34" fmla="*/ 125641 h 138341"/>
            <a:gd name="connsiteX35" fmla="*/ 354054 w 666832"/>
            <a:gd name="connsiteY35" fmla="*/ 128816 h 138341"/>
            <a:gd name="connsiteX36" fmla="*/ 290554 w 666832"/>
            <a:gd name="connsiteY36" fmla="*/ 131991 h 138341"/>
            <a:gd name="connsiteX37" fmla="*/ 281029 w 666832"/>
            <a:gd name="connsiteY37" fmla="*/ 135166 h 138341"/>
            <a:gd name="connsiteX38" fmla="*/ 265154 w 666832"/>
            <a:gd name="connsiteY38" fmla="*/ 138341 h 138341"/>
            <a:gd name="connsiteX39" fmla="*/ 33379 w 666832"/>
            <a:gd name="connsiteY39" fmla="*/ 135166 h 138341"/>
            <a:gd name="connsiteX40" fmla="*/ 23854 w 666832"/>
            <a:gd name="connsiteY40" fmla="*/ 131991 h 138341"/>
            <a:gd name="connsiteX41" fmla="*/ 1629 w 666832"/>
            <a:gd name="connsiteY41" fmla="*/ 119291 h 138341"/>
            <a:gd name="connsiteX0" fmla="*/ 1629 w 666832"/>
            <a:gd name="connsiteY0" fmla="*/ 119291 h 138341"/>
            <a:gd name="connsiteX1" fmla="*/ 4804 w 666832"/>
            <a:gd name="connsiteY1" fmla="*/ 93891 h 138341"/>
            <a:gd name="connsiteX2" fmla="*/ 20679 w 666832"/>
            <a:gd name="connsiteY2" fmla="*/ 24041 h 138341"/>
            <a:gd name="connsiteX3" fmla="*/ 46079 w 666832"/>
            <a:gd name="connsiteY3" fmla="*/ 27216 h 138341"/>
            <a:gd name="connsiteX4" fmla="*/ 55604 w 666832"/>
            <a:gd name="connsiteY4" fmla="*/ 33566 h 138341"/>
            <a:gd name="connsiteX5" fmla="*/ 119104 w 666832"/>
            <a:gd name="connsiteY5" fmla="*/ 30391 h 138341"/>
            <a:gd name="connsiteX6" fmla="*/ 141329 w 666832"/>
            <a:gd name="connsiteY6" fmla="*/ 20866 h 138341"/>
            <a:gd name="connsiteX7" fmla="*/ 160379 w 666832"/>
            <a:gd name="connsiteY7" fmla="*/ 17691 h 138341"/>
            <a:gd name="connsiteX8" fmla="*/ 182604 w 666832"/>
            <a:gd name="connsiteY8" fmla="*/ 20866 h 138341"/>
            <a:gd name="connsiteX9" fmla="*/ 195304 w 666832"/>
            <a:gd name="connsiteY9" fmla="*/ 39916 h 138341"/>
            <a:gd name="connsiteX10" fmla="*/ 208004 w 666832"/>
            <a:gd name="connsiteY10" fmla="*/ 52616 h 138341"/>
            <a:gd name="connsiteX11" fmla="*/ 220704 w 666832"/>
            <a:gd name="connsiteY11" fmla="*/ 30391 h 138341"/>
            <a:gd name="connsiteX12" fmla="*/ 230229 w 666832"/>
            <a:gd name="connsiteY12" fmla="*/ 27216 h 138341"/>
            <a:gd name="connsiteX13" fmla="*/ 277854 w 666832"/>
            <a:gd name="connsiteY13" fmla="*/ 20866 h 138341"/>
            <a:gd name="connsiteX14" fmla="*/ 287379 w 666832"/>
            <a:gd name="connsiteY14" fmla="*/ 17691 h 138341"/>
            <a:gd name="connsiteX15" fmla="*/ 296904 w 666832"/>
            <a:gd name="connsiteY15" fmla="*/ 30391 h 138341"/>
            <a:gd name="connsiteX16" fmla="*/ 315954 w 666832"/>
            <a:gd name="connsiteY16" fmla="*/ 39916 h 138341"/>
            <a:gd name="connsiteX17" fmla="*/ 347704 w 666832"/>
            <a:gd name="connsiteY17" fmla="*/ 33566 h 138341"/>
            <a:gd name="connsiteX18" fmla="*/ 373104 w 666832"/>
            <a:gd name="connsiteY18" fmla="*/ 20866 h 138341"/>
            <a:gd name="connsiteX19" fmla="*/ 392154 w 666832"/>
            <a:gd name="connsiteY19" fmla="*/ 14516 h 138341"/>
            <a:gd name="connsiteX20" fmla="*/ 401679 w 666832"/>
            <a:gd name="connsiteY20" fmla="*/ 11341 h 138341"/>
            <a:gd name="connsiteX21" fmla="*/ 563604 w 666832"/>
            <a:gd name="connsiteY21" fmla="*/ 27216 h 138341"/>
            <a:gd name="connsiteX22" fmla="*/ 569954 w 666832"/>
            <a:gd name="connsiteY22" fmla="*/ 39916 h 138341"/>
            <a:gd name="connsiteX23" fmla="*/ 649329 w 666832"/>
            <a:gd name="connsiteY23" fmla="*/ 30391 h 138341"/>
            <a:gd name="connsiteX24" fmla="*/ 658854 w 666832"/>
            <a:gd name="connsiteY24" fmla="*/ 24041 h 138341"/>
            <a:gd name="connsiteX25" fmla="*/ 665204 w 666832"/>
            <a:gd name="connsiteY25" fmla="*/ 41773 h 138341"/>
            <a:gd name="connsiteX26" fmla="*/ 658854 w 666832"/>
            <a:gd name="connsiteY26" fmla="*/ 78016 h 138341"/>
            <a:gd name="connsiteX27" fmla="*/ 665204 w 666832"/>
            <a:gd name="connsiteY27" fmla="*/ 97066 h 138341"/>
            <a:gd name="connsiteX28" fmla="*/ 662029 w 666832"/>
            <a:gd name="connsiteY28" fmla="*/ 128816 h 138341"/>
            <a:gd name="connsiteX29" fmla="*/ 620754 w 666832"/>
            <a:gd name="connsiteY29" fmla="*/ 122466 h 138341"/>
            <a:gd name="connsiteX30" fmla="*/ 608054 w 666832"/>
            <a:gd name="connsiteY30" fmla="*/ 119291 h 138341"/>
            <a:gd name="connsiteX31" fmla="*/ 589004 w 666832"/>
            <a:gd name="connsiteY31" fmla="*/ 116116 h 138341"/>
            <a:gd name="connsiteX32" fmla="*/ 503279 w 666832"/>
            <a:gd name="connsiteY32" fmla="*/ 119291 h 138341"/>
            <a:gd name="connsiteX33" fmla="*/ 493754 w 666832"/>
            <a:gd name="connsiteY33" fmla="*/ 122466 h 138341"/>
            <a:gd name="connsiteX34" fmla="*/ 385804 w 666832"/>
            <a:gd name="connsiteY34" fmla="*/ 125641 h 138341"/>
            <a:gd name="connsiteX35" fmla="*/ 354054 w 666832"/>
            <a:gd name="connsiteY35" fmla="*/ 128816 h 138341"/>
            <a:gd name="connsiteX36" fmla="*/ 290554 w 666832"/>
            <a:gd name="connsiteY36" fmla="*/ 131991 h 138341"/>
            <a:gd name="connsiteX37" fmla="*/ 281029 w 666832"/>
            <a:gd name="connsiteY37" fmla="*/ 135166 h 138341"/>
            <a:gd name="connsiteX38" fmla="*/ 265154 w 666832"/>
            <a:gd name="connsiteY38" fmla="*/ 138341 h 138341"/>
            <a:gd name="connsiteX39" fmla="*/ 33379 w 666832"/>
            <a:gd name="connsiteY39" fmla="*/ 135166 h 138341"/>
            <a:gd name="connsiteX40" fmla="*/ 23854 w 666832"/>
            <a:gd name="connsiteY40" fmla="*/ 131991 h 138341"/>
            <a:gd name="connsiteX41" fmla="*/ 1629 w 666832"/>
            <a:gd name="connsiteY41" fmla="*/ 119291 h 138341"/>
            <a:gd name="connsiteX0" fmla="*/ 1629 w 681079"/>
            <a:gd name="connsiteY0" fmla="*/ 125341 h 144391"/>
            <a:gd name="connsiteX1" fmla="*/ 4804 w 681079"/>
            <a:gd name="connsiteY1" fmla="*/ 99941 h 144391"/>
            <a:gd name="connsiteX2" fmla="*/ 20679 w 681079"/>
            <a:gd name="connsiteY2" fmla="*/ 30091 h 144391"/>
            <a:gd name="connsiteX3" fmla="*/ 46079 w 681079"/>
            <a:gd name="connsiteY3" fmla="*/ 33266 h 144391"/>
            <a:gd name="connsiteX4" fmla="*/ 55604 w 681079"/>
            <a:gd name="connsiteY4" fmla="*/ 39616 h 144391"/>
            <a:gd name="connsiteX5" fmla="*/ 119104 w 681079"/>
            <a:gd name="connsiteY5" fmla="*/ 36441 h 144391"/>
            <a:gd name="connsiteX6" fmla="*/ 141329 w 681079"/>
            <a:gd name="connsiteY6" fmla="*/ 26916 h 144391"/>
            <a:gd name="connsiteX7" fmla="*/ 160379 w 681079"/>
            <a:gd name="connsiteY7" fmla="*/ 23741 h 144391"/>
            <a:gd name="connsiteX8" fmla="*/ 182604 w 681079"/>
            <a:gd name="connsiteY8" fmla="*/ 26916 h 144391"/>
            <a:gd name="connsiteX9" fmla="*/ 195304 w 681079"/>
            <a:gd name="connsiteY9" fmla="*/ 45966 h 144391"/>
            <a:gd name="connsiteX10" fmla="*/ 208004 w 681079"/>
            <a:gd name="connsiteY10" fmla="*/ 58666 h 144391"/>
            <a:gd name="connsiteX11" fmla="*/ 220704 w 681079"/>
            <a:gd name="connsiteY11" fmla="*/ 36441 h 144391"/>
            <a:gd name="connsiteX12" fmla="*/ 230229 w 681079"/>
            <a:gd name="connsiteY12" fmla="*/ 33266 h 144391"/>
            <a:gd name="connsiteX13" fmla="*/ 277854 w 681079"/>
            <a:gd name="connsiteY13" fmla="*/ 26916 h 144391"/>
            <a:gd name="connsiteX14" fmla="*/ 287379 w 681079"/>
            <a:gd name="connsiteY14" fmla="*/ 23741 h 144391"/>
            <a:gd name="connsiteX15" fmla="*/ 296904 w 681079"/>
            <a:gd name="connsiteY15" fmla="*/ 36441 h 144391"/>
            <a:gd name="connsiteX16" fmla="*/ 315954 w 681079"/>
            <a:gd name="connsiteY16" fmla="*/ 45966 h 144391"/>
            <a:gd name="connsiteX17" fmla="*/ 347704 w 681079"/>
            <a:gd name="connsiteY17" fmla="*/ 39616 h 144391"/>
            <a:gd name="connsiteX18" fmla="*/ 373104 w 681079"/>
            <a:gd name="connsiteY18" fmla="*/ 26916 h 144391"/>
            <a:gd name="connsiteX19" fmla="*/ 392154 w 681079"/>
            <a:gd name="connsiteY19" fmla="*/ 20566 h 144391"/>
            <a:gd name="connsiteX20" fmla="*/ 401679 w 681079"/>
            <a:gd name="connsiteY20" fmla="*/ 17391 h 144391"/>
            <a:gd name="connsiteX21" fmla="*/ 563604 w 681079"/>
            <a:gd name="connsiteY21" fmla="*/ 33266 h 144391"/>
            <a:gd name="connsiteX22" fmla="*/ 569954 w 681079"/>
            <a:gd name="connsiteY22" fmla="*/ 45966 h 144391"/>
            <a:gd name="connsiteX23" fmla="*/ 649329 w 681079"/>
            <a:gd name="connsiteY23" fmla="*/ 36441 h 144391"/>
            <a:gd name="connsiteX24" fmla="*/ 681079 w 681079"/>
            <a:gd name="connsiteY24" fmla="*/ 0 h 144391"/>
            <a:gd name="connsiteX25" fmla="*/ 665204 w 681079"/>
            <a:gd name="connsiteY25" fmla="*/ 47823 h 144391"/>
            <a:gd name="connsiteX26" fmla="*/ 658854 w 681079"/>
            <a:gd name="connsiteY26" fmla="*/ 84066 h 144391"/>
            <a:gd name="connsiteX27" fmla="*/ 665204 w 681079"/>
            <a:gd name="connsiteY27" fmla="*/ 103116 h 144391"/>
            <a:gd name="connsiteX28" fmla="*/ 662029 w 681079"/>
            <a:gd name="connsiteY28" fmla="*/ 134866 h 144391"/>
            <a:gd name="connsiteX29" fmla="*/ 620754 w 681079"/>
            <a:gd name="connsiteY29" fmla="*/ 128516 h 144391"/>
            <a:gd name="connsiteX30" fmla="*/ 608054 w 681079"/>
            <a:gd name="connsiteY30" fmla="*/ 125341 h 144391"/>
            <a:gd name="connsiteX31" fmla="*/ 589004 w 681079"/>
            <a:gd name="connsiteY31" fmla="*/ 122166 h 144391"/>
            <a:gd name="connsiteX32" fmla="*/ 503279 w 681079"/>
            <a:gd name="connsiteY32" fmla="*/ 125341 h 144391"/>
            <a:gd name="connsiteX33" fmla="*/ 493754 w 681079"/>
            <a:gd name="connsiteY33" fmla="*/ 128516 h 144391"/>
            <a:gd name="connsiteX34" fmla="*/ 385804 w 681079"/>
            <a:gd name="connsiteY34" fmla="*/ 131691 h 144391"/>
            <a:gd name="connsiteX35" fmla="*/ 354054 w 681079"/>
            <a:gd name="connsiteY35" fmla="*/ 134866 h 144391"/>
            <a:gd name="connsiteX36" fmla="*/ 290554 w 681079"/>
            <a:gd name="connsiteY36" fmla="*/ 138041 h 144391"/>
            <a:gd name="connsiteX37" fmla="*/ 281029 w 681079"/>
            <a:gd name="connsiteY37" fmla="*/ 141216 h 144391"/>
            <a:gd name="connsiteX38" fmla="*/ 265154 w 681079"/>
            <a:gd name="connsiteY38" fmla="*/ 144391 h 144391"/>
            <a:gd name="connsiteX39" fmla="*/ 33379 w 681079"/>
            <a:gd name="connsiteY39" fmla="*/ 141216 h 144391"/>
            <a:gd name="connsiteX40" fmla="*/ 23854 w 681079"/>
            <a:gd name="connsiteY40" fmla="*/ 138041 h 144391"/>
            <a:gd name="connsiteX41" fmla="*/ 1629 w 681079"/>
            <a:gd name="connsiteY41" fmla="*/ 125341 h 144391"/>
            <a:gd name="connsiteX0" fmla="*/ 1629 w 681079"/>
            <a:gd name="connsiteY0" fmla="*/ 125341 h 144391"/>
            <a:gd name="connsiteX1" fmla="*/ 4804 w 681079"/>
            <a:gd name="connsiteY1" fmla="*/ 99941 h 144391"/>
            <a:gd name="connsiteX2" fmla="*/ 20679 w 681079"/>
            <a:gd name="connsiteY2" fmla="*/ 30091 h 144391"/>
            <a:gd name="connsiteX3" fmla="*/ 46079 w 681079"/>
            <a:gd name="connsiteY3" fmla="*/ 33266 h 144391"/>
            <a:gd name="connsiteX4" fmla="*/ 55604 w 681079"/>
            <a:gd name="connsiteY4" fmla="*/ 39616 h 144391"/>
            <a:gd name="connsiteX5" fmla="*/ 119104 w 681079"/>
            <a:gd name="connsiteY5" fmla="*/ 36441 h 144391"/>
            <a:gd name="connsiteX6" fmla="*/ 141329 w 681079"/>
            <a:gd name="connsiteY6" fmla="*/ 26916 h 144391"/>
            <a:gd name="connsiteX7" fmla="*/ 160379 w 681079"/>
            <a:gd name="connsiteY7" fmla="*/ 23741 h 144391"/>
            <a:gd name="connsiteX8" fmla="*/ 182604 w 681079"/>
            <a:gd name="connsiteY8" fmla="*/ 26916 h 144391"/>
            <a:gd name="connsiteX9" fmla="*/ 195304 w 681079"/>
            <a:gd name="connsiteY9" fmla="*/ 45966 h 144391"/>
            <a:gd name="connsiteX10" fmla="*/ 208004 w 681079"/>
            <a:gd name="connsiteY10" fmla="*/ 58666 h 144391"/>
            <a:gd name="connsiteX11" fmla="*/ 220704 w 681079"/>
            <a:gd name="connsiteY11" fmla="*/ 36441 h 144391"/>
            <a:gd name="connsiteX12" fmla="*/ 230229 w 681079"/>
            <a:gd name="connsiteY12" fmla="*/ 33266 h 144391"/>
            <a:gd name="connsiteX13" fmla="*/ 277854 w 681079"/>
            <a:gd name="connsiteY13" fmla="*/ 26916 h 144391"/>
            <a:gd name="connsiteX14" fmla="*/ 287379 w 681079"/>
            <a:gd name="connsiteY14" fmla="*/ 23741 h 144391"/>
            <a:gd name="connsiteX15" fmla="*/ 296904 w 681079"/>
            <a:gd name="connsiteY15" fmla="*/ 36441 h 144391"/>
            <a:gd name="connsiteX16" fmla="*/ 315954 w 681079"/>
            <a:gd name="connsiteY16" fmla="*/ 45966 h 144391"/>
            <a:gd name="connsiteX17" fmla="*/ 347704 w 681079"/>
            <a:gd name="connsiteY17" fmla="*/ 39616 h 144391"/>
            <a:gd name="connsiteX18" fmla="*/ 373104 w 681079"/>
            <a:gd name="connsiteY18" fmla="*/ 26916 h 144391"/>
            <a:gd name="connsiteX19" fmla="*/ 392154 w 681079"/>
            <a:gd name="connsiteY19" fmla="*/ 20566 h 144391"/>
            <a:gd name="connsiteX20" fmla="*/ 401679 w 681079"/>
            <a:gd name="connsiteY20" fmla="*/ 17391 h 144391"/>
            <a:gd name="connsiteX21" fmla="*/ 563604 w 681079"/>
            <a:gd name="connsiteY21" fmla="*/ 33266 h 144391"/>
            <a:gd name="connsiteX22" fmla="*/ 569954 w 681079"/>
            <a:gd name="connsiteY22" fmla="*/ 45966 h 144391"/>
            <a:gd name="connsiteX23" fmla="*/ 614404 w 681079"/>
            <a:gd name="connsiteY23" fmla="*/ 25499 h 144391"/>
            <a:gd name="connsiteX24" fmla="*/ 681079 w 681079"/>
            <a:gd name="connsiteY24" fmla="*/ 0 h 144391"/>
            <a:gd name="connsiteX25" fmla="*/ 665204 w 681079"/>
            <a:gd name="connsiteY25" fmla="*/ 47823 h 144391"/>
            <a:gd name="connsiteX26" fmla="*/ 658854 w 681079"/>
            <a:gd name="connsiteY26" fmla="*/ 84066 h 144391"/>
            <a:gd name="connsiteX27" fmla="*/ 665204 w 681079"/>
            <a:gd name="connsiteY27" fmla="*/ 103116 h 144391"/>
            <a:gd name="connsiteX28" fmla="*/ 662029 w 681079"/>
            <a:gd name="connsiteY28" fmla="*/ 134866 h 144391"/>
            <a:gd name="connsiteX29" fmla="*/ 620754 w 681079"/>
            <a:gd name="connsiteY29" fmla="*/ 128516 h 144391"/>
            <a:gd name="connsiteX30" fmla="*/ 608054 w 681079"/>
            <a:gd name="connsiteY30" fmla="*/ 125341 h 144391"/>
            <a:gd name="connsiteX31" fmla="*/ 589004 w 681079"/>
            <a:gd name="connsiteY31" fmla="*/ 122166 h 144391"/>
            <a:gd name="connsiteX32" fmla="*/ 503279 w 681079"/>
            <a:gd name="connsiteY32" fmla="*/ 125341 h 144391"/>
            <a:gd name="connsiteX33" fmla="*/ 493754 w 681079"/>
            <a:gd name="connsiteY33" fmla="*/ 128516 h 144391"/>
            <a:gd name="connsiteX34" fmla="*/ 385804 w 681079"/>
            <a:gd name="connsiteY34" fmla="*/ 131691 h 144391"/>
            <a:gd name="connsiteX35" fmla="*/ 354054 w 681079"/>
            <a:gd name="connsiteY35" fmla="*/ 134866 h 144391"/>
            <a:gd name="connsiteX36" fmla="*/ 290554 w 681079"/>
            <a:gd name="connsiteY36" fmla="*/ 138041 h 144391"/>
            <a:gd name="connsiteX37" fmla="*/ 281029 w 681079"/>
            <a:gd name="connsiteY37" fmla="*/ 141216 h 144391"/>
            <a:gd name="connsiteX38" fmla="*/ 265154 w 681079"/>
            <a:gd name="connsiteY38" fmla="*/ 144391 h 144391"/>
            <a:gd name="connsiteX39" fmla="*/ 33379 w 681079"/>
            <a:gd name="connsiteY39" fmla="*/ 141216 h 144391"/>
            <a:gd name="connsiteX40" fmla="*/ 23854 w 681079"/>
            <a:gd name="connsiteY40" fmla="*/ 138041 h 144391"/>
            <a:gd name="connsiteX41" fmla="*/ 1629 w 681079"/>
            <a:gd name="connsiteY41" fmla="*/ 125341 h 144391"/>
            <a:gd name="connsiteX0" fmla="*/ 1629 w 668379"/>
            <a:gd name="connsiteY0" fmla="*/ 119292 h 138342"/>
            <a:gd name="connsiteX1" fmla="*/ 4804 w 668379"/>
            <a:gd name="connsiteY1" fmla="*/ 93892 h 138342"/>
            <a:gd name="connsiteX2" fmla="*/ 20679 w 668379"/>
            <a:gd name="connsiteY2" fmla="*/ 24042 h 138342"/>
            <a:gd name="connsiteX3" fmla="*/ 46079 w 668379"/>
            <a:gd name="connsiteY3" fmla="*/ 27217 h 138342"/>
            <a:gd name="connsiteX4" fmla="*/ 55604 w 668379"/>
            <a:gd name="connsiteY4" fmla="*/ 33567 h 138342"/>
            <a:gd name="connsiteX5" fmla="*/ 119104 w 668379"/>
            <a:gd name="connsiteY5" fmla="*/ 30392 h 138342"/>
            <a:gd name="connsiteX6" fmla="*/ 141329 w 668379"/>
            <a:gd name="connsiteY6" fmla="*/ 20867 h 138342"/>
            <a:gd name="connsiteX7" fmla="*/ 160379 w 668379"/>
            <a:gd name="connsiteY7" fmla="*/ 17692 h 138342"/>
            <a:gd name="connsiteX8" fmla="*/ 182604 w 668379"/>
            <a:gd name="connsiteY8" fmla="*/ 20867 h 138342"/>
            <a:gd name="connsiteX9" fmla="*/ 195304 w 668379"/>
            <a:gd name="connsiteY9" fmla="*/ 39917 h 138342"/>
            <a:gd name="connsiteX10" fmla="*/ 208004 w 668379"/>
            <a:gd name="connsiteY10" fmla="*/ 52617 h 138342"/>
            <a:gd name="connsiteX11" fmla="*/ 220704 w 668379"/>
            <a:gd name="connsiteY11" fmla="*/ 30392 h 138342"/>
            <a:gd name="connsiteX12" fmla="*/ 230229 w 668379"/>
            <a:gd name="connsiteY12" fmla="*/ 27217 h 138342"/>
            <a:gd name="connsiteX13" fmla="*/ 277854 w 668379"/>
            <a:gd name="connsiteY13" fmla="*/ 20867 h 138342"/>
            <a:gd name="connsiteX14" fmla="*/ 287379 w 668379"/>
            <a:gd name="connsiteY14" fmla="*/ 17692 h 138342"/>
            <a:gd name="connsiteX15" fmla="*/ 296904 w 668379"/>
            <a:gd name="connsiteY15" fmla="*/ 30392 h 138342"/>
            <a:gd name="connsiteX16" fmla="*/ 315954 w 668379"/>
            <a:gd name="connsiteY16" fmla="*/ 39917 h 138342"/>
            <a:gd name="connsiteX17" fmla="*/ 347704 w 668379"/>
            <a:gd name="connsiteY17" fmla="*/ 33567 h 138342"/>
            <a:gd name="connsiteX18" fmla="*/ 373104 w 668379"/>
            <a:gd name="connsiteY18" fmla="*/ 20867 h 138342"/>
            <a:gd name="connsiteX19" fmla="*/ 392154 w 668379"/>
            <a:gd name="connsiteY19" fmla="*/ 14517 h 138342"/>
            <a:gd name="connsiteX20" fmla="*/ 401679 w 668379"/>
            <a:gd name="connsiteY20" fmla="*/ 11342 h 138342"/>
            <a:gd name="connsiteX21" fmla="*/ 563604 w 668379"/>
            <a:gd name="connsiteY21" fmla="*/ 27217 h 138342"/>
            <a:gd name="connsiteX22" fmla="*/ 569954 w 668379"/>
            <a:gd name="connsiteY22" fmla="*/ 39917 h 138342"/>
            <a:gd name="connsiteX23" fmla="*/ 614404 w 668379"/>
            <a:gd name="connsiteY23" fmla="*/ 19450 h 138342"/>
            <a:gd name="connsiteX24" fmla="*/ 668379 w 668379"/>
            <a:gd name="connsiteY24" fmla="*/ 7629 h 138342"/>
            <a:gd name="connsiteX25" fmla="*/ 665204 w 668379"/>
            <a:gd name="connsiteY25" fmla="*/ 41774 h 138342"/>
            <a:gd name="connsiteX26" fmla="*/ 658854 w 668379"/>
            <a:gd name="connsiteY26" fmla="*/ 78017 h 138342"/>
            <a:gd name="connsiteX27" fmla="*/ 665204 w 668379"/>
            <a:gd name="connsiteY27" fmla="*/ 97067 h 138342"/>
            <a:gd name="connsiteX28" fmla="*/ 662029 w 668379"/>
            <a:gd name="connsiteY28" fmla="*/ 128817 h 138342"/>
            <a:gd name="connsiteX29" fmla="*/ 620754 w 668379"/>
            <a:gd name="connsiteY29" fmla="*/ 122467 h 138342"/>
            <a:gd name="connsiteX30" fmla="*/ 608054 w 668379"/>
            <a:gd name="connsiteY30" fmla="*/ 119292 h 138342"/>
            <a:gd name="connsiteX31" fmla="*/ 589004 w 668379"/>
            <a:gd name="connsiteY31" fmla="*/ 116117 h 138342"/>
            <a:gd name="connsiteX32" fmla="*/ 503279 w 668379"/>
            <a:gd name="connsiteY32" fmla="*/ 119292 h 138342"/>
            <a:gd name="connsiteX33" fmla="*/ 493754 w 668379"/>
            <a:gd name="connsiteY33" fmla="*/ 122467 h 138342"/>
            <a:gd name="connsiteX34" fmla="*/ 385804 w 668379"/>
            <a:gd name="connsiteY34" fmla="*/ 125642 h 138342"/>
            <a:gd name="connsiteX35" fmla="*/ 354054 w 668379"/>
            <a:gd name="connsiteY35" fmla="*/ 128817 h 138342"/>
            <a:gd name="connsiteX36" fmla="*/ 290554 w 668379"/>
            <a:gd name="connsiteY36" fmla="*/ 131992 h 138342"/>
            <a:gd name="connsiteX37" fmla="*/ 281029 w 668379"/>
            <a:gd name="connsiteY37" fmla="*/ 135167 h 138342"/>
            <a:gd name="connsiteX38" fmla="*/ 265154 w 668379"/>
            <a:gd name="connsiteY38" fmla="*/ 138342 h 138342"/>
            <a:gd name="connsiteX39" fmla="*/ 33379 w 668379"/>
            <a:gd name="connsiteY39" fmla="*/ 135167 h 138342"/>
            <a:gd name="connsiteX40" fmla="*/ 23854 w 668379"/>
            <a:gd name="connsiteY40" fmla="*/ 131992 h 138342"/>
            <a:gd name="connsiteX41" fmla="*/ 1629 w 668379"/>
            <a:gd name="connsiteY41" fmla="*/ 119292 h 138342"/>
            <a:gd name="connsiteX0" fmla="*/ 1629 w 668379"/>
            <a:gd name="connsiteY0" fmla="*/ 119292 h 138342"/>
            <a:gd name="connsiteX1" fmla="*/ 4804 w 668379"/>
            <a:gd name="connsiteY1" fmla="*/ 93892 h 138342"/>
            <a:gd name="connsiteX2" fmla="*/ 20679 w 668379"/>
            <a:gd name="connsiteY2" fmla="*/ 24042 h 138342"/>
            <a:gd name="connsiteX3" fmla="*/ 46079 w 668379"/>
            <a:gd name="connsiteY3" fmla="*/ 27217 h 138342"/>
            <a:gd name="connsiteX4" fmla="*/ 55604 w 668379"/>
            <a:gd name="connsiteY4" fmla="*/ 33567 h 138342"/>
            <a:gd name="connsiteX5" fmla="*/ 119104 w 668379"/>
            <a:gd name="connsiteY5" fmla="*/ 30392 h 138342"/>
            <a:gd name="connsiteX6" fmla="*/ 141329 w 668379"/>
            <a:gd name="connsiteY6" fmla="*/ 20867 h 138342"/>
            <a:gd name="connsiteX7" fmla="*/ 160379 w 668379"/>
            <a:gd name="connsiteY7" fmla="*/ 17692 h 138342"/>
            <a:gd name="connsiteX8" fmla="*/ 182604 w 668379"/>
            <a:gd name="connsiteY8" fmla="*/ 20867 h 138342"/>
            <a:gd name="connsiteX9" fmla="*/ 195304 w 668379"/>
            <a:gd name="connsiteY9" fmla="*/ 39917 h 138342"/>
            <a:gd name="connsiteX10" fmla="*/ 208004 w 668379"/>
            <a:gd name="connsiteY10" fmla="*/ 52617 h 138342"/>
            <a:gd name="connsiteX11" fmla="*/ 220704 w 668379"/>
            <a:gd name="connsiteY11" fmla="*/ 30392 h 138342"/>
            <a:gd name="connsiteX12" fmla="*/ 230229 w 668379"/>
            <a:gd name="connsiteY12" fmla="*/ 27217 h 138342"/>
            <a:gd name="connsiteX13" fmla="*/ 277854 w 668379"/>
            <a:gd name="connsiteY13" fmla="*/ 20867 h 138342"/>
            <a:gd name="connsiteX14" fmla="*/ 287379 w 668379"/>
            <a:gd name="connsiteY14" fmla="*/ 17692 h 138342"/>
            <a:gd name="connsiteX15" fmla="*/ 296904 w 668379"/>
            <a:gd name="connsiteY15" fmla="*/ 30392 h 138342"/>
            <a:gd name="connsiteX16" fmla="*/ 315954 w 668379"/>
            <a:gd name="connsiteY16" fmla="*/ 39917 h 138342"/>
            <a:gd name="connsiteX17" fmla="*/ 347704 w 668379"/>
            <a:gd name="connsiteY17" fmla="*/ 33567 h 138342"/>
            <a:gd name="connsiteX18" fmla="*/ 373104 w 668379"/>
            <a:gd name="connsiteY18" fmla="*/ 20867 h 138342"/>
            <a:gd name="connsiteX19" fmla="*/ 392154 w 668379"/>
            <a:gd name="connsiteY19" fmla="*/ 14517 h 138342"/>
            <a:gd name="connsiteX20" fmla="*/ 401679 w 668379"/>
            <a:gd name="connsiteY20" fmla="*/ 11342 h 138342"/>
            <a:gd name="connsiteX21" fmla="*/ 563604 w 668379"/>
            <a:gd name="connsiteY21" fmla="*/ 27217 h 138342"/>
            <a:gd name="connsiteX22" fmla="*/ 569954 w 668379"/>
            <a:gd name="connsiteY22" fmla="*/ 39917 h 138342"/>
            <a:gd name="connsiteX23" fmla="*/ 614404 w 668379"/>
            <a:gd name="connsiteY23" fmla="*/ 19450 h 138342"/>
            <a:gd name="connsiteX24" fmla="*/ 668379 w 668379"/>
            <a:gd name="connsiteY24" fmla="*/ 7629 h 138342"/>
            <a:gd name="connsiteX25" fmla="*/ 665204 w 668379"/>
            <a:gd name="connsiteY25" fmla="*/ 41774 h 138342"/>
            <a:gd name="connsiteX26" fmla="*/ 668379 w 668379"/>
            <a:gd name="connsiteY26" fmla="*/ 69811 h 138342"/>
            <a:gd name="connsiteX27" fmla="*/ 665204 w 668379"/>
            <a:gd name="connsiteY27" fmla="*/ 97067 h 138342"/>
            <a:gd name="connsiteX28" fmla="*/ 662029 w 668379"/>
            <a:gd name="connsiteY28" fmla="*/ 128817 h 138342"/>
            <a:gd name="connsiteX29" fmla="*/ 620754 w 668379"/>
            <a:gd name="connsiteY29" fmla="*/ 122467 h 138342"/>
            <a:gd name="connsiteX30" fmla="*/ 608054 w 668379"/>
            <a:gd name="connsiteY30" fmla="*/ 119292 h 138342"/>
            <a:gd name="connsiteX31" fmla="*/ 589004 w 668379"/>
            <a:gd name="connsiteY31" fmla="*/ 116117 h 138342"/>
            <a:gd name="connsiteX32" fmla="*/ 503279 w 668379"/>
            <a:gd name="connsiteY32" fmla="*/ 119292 h 138342"/>
            <a:gd name="connsiteX33" fmla="*/ 493754 w 668379"/>
            <a:gd name="connsiteY33" fmla="*/ 122467 h 138342"/>
            <a:gd name="connsiteX34" fmla="*/ 385804 w 668379"/>
            <a:gd name="connsiteY34" fmla="*/ 125642 h 138342"/>
            <a:gd name="connsiteX35" fmla="*/ 354054 w 668379"/>
            <a:gd name="connsiteY35" fmla="*/ 128817 h 138342"/>
            <a:gd name="connsiteX36" fmla="*/ 290554 w 668379"/>
            <a:gd name="connsiteY36" fmla="*/ 131992 h 138342"/>
            <a:gd name="connsiteX37" fmla="*/ 281029 w 668379"/>
            <a:gd name="connsiteY37" fmla="*/ 135167 h 138342"/>
            <a:gd name="connsiteX38" fmla="*/ 265154 w 668379"/>
            <a:gd name="connsiteY38" fmla="*/ 138342 h 138342"/>
            <a:gd name="connsiteX39" fmla="*/ 33379 w 668379"/>
            <a:gd name="connsiteY39" fmla="*/ 135167 h 138342"/>
            <a:gd name="connsiteX40" fmla="*/ 23854 w 668379"/>
            <a:gd name="connsiteY40" fmla="*/ 131992 h 138342"/>
            <a:gd name="connsiteX41" fmla="*/ 1629 w 668379"/>
            <a:gd name="connsiteY41" fmla="*/ 119292 h 138342"/>
            <a:gd name="connsiteX0" fmla="*/ 1629 w 668379"/>
            <a:gd name="connsiteY0" fmla="*/ 119292 h 138342"/>
            <a:gd name="connsiteX1" fmla="*/ 4804 w 668379"/>
            <a:gd name="connsiteY1" fmla="*/ 93892 h 138342"/>
            <a:gd name="connsiteX2" fmla="*/ 20679 w 668379"/>
            <a:gd name="connsiteY2" fmla="*/ 24042 h 138342"/>
            <a:gd name="connsiteX3" fmla="*/ 46079 w 668379"/>
            <a:gd name="connsiteY3" fmla="*/ 27217 h 138342"/>
            <a:gd name="connsiteX4" fmla="*/ 55604 w 668379"/>
            <a:gd name="connsiteY4" fmla="*/ 33567 h 138342"/>
            <a:gd name="connsiteX5" fmla="*/ 119104 w 668379"/>
            <a:gd name="connsiteY5" fmla="*/ 30392 h 138342"/>
            <a:gd name="connsiteX6" fmla="*/ 141329 w 668379"/>
            <a:gd name="connsiteY6" fmla="*/ 20867 h 138342"/>
            <a:gd name="connsiteX7" fmla="*/ 160379 w 668379"/>
            <a:gd name="connsiteY7" fmla="*/ 17692 h 138342"/>
            <a:gd name="connsiteX8" fmla="*/ 182604 w 668379"/>
            <a:gd name="connsiteY8" fmla="*/ 20867 h 138342"/>
            <a:gd name="connsiteX9" fmla="*/ 195304 w 668379"/>
            <a:gd name="connsiteY9" fmla="*/ 39917 h 138342"/>
            <a:gd name="connsiteX10" fmla="*/ 217529 w 668379"/>
            <a:gd name="connsiteY10" fmla="*/ 27997 h 138342"/>
            <a:gd name="connsiteX11" fmla="*/ 220704 w 668379"/>
            <a:gd name="connsiteY11" fmla="*/ 30392 h 138342"/>
            <a:gd name="connsiteX12" fmla="*/ 230229 w 668379"/>
            <a:gd name="connsiteY12" fmla="*/ 27217 h 138342"/>
            <a:gd name="connsiteX13" fmla="*/ 277854 w 668379"/>
            <a:gd name="connsiteY13" fmla="*/ 20867 h 138342"/>
            <a:gd name="connsiteX14" fmla="*/ 287379 w 668379"/>
            <a:gd name="connsiteY14" fmla="*/ 17692 h 138342"/>
            <a:gd name="connsiteX15" fmla="*/ 296904 w 668379"/>
            <a:gd name="connsiteY15" fmla="*/ 30392 h 138342"/>
            <a:gd name="connsiteX16" fmla="*/ 315954 w 668379"/>
            <a:gd name="connsiteY16" fmla="*/ 39917 h 138342"/>
            <a:gd name="connsiteX17" fmla="*/ 347704 w 668379"/>
            <a:gd name="connsiteY17" fmla="*/ 33567 h 138342"/>
            <a:gd name="connsiteX18" fmla="*/ 373104 w 668379"/>
            <a:gd name="connsiteY18" fmla="*/ 20867 h 138342"/>
            <a:gd name="connsiteX19" fmla="*/ 392154 w 668379"/>
            <a:gd name="connsiteY19" fmla="*/ 14517 h 138342"/>
            <a:gd name="connsiteX20" fmla="*/ 401679 w 668379"/>
            <a:gd name="connsiteY20" fmla="*/ 11342 h 138342"/>
            <a:gd name="connsiteX21" fmla="*/ 563604 w 668379"/>
            <a:gd name="connsiteY21" fmla="*/ 27217 h 138342"/>
            <a:gd name="connsiteX22" fmla="*/ 569954 w 668379"/>
            <a:gd name="connsiteY22" fmla="*/ 39917 h 138342"/>
            <a:gd name="connsiteX23" fmla="*/ 614404 w 668379"/>
            <a:gd name="connsiteY23" fmla="*/ 19450 h 138342"/>
            <a:gd name="connsiteX24" fmla="*/ 668379 w 668379"/>
            <a:gd name="connsiteY24" fmla="*/ 7629 h 138342"/>
            <a:gd name="connsiteX25" fmla="*/ 665204 w 668379"/>
            <a:gd name="connsiteY25" fmla="*/ 41774 h 138342"/>
            <a:gd name="connsiteX26" fmla="*/ 668379 w 668379"/>
            <a:gd name="connsiteY26" fmla="*/ 69811 h 138342"/>
            <a:gd name="connsiteX27" fmla="*/ 665204 w 668379"/>
            <a:gd name="connsiteY27" fmla="*/ 97067 h 138342"/>
            <a:gd name="connsiteX28" fmla="*/ 662029 w 668379"/>
            <a:gd name="connsiteY28" fmla="*/ 128817 h 138342"/>
            <a:gd name="connsiteX29" fmla="*/ 620754 w 668379"/>
            <a:gd name="connsiteY29" fmla="*/ 122467 h 138342"/>
            <a:gd name="connsiteX30" fmla="*/ 608054 w 668379"/>
            <a:gd name="connsiteY30" fmla="*/ 119292 h 138342"/>
            <a:gd name="connsiteX31" fmla="*/ 589004 w 668379"/>
            <a:gd name="connsiteY31" fmla="*/ 116117 h 138342"/>
            <a:gd name="connsiteX32" fmla="*/ 503279 w 668379"/>
            <a:gd name="connsiteY32" fmla="*/ 119292 h 138342"/>
            <a:gd name="connsiteX33" fmla="*/ 493754 w 668379"/>
            <a:gd name="connsiteY33" fmla="*/ 122467 h 138342"/>
            <a:gd name="connsiteX34" fmla="*/ 385804 w 668379"/>
            <a:gd name="connsiteY34" fmla="*/ 125642 h 138342"/>
            <a:gd name="connsiteX35" fmla="*/ 354054 w 668379"/>
            <a:gd name="connsiteY35" fmla="*/ 128817 h 138342"/>
            <a:gd name="connsiteX36" fmla="*/ 290554 w 668379"/>
            <a:gd name="connsiteY36" fmla="*/ 131992 h 138342"/>
            <a:gd name="connsiteX37" fmla="*/ 281029 w 668379"/>
            <a:gd name="connsiteY37" fmla="*/ 135167 h 138342"/>
            <a:gd name="connsiteX38" fmla="*/ 265154 w 668379"/>
            <a:gd name="connsiteY38" fmla="*/ 138342 h 138342"/>
            <a:gd name="connsiteX39" fmla="*/ 33379 w 668379"/>
            <a:gd name="connsiteY39" fmla="*/ 135167 h 138342"/>
            <a:gd name="connsiteX40" fmla="*/ 23854 w 668379"/>
            <a:gd name="connsiteY40" fmla="*/ 131992 h 138342"/>
            <a:gd name="connsiteX41" fmla="*/ 1629 w 668379"/>
            <a:gd name="connsiteY41" fmla="*/ 119292 h 138342"/>
            <a:gd name="connsiteX0" fmla="*/ 1629 w 668379"/>
            <a:gd name="connsiteY0" fmla="*/ 119292 h 138342"/>
            <a:gd name="connsiteX1" fmla="*/ 4804 w 668379"/>
            <a:gd name="connsiteY1" fmla="*/ 93892 h 138342"/>
            <a:gd name="connsiteX2" fmla="*/ 20679 w 668379"/>
            <a:gd name="connsiteY2" fmla="*/ 24042 h 138342"/>
            <a:gd name="connsiteX3" fmla="*/ 46079 w 668379"/>
            <a:gd name="connsiteY3" fmla="*/ 27217 h 138342"/>
            <a:gd name="connsiteX4" fmla="*/ 55604 w 668379"/>
            <a:gd name="connsiteY4" fmla="*/ 33567 h 138342"/>
            <a:gd name="connsiteX5" fmla="*/ 119104 w 668379"/>
            <a:gd name="connsiteY5" fmla="*/ 30392 h 138342"/>
            <a:gd name="connsiteX6" fmla="*/ 141329 w 668379"/>
            <a:gd name="connsiteY6" fmla="*/ 20867 h 138342"/>
            <a:gd name="connsiteX7" fmla="*/ 160379 w 668379"/>
            <a:gd name="connsiteY7" fmla="*/ 17692 h 138342"/>
            <a:gd name="connsiteX8" fmla="*/ 182604 w 668379"/>
            <a:gd name="connsiteY8" fmla="*/ 20867 h 138342"/>
            <a:gd name="connsiteX9" fmla="*/ 195304 w 668379"/>
            <a:gd name="connsiteY9" fmla="*/ 39917 h 138342"/>
            <a:gd name="connsiteX10" fmla="*/ 217529 w 668379"/>
            <a:gd name="connsiteY10" fmla="*/ 27997 h 138342"/>
            <a:gd name="connsiteX11" fmla="*/ 220704 w 668379"/>
            <a:gd name="connsiteY11" fmla="*/ 30392 h 138342"/>
            <a:gd name="connsiteX12" fmla="*/ 230229 w 668379"/>
            <a:gd name="connsiteY12" fmla="*/ 27217 h 138342"/>
            <a:gd name="connsiteX13" fmla="*/ 277854 w 668379"/>
            <a:gd name="connsiteY13" fmla="*/ 20867 h 138342"/>
            <a:gd name="connsiteX14" fmla="*/ 287379 w 668379"/>
            <a:gd name="connsiteY14" fmla="*/ 17692 h 138342"/>
            <a:gd name="connsiteX15" fmla="*/ 296904 w 668379"/>
            <a:gd name="connsiteY15" fmla="*/ 30392 h 138342"/>
            <a:gd name="connsiteX16" fmla="*/ 344529 w 668379"/>
            <a:gd name="connsiteY16" fmla="*/ 20768 h 138342"/>
            <a:gd name="connsiteX17" fmla="*/ 347704 w 668379"/>
            <a:gd name="connsiteY17" fmla="*/ 33567 h 138342"/>
            <a:gd name="connsiteX18" fmla="*/ 373104 w 668379"/>
            <a:gd name="connsiteY18" fmla="*/ 20867 h 138342"/>
            <a:gd name="connsiteX19" fmla="*/ 392154 w 668379"/>
            <a:gd name="connsiteY19" fmla="*/ 14517 h 138342"/>
            <a:gd name="connsiteX20" fmla="*/ 401679 w 668379"/>
            <a:gd name="connsiteY20" fmla="*/ 11342 h 138342"/>
            <a:gd name="connsiteX21" fmla="*/ 563604 w 668379"/>
            <a:gd name="connsiteY21" fmla="*/ 27217 h 138342"/>
            <a:gd name="connsiteX22" fmla="*/ 569954 w 668379"/>
            <a:gd name="connsiteY22" fmla="*/ 39917 h 138342"/>
            <a:gd name="connsiteX23" fmla="*/ 614404 w 668379"/>
            <a:gd name="connsiteY23" fmla="*/ 19450 h 138342"/>
            <a:gd name="connsiteX24" fmla="*/ 668379 w 668379"/>
            <a:gd name="connsiteY24" fmla="*/ 7629 h 138342"/>
            <a:gd name="connsiteX25" fmla="*/ 665204 w 668379"/>
            <a:gd name="connsiteY25" fmla="*/ 41774 h 138342"/>
            <a:gd name="connsiteX26" fmla="*/ 668379 w 668379"/>
            <a:gd name="connsiteY26" fmla="*/ 69811 h 138342"/>
            <a:gd name="connsiteX27" fmla="*/ 665204 w 668379"/>
            <a:gd name="connsiteY27" fmla="*/ 97067 h 138342"/>
            <a:gd name="connsiteX28" fmla="*/ 662029 w 668379"/>
            <a:gd name="connsiteY28" fmla="*/ 128817 h 138342"/>
            <a:gd name="connsiteX29" fmla="*/ 620754 w 668379"/>
            <a:gd name="connsiteY29" fmla="*/ 122467 h 138342"/>
            <a:gd name="connsiteX30" fmla="*/ 608054 w 668379"/>
            <a:gd name="connsiteY30" fmla="*/ 119292 h 138342"/>
            <a:gd name="connsiteX31" fmla="*/ 589004 w 668379"/>
            <a:gd name="connsiteY31" fmla="*/ 116117 h 138342"/>
            <a:gd name="connsiteX32" fmla="*/ 503279 w 668379"/>
            <a:gd name="connsiteY32" fmla="*/ 119292 h 138342"/>
            <a:gd name="connsiteX33" fmla="*/ 493754 w 668379"/>
            <a:gd name="connsiteY33" fmla="*/ 122467 h 138342"/>
            <a:gd name="connsiteX34" fmla="*/ 385804 w 668379"/>
            <a:gd name="connsiteY34" fmla="*/ 125642 h 138342"/>
            <a:gd name="connsiteX35" fmla="*/ 354054 w 668379"/>
            <a:gd name="connsiteY35" fmla="*/ 128817 h 138342"/>
            <a:gd name="connsiteX36" fmla="*/ 290554 w 668379"/>
            <a:gd name="connsiteY36" fmla="*/ 131992 h 138342"/>
            <a:gd name="connsiteX37" fmla="*/ 281029 w 668379"/>
            <a:gd name="connsiteY37" fmla="*/ 135167 h 138342"/>
            <a:gd name="connsiteX38" fmla="*/ 265154 w 668379"/>
            <a:gd name="connsiteY38" fmla="*/ 138342 h 138342"/>
            <a:gd name="connsiteX39" fmla="*/ 33379 w 668379"/>
            <a:gd name="connsiteY39" fmla="*/ 135167 h 138342"/>
            <a:gd name="connsiteX40" fmla="*/ 23854 w 668379"/>
            <a:gd name="connsiteY40" fmla="*/ 131992 h 138342"/>
            <a:gd name="connsiteX41" fmla="*/ 1629 w 668379"/>
            <a:gd name="connsiteY41" fmla="*/ 119292 h 138342"/>
            <a:gd name="connsiteX0" fmla="*/ 1629 w 668379"/>
            <a:gd name="connsiteY0" fmla="*/ 111663 h 130713"/>
            <a:gd name="connsiteX1" fmla="*/ 4804 w 668379"/>
            <a:gd name="connsiteY1" fmla="*/ 86263 h 130713"/>
            <a:gd name="connsiteX2" fmla="*/ 20679 w 668379"/>
            <a:gd name="connsiteY2" fmla="*/ 16413 h 130713"/>
            <a:gd name="connsiteX3" fmla="*/ 46079 w 668379"/>
            <a:gd name="connsiteY3" fmla="*/ 19588 h 130713"/>
            <a:gd name="connsiteX4" fmla="*/ 55604 w 668379"/>
            <a:gd name="connsiteY4" fmla="*/ 25938 h 130713"/>
            <a:gd name="connsiteX5" fmla="*/ 119104 w 668379"/>
            <a:gd name="connsiteY5" fmla="*/ 22763 h 130713"/>
            <a:gd name="connsiteX6" fmla="*/ 141329 w 668379"/>
            <a:gd name="connsiteY6" fmla="*/ 13238 h 130713"/>
            <a:gd name="connsiteX7" fmla="*/ 160379 w 668379"/>
            <a:gd name="connsiteY7" fmla="*/ 10063 h 130713"/>
            <a:gd name="connsiteX8" fmla="*/ 182604 w 668379"/>
            <a:gd name="connsiteY8" fmla="*/ 13238 h 130713"/>
            <a:gd name="connsiteX9" fmla="*/ 195304 w 668379"/>
            <a:gd name="connsiteY9" fmla="*/ 32288 h 130713"/>
            <a:gd name="connsiteX10" fmla="*/ 217529 w 668379"/>
            <a:gd name="connsiteY10" fmla="*/ 20368 h 130713"/>
            <a:gd name="connsiteX11" fmla="*/ 220704 w 668379"/>
            <a:gd name="connsiteY11" fmla="*/ 22763 h 130713"/>
            <a:gd name="connsiteX12" fmla="*/ 230229 w 668379"/>
            <a:gd name="connsiteY12" fmla="*/ 19588 h 130713"/>
            <a:gd name="connsiteX13" fmla="*/ 277854 w 668379"/>
            <a:gd name="connsiteY13" fmla="*/ 13238 h 130713"/>
            <a:gd name="connsiteX14" fmla="*/ 287379 w 668379"/>
            <a:gd name="connsiteY14" fmla="*/ 10063 h 130713"/>
            <a:gd name="connsiteX15" fmla="*/ 296904 w 668379"/>
            <a:gd name="connsiteY15" fmla="*/ 22763 h 130713"/>
            <a:gd name="connsiteX16" fmla="*/ 344529 w 668379"/>
            <a:gd name="connsiteY16" fmla="*/ 13139 h 130713"/>
            <a:gd name="connsiteX17" fmla="*/ 347704 w 668379"/>
            <a:gd name="connsiteY17" fmla="*/ 25938 h 130713"/>
            <a:gd name="connsiteX18" fmla="*/ 373104 w 668379"/>
            <a:gd name="connsiteY18" fmla="*/ 13238 h 130713"/>
            <a:gd name="connsiteX19" fmla="*/ 392154 w 668379"/>
            <a:gd name="connsiteY19" fmla="*/ 6888 h 130713"/>
            <a:gd name="connsiteX20" fmla="*/ 401679 w 668379"/>
            <a:gd name="connsiteY20" fmla="*/ 3713 h 130713"/>
            <a:gd name="connsiteX21" fmla="*/ 563604 w 668379"/>
            <a:gd name="connsiteY21" fmla="*/ 19588 h 130713"/>
            <a:gd name="connsiteX22" fmla="*/ 579479 w 668379"/>
            <a:gd name="connsiteY22" fmla="*/ 4933 h 130713"/>
            <a:gd name="connsiteX23" fmla="*/ 614404 w 668379"/>
            <a:gd name="connsiteY23" fmla="*/ 11821 h 130713"/>
            <a:gd name="connsiteX24" fmla="*/ 668379 w 668379"/>
            <a:gd name="connsiteY24" fmla="*/ 0 h 130713"/>
            <a:gd name="connsiteX25" fmla="*/ 665204 w 668379"/>
            <a:gd name="connsiteY25" fmla="*/ 34145 h 130713"/>
            <a:gd name="connsiteX26" fmla="*/ 668379 w 668379"/>
            <a:gd name="connsiteY26" fmla="*/ 62182 h 130713"/>
            <a:gd name="connsiteX27" fmla="*/ 665204 w 668379"/>
            <a:gd name="connsiteY27" fmla="*/ 89438 h 130713"/>
            <a:gd name="connsiteX28" fmla="*/ 662029 w 668379"/>
            <a:gd name="connsiteY28" fmla="*/ 121188 h 130713"/>
            <a:gd name="connsiteX29" fmla="*/ 620754 w 668379"/>
            <a:gd name="connsiteY29" fmla="*/ 114838 h 130713"/>
            <a:gd name="connsiteX30" fmla="*/ 608054 w 668379"/>
            <a:gd name="connsiteY30" fmla="*/ 111663 h 130713"/>
            <a:gd name="connsiteX31" fmla="*/ 589004 w 668379"/>
            <a:gd name="connsiteY31" fmla="*/ 108488 h 130713"/>
            <a:gd name="connsiteX32" fmla="*/ 503279 w 668379"/>
            <a:gd name="connsiteY32" fmla="*/ 111663 h 130713"/>
            <a:gd name="connsiteX33" fmla="*/ 493754 w 668379"/>
            <a:gd name="connsiteY33" fmla="*/ 114838 h 130713"/>
            <a:gd name="connsiteX34" fmla="*/ 385804 w 668379"/>
            <a:gd name="connsiteY34" fmla="*/ 118013 h 130713"/>
            <a:gd name="connsiteX35" fmla="*/ 354054 w 668379"/>
            <a:gd name="connsiteY35" fmla="*/ 121188 h 130713"/>
            <a:gd name="connsiteX36" fmla="*/ 290554 w 668379"/>
            <a:gd name="connsiteY36" fmla="*/ 124363 h 130713"/>
            <a:gd name="connsiteX37" fmla="*/ 281029 w 668379"/>
            <a:gd name="connsiteY37" fmla="*/ 127538 h 130713"/>
            <a:gd name="connsiteX38" fmla="*/ 265154 w 668379"/>
            <a:gd name="connsiteY38" fmla="*/ 130713 h 130713"/>
            <a:gd name="connsiteX39" fmla="*/ 33379 w 668379"/>
            <a:gd name="connsiteY39" fmla="*/ 127538 h 130713"/>
            <a:gd name="connsiteX40" fmla="*/ 23854 w 668379"/>
            <a:gd name="connsiteY40" fmla="*/ 124363 h 130713"/>
            <a:gd name="connsiteX41" fmla="*/ 1629 w 668379"/>
            <a:gd name="connsiteY41" fmla="*/ 111663 h 130713"/>
            <a:gd name="connsiteX0" fmla="*/ 1629 w 668379"/>
            <a:gd name="connsiteY0" fmla="*/ 111663 h 130713"/>
            <a:gd name="connsiteX1" fmla="*/ 4804 w 668379"/>
            <a:gd name="connsiteY1" fmla="*/ 86263 h 130713"/>
            <a:gd name="connsiteX2" fmla="*/ 20679 w 668379"/>
            <a:gd name="connsiteY2" fmla="*/ 16413 h 130713"/>
            <a:gd name="connsiteX3" fmla="*/ 46079 w 668379"/>
            <a:gd name="connsiteY3" fmla="*/ 19588 h 130713"/>
            <a:gd name="connsiteX4" fmla="*/ 55604 w 668379"/>
            <a:gd name="connsiteY4" fmla="*/ 25938 h 130713"/>
            <a:gd name="connsiteX5" fmla="*/ 119104 w 668379"/>
            <a:gd name="connsiteY5" fmla="*/ 22763 h 130713"/>
            <a:gd name="connsiteX6" fmla="*/ 141329 w 668379"/>
            <a:gd name="connsiteY6" fmla="*/ 13238 h 130713"/>
            <a:gd name="connsiteX7" fmla="*/ 160379 w 668379"/>
            <a:gd name="connsiteY7" fmla="*/ 10063 h 130713"/>
            <a:gd name="connsiteX8" fmla="*/ 182604 w 668379"/>
            <a:gd name="connsiteY8" fmla="*/ 13238 h 130713"/>
            <a:gd name="connsiteX9" fmla="*/ 195304 w 668379"/>
            <a:gd name="connsiteY9" fmla="*/ 32288 h 130713"/>
            <a:gd name="connsiteX10" fmla="*/ 217529 w 668379"/>
            <a:gd name="connsiteY10" fmla="*/ 20368 h 130713"/>
            <a:gd name="connsiteX11" fmla="*/ 220704 w 668379"/>
            <a:gd name="connsiteY11" fmla="*/ 22763 h 130713"/>
            <a:gd name="connsiteX12" fmla="*/ 230229 w 668379"/>
            <a:gd name="connsiteY12" fmla="*/ 19588 h 130713"/>
            <a:gd name="connsiteX13" fmla="*/ 277854 w 668379"/>
            <a:gd name="connsiteY13" fmla="*/ 13238 h 130713"/>
            <a:gd name="connsiteX14" fmla="*/ 287379 w 668379"/>
            <a:gd name="connsiteY14" fmla="*/ 10063 h 130713"/>
            <a:gd name="connsiteX15" fmla="*/ 296904 w 668379"/>
            <a:gd name="connsiteY15" fmla="*/ 22763 h 130713"/>
            <a:gd name="connsiteX16" fmla="*/ 344529 w 668379"/>
            <a:gd name="connsiteY16" fmla="*/ 13139 h 130713"/>
            <a:gd name="connsiteX17" fmla="*/ 347704 w 668379"/>
            <a:gd name="connsiteY17" fmla="*/ 25938 h 130713"/>
            <a:gd name="connsiteX18" fmla="*/ 373104 w 668379"/>
            <a:gd name="connsiteY18" fmla="*/ 13238 h 130713"/>
            <a:gd name="connsiteX19" fmla="*/ 392154 w 668379"/>
            <a:gd name="connsiteY19" fmla="*/ 6888 h 130713"/>
            <a:gd name="connsiteX20" fmla="*/ 401679 w 668379"/>
            <a:gd name="connsiteY20" fmla="*/ 3713 h 130713"/>
            <a:gd name="connsiteX21" fmla="*/ 509629 w 668379"/>
            <a:gd name="connsiteY21" fmla="*/ 5910 h 130713"/>
            <a:gd name="connsiteX22" fmla="*/ 579479 w 668379"/>
            <a:gd name="connsiteY22" fmla="*/ 4933 h 130713"/>
            <a:gd name="connsiteX23" fmla="*/ 614404 w 668379"/>
            <a:gd name="connsiteY23" fmla="*/ 11821 h 130713"/>
            <a:gd name="connsiteX24" fmla="*/ 668379 w 668379"/>
            <a:gd name="connsiteY24" fmla="*/ 0 h 130713"/>
            <a:gd name="connsiteX25" fmla="*/ 665204 w 668379"/>
            <a:gd name="connsiteY25" fmla="*/ 34145 h 130713"/>
            <a:gd name="connsiteX26" fmla="*/ 668379 w 668379"/>
            <a:gd name="connsiteY26" fmla="*/ 62182 h 130713"/>
            <a:gd name="connsiteX27" fmla="*/ 665204 w 668379"/>
            <a:gd name="connsiteY27" fmla="*/ 89438 h 130713"/>
            <a:gd name="connsiteX28" fmla="*/ 662029 w 668379"/>
            <a:gd name="connsiteY28" fmla="*/ 121188 h 130713"/>
            <a:gd name="connsiteX29" fmla="*/ 620754 w 668379"/>
            <a:gd name="connsiteY29" fmla="*/ 114838 h 130713"/>
            <a:gd name="connsiteX30" fmla="*/ 608054 w 668379"/>
            <a:gd name="connsiteY30" fmla="*/ 111663 h 130713"/>
            <a:gd name="connsiteX31" fmla="*/ 589004 w 668379"/>
            <a:gd name="connsiteY31" fmla="*/ 108488 h 130713"/>
            <a:gd name="connsiteX32" fmla="*/ 503279 w 668379"/>
            <a:gd name="connsiteY32" fmla="*/ 111663 h 130713"/>
            <a:gd name="connsiteX33" fmla="*/ 493754 w 668379"/>
            <a:gd name="connsiteY33" fmla="*/ 114838 h 130713"/>
            <a:gd name="connsiteX34" fmla="*/ 385804 w 668379"/>
            <a:gd name="connsiteY34" fmla="*/ 118013 h 130713"/>
            <a:gd name="connsiteX35" fmla="*/ 354054 w 668379"/>
            <a:gd name="connsiteY35" fmla="*/ 121188 h 130713"/>
            <a:gd name="connsiteX36" fmla="*/ 290554 w 668379"/>
            <a:gd name="connsiteY36" fmla="*/ 124363 h 130713"/>
            <a:gd name="connsiteX37" fmla="*/ 281029 w 668379"/>
            <a:gd name="connsiteY37" fmla="*/ 127538 h 130713"/>
            <a:gd name="connsiteX38" fmla="*/ 265154 w 668379"/>
            <a:gd name="connsiteY38" fmla="*/ 130713 h 130713"/>
            <a:gd name="connsiteX39" fmla="*/ 33379 w 668379"/>
            <a:gd name="connsiteY39" fmla="*/ 127538 h 130713"/>
            <a:gd name="connsiteX40" fmla="*/ 23854 w 668379"/>
            <a:gd name="connsiteY40" fmla="*/ 124363 h 130713"/>
            <a:gd name="connsiteX41" fmla="*/ 1629 w 668379"/>
            <a:gd name="connsiteY41" fmla="*/ 111663 h 1307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</a:cxnLst>
          <a:rect l="l" t="t" r="r" b="b"/>
          <a:pathLst>
            <a:path w="668379" h="130713">
              <a:moveTo>
                <a:pt x="1629" y="111663"/>
              </a:moveTo>
              <a:cubicBezTo>
                <a:pt x="-1546" y="105313"/>
                <a:pt x="132" y="123637"/>
                <a:pt x="4804" y="86263"/>
              </a:cubicBezTo>
              <a:cubicBezTo>
                <a:pt x="13861" y="13811"/>
                <a:pt x="-14720" y="25263"/>
                <a:pt x="20679" y="16413"/>
              </a:cubicBezTo>
              <a:cubicBezTo>
                <a:pt x="29146" y="17471"/>
                <a:pt x="37847" y="17343"/>
                <a:pt x="46079" y="19588"/>
              </a:cubicBezTo>
              <a:cubicBezTo>
                <a:pt x="49760" y="20592"/>
                <a:pt x="51792" y="25772"/>
                <a:pt x="55604" y="25938"/>
              </a:cubicBezTo>
              <a:lnTo>
                <a:pt x="119104" y="22763"/>
              </a:lnTo>
              <a:cubicBezTo>
                <a:pt x="126869" y="18880"/>
                <a:pt x="132920" y="15107"/>
                <a:pt x="141329" y="13238"/>
              </a:cubicBezTo>
              <a:cubicBezTo>
                <a:pt x="147613" y="11841"/>
                <a:pt x="154029" y="11121"/>
                <a:pt x="160379" y="10063"/>
              </a:cubicBezTo>
              <a:cubicBezTo>
                <a:pt x="167787" y="11121"/>
                <a:pt x="176290" y="9220"/>
                <a:pt x="182604" y="13238"/>
              </a:cubicBezTo>
              <a:cubicBezTo>
                <a:pt x="189043" y="17335"/>
                <a:pt x="189483" y="31100"/>
                <a:pt x="195304" y="32288"/>
              </a:cubicBezTo>
              <a:cubicBezTo>
                <a:pt x="201125" y="33476"/>
                <a:pt x="210121" y="24341"/>
                <a:pt x="217529" y="20368"/>
              </a:cubicBezTo>
              <a:cubicBezTo>
                <a:pt x="243196" y="3257"/>
                <a:pt x="218587" y="22893"/>
                <a:pt x="220704" y="22763"/>
              </a:cubicBezTo>
              <a:cubicBezTo>
                <a:pt x="222821" y="22633"/>
                <a:pt x="226928" y="20138"/>
                <a:pt x="230229" y="19588"/>
              </a:cubicBezTo>
              <a:cubicBezTo>
                <a:pt x="246027" y="16955"/>
                <a:pt x="261979" y="15355"/>
                <a:pt x="277854" y="13238"/>
              </a:cubicBezTo>
              <a:cubicBezTo>
                <a:pt x="281029" y="12180"/>
                <a:pt x="284386" y="8566"/>
                <a:pt x="287379" y="10063"/>
              </a:cubicBezTo>
              <a:cubicBezTo>
                <a:pt x="292112" y="12430"/>
                <a:pt x="287379" y="22250"/>
                <a:pt x="296904" y="22763"/>
              </a:cubicBezTo>
              <a:cubicBezTo>
                <a:pt x="306429" y="23276"/>
                <a:pt x="336782" y="10557"/>
                <a:pt x="344529" y="13139"/>
              </a:cubicBezTo>
              <a:cubicBezTo>
                <a:pt x="355112" y="11022"/>
                <a:pt x="342942" y="25922"/>
                <a:pt x="347704" y="25938"/>
              </a:cubicBezTo>
              <a:cubicBezTo>
                <a:pt x="352466" y="25954"/>
                <a:pt x="364124" y="16231"/>
                <a:pt x="373104" y="13238"/>
              </a:cubicBezTo>
              <a:lnTo>
                <a:pt x="392154" y="6888"/>
              </a:lnTo>
              <a:cubicBezTo>
                <a:pt x="395329" y="5830"/>
                <a:pt x="382100" y="3876"/>
                <a:pt x="401679" y="3713"/>
              </a:cubicBezTo>
              <a:cubicBezTo>
                <a:pt x="421258" y="3550"/>
                <a:pt x="479996" y="5707"/>
                <a:pt x="509629" y="5910"/>
              </a:cubicBezTo>
              <a:cubicBezTo>
                <a:pt x="539262" y="6113"/>
                <a:pt x="577362" y="700"/>
                <a:pt x="579479" y="4933"/>
              </a:cubicBezTo>
              <a:cubicBezTo>
                <a:pt x="629983" y="2528"/>
                <a:pt x="599587" y="12643"/>
                <a:pt x="614404" y="11821"/>
              </a:cubicBezTo>
              <a:cubicBezTo>
                <a:pt x="629221" y="10999"/>
                <a:pt x="665204" y="2117"/>
                <a:pt x="668379" y="0"/>
              </a:cubicBezTo>
              <a:cubicBezTo>
                <a:pt x="666262" y="3175"/>
                <a:pt x="665204" y="23781"/>
                <a:pt x="665204" y="34145"/>
              </a:cubicBezTo>
              <a:cubicBezTo>
                <a:pt x="665204" y="44509"/>
                <a:pt x="668379" y="52967"/>
                <a:pt x="668379" y="62182"/>
              </a:cubicBezTo>
              <a:cubicBezTo>
                <a:pt x="668379" y="71397"/>
                <a:pt x="666262" y="79604"/>
                <a:pt x="665204" y="89438"/>
              </a:cubicBezTo>
              <a:cubicBezTo>
                <a:pt x="664146" y="99272"/>
                <a:pt x="671264" y="115911"/>
                <a:pt x="662029" y="121188"/>
              </a:cubicBezTo>
              <a:cubicBezTo>
                <a:pt x="649943" y="128094"/>
                <a:pt x="634462" y="117257"/>
                <a:pt x="620754" y="114838"/>
              </a:cubicBezTo>
              <a:cubicBezTo>
                <a:pt x="616457" y="114080"/>
                <a:pt x="612333" y="112519"/>
                <a:pt x="608054" y="111663"/>
              </a:cubicBezTo>
              <a:cubicBezTo>
                <a:pt x="601741" y="110400"/>
                <a:pt x="595354" y="109546"/>
                <a:pt x="589004" y="108488"/>
              </a:cubicBezTo>
              <a:cubicBezTo>
                <a:pt x="560429" y="109546"/>
                <a:pt x="531810" y="109761"/>
                <a:pt x="503279" y="111663"/>
              </a:cubicBezTo>
              <a:cubicBezTo>
                <a:pt x="499940" y="111886"/>
                <a:pt x="497096" y="114657"/>
                <a:pt x="493754" y="114838"/>
              </a:cubicBezTo>
              <a:cubicBezTo>
                <a:pt x="457808" y="116781"/>
                <a:pt x="421787" y="116955"/>
                <a:pt x="385804" y="118013"/>
              </a:cubicBezTo>
              <a:cubicBezTo>
                <a:pt x="375221" y="119071"/>
                <a:pt x="364667" y="120480"/>
                <a:pt x="354054" y="121188"/>
              </a:cubicBezTo>
              <a:cubicBezTo>
                <a:pt x="332908" y="122598"/>
                <a:pt x="311667" y="122527"/>
                <a:pt x="290554" y="124363"/>
              </a:cubicBezTo>
              <a:cubicBezTo>
                <a:pt x="287220" y="124653"/>
                <a:pt x="284276" y="126726"/>
                <a:pt x="281029" y="127538"/>
              </a:cubicBezTo>
              <a:cubicBezTo>
                <a:pt x="275794" y="128847"/>
                <a:pt x="270446" y="129655"/>
                <a:pt x="265154" y="130713"/>
              </a:cubicBezTo>
              <a:lnTo>
                <a:pt x="33379" y="127538"/>
              </a:lnTo>
              <a:cubicBezTo>
                <a:pt x="30033" y="127450"/>
                <a:pt x="27167" y="124836"/>
                <a:pt x="23854" y="124363"/>
              </a:cubicBezTo>
              <a:cubicBezTo>
                <a:pt x="19663" y="123764"/>
                <a:pt x="4804" y="118013"/>
                <a:pt x="1629" y="111663"/>
              </a:cubicBezTo>
              <a:close/>
            </a:path>
          </a:pathLst>
        </a:custGeom>
        <a:solidFill>
          <a:schemeClr val="bg2">
            <a:lumMod val="2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39</xdr:col>
      <xdr:colOff>3969</xdr:colOff>
      <xdr:row>40</xdr:row>
      <xdr:rowOff>165229</xdr:rowOff>
    </xdr:from>
    <xdr:to>
      <xdr:col>41</xdr:col>
      <xdr:colOff>206374</xdr:colOff>
      <xdr:row>40</xdr:row>
      <xdr:rowOff>210949</xdr:rowOff>
    </xdr:to>
    <xdr:sp macro="" textlink="">
      <xdr:nvSpPr>
        <xdr:cNvPr id="192" name="Rectangle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SpPr/>
      </xdr:nvSpPr>
      <xdr:spPr>
        <a:xfrm>
          <a:off x="23778369" y="6642229"/>
          <a:ext cx="1421605" cy="0"/>
        </a:xfrm>
        <a:prstGeom prst="rect">
          <a:avLst/>
        </a:prstGeom>
        <a:solidFill>
          <a:schemeClr val="bg2">
            <a:lumMod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100"/>
        </a:p>
      </xdr:txBody>
    </xdr:sp>
    <xdr:clientData/>
  </xdr:twoCellAnchor>
  <xdr:twoCellAnchor>
    <xdr:from>
      <xdr:col>45</xdr:col>
      <xdr:colOff>7937</xdr:colOff>
      <xdr:row>40</xdr:row>
      <xdr:rowOff>187545</xdr:rowOff>
    </xdr:from>
    <xdr:to>
      <xdr:col>47</xdr:col>
      <xdr:colOff>210342</xdr:colOff>
      <xdr:row>41</xdr:row>
      <xdr:rowOff>1150</xdr:rowOff>
    </xdr:to>
    <xdr:sp macro="" textlink="">
      <xdr:nvSpPr>
        <xdr:cNvPr id="193" name="Rectangle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SpPr/>
      </xdr:nvSpPr>
      <xdr:spPr>
        <a:xfrm>
          <a:off x="27439937" y="6635970"/>
          <a:ext cx="1421605" cy="4105"/>
        </a:xfrm>
        <a:prstGeom prst="rect">
          <a:avLst/>
        </a:prstGeom>
        <a:solidFill>
          <a:schemeClr val="bg2">
            <a:lumMod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100"/>
        </a:p>
      </xdr:txBody>
    </xdr:sp>
    <xdr:clientData/>
  </xdr:twoCellAnchor>
  <xdr:twoCellAnchor>
    <xdr:from>
      <xdr:col>51</xdr:col>
      <xdr:colOff>7937</xdr:colOff>
      <xdr:row>40</xdr:row>
      <xdr:rowOff>187545</xdr:rowOff>
    </xdr:from>
    <xdr:to>
      <xdr:col>53</xdr:col>
      <xdr:colOff>210342</xdr:colOff>
      <xdr:row>41</xdr:row>
      <xdr:rowOff>1150</xdr:rowOff>
    </xdr:to>
    <xdr:sp macro="" textlink="">
      <xdr:nvSpPr>
        <xdr:cNvPr id="194" name="Rectangle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SpPr/>
      </xdr:nvSpPr>
      <xdr:spPr>
        <a:xfrm>
          <a:off x="31097537" y="6635970"/>
          <a:ext cx="1421605" cy="4105"/>
        </a:xfrm>
        <a:prstGeom prst="rect">
          <a:avLst/>
        </a:prstGeom>
        <a:solidFill>
          <a:schemeClr val="bg2">
            <a:lumMod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100"/>
        </a:p>
      </xdr:txBody>
    </xdr:sp>
    <xdr:clientData/>
  </xdr:twoCellAnchor>
  <xdr:twoCellAnchor>
    <xdr:from>
      <xdr:col>57</xdr:col>
      <xdr:colOff>3968</xdr:colOff>
      <xdr:row>40</xdr:row>
      <xdr:rowOff>187545</xdr:rowOff>
    </xdr:from>
    <xdr:to>
      <xdr:col>59</xdr:col>
      <xdr:colOff>206373</xdr:colOff>
      <xdr:row>41</xdr:row>
      <xdr:rowOff>1150</xdr:rowOff>
    </xdr:to>
    <xdr:sp macro="" textlink="">
      <xdr:nvSpPr>
        <xdr:cNvPr id="195" name="Rectangle 194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SpPr/>
      </xdr:nvSpPr>
      <xdr:spPr>
        <a:xfrm>
          <a:off x="34751168" y="6635970"/>
          <a:ext cx="1421605" cy="4105"/>
        </a:xfrm>
        <a:prstGeom prst="rect">
          <a:avLst/>
        </a:prstGeom>
        <a:solidFill>
          <a:schemeClr val="bg2">
            <a:lumMod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100"/>
        </a:p>
      </xdr:txBody>
    </xdr:sp>
    <xdr:clientData/>
  </xdr:twoCellAnchor>
  <xdr:twoCellAnchor>
    <xdr:from>
      <xdr:col>33</xdr:col>
      <xdr:colOff>15875</xdr:colOff>
      <xdr:row>40</xdr:row>
      <xdr:rowOff>165229</xdr:rowOff>
    </xdr:from>
    <xdr:to>
      <xdr:col>36</xdr:col>
      <xdr:colOff>3968</xdr:colOff>
      <xdr:row>40</xdr:row>
      <xdr:rowOff>210949</xdr:rowOff>
    </xdr:to>
    <xdr:sp macro="" textlink="">
      <xdr:nvSpPr>
        <xdr:cNvPr id="202" name="Rectangle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/>
      </xdr:nvSpPr>
      <xdr:spPr>
        <a:xfrm>
          <a:off x="20132675" y="6642229"/>
          <a:ext cx="1816893" cy="0"/>
        </a:xfrm>
        <a:prstGeom prst="rect">
          <a:avLst/>
        </a:prstGeom>
        <a:solidFill>
          <a:schemeClr val="bg2">
            <a:lumMod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tool_activatedsludge_copy/retool_activatedsludge_copy/AIT_Costing_Tool_AB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OSTRO/Santosh/Tools%20Review/retool_activatedsludge_copy/AIT_Costing_Tool_AB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osting_Tool/Final_Costing_Tool_Submitted/Costing_Tool_Settler+ABR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Rate%20analyisia%202066@2067/RA-Build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Input"/>
      <sheetName val="BoQ"/>
      <sheetName val="Drawing"/>
      <sheetName val="Norms"/>
      <sheetName val="Sheet1"/>
    </sheetNames>
    <sheetDataSet>
      <sheetData sheetId="0"/>
      <sheetData sheetId="1">
        <row r="37">
          <cell r="B37" t="str">
            <v>Brick</v>
          </cell>
        </row>
        <row r="38">
          <cell r="B38" t="str">
            <v>Concrete</v>
          </cell>
        </row>
        <row r="39">
          <cell r="B39" t="str">
            <v>Stone</v>
          </cell>
        </row>
      </sheetData>
      <sheetData sheetId="2">
        <row r="34">
          <cell r="Y34">
            <v>428</v>
          </cell>
          <cell r="Z34">
            <v>56</v>
          </cell>
          <cell r="AA34">
            <v>42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Input"/>
      <sheetName val="BoQ"/>
      <sheetName val="Drawing"/>
      <sheetName val="Norms"/>
      <sheetName val="Sheet1"/>
    </sheetNames>
    <sheetDataSet>
      <sheetData sheetId="0"/>
      <sheetData sheetId="1">
        <row r="8">
          <cell r="C8" t="str">
            <v>Dry Edge Brick Soling</v>
          </cell>
        </row>
        <row r="37">
          <cell r="B37" t="str">
            <v>Brick</v>
          </cell>
        </row>
        <row r="38">
          <cell r="B38" t="str">
            <v>Concrete</v>
          </cell>
        </row>
        <row r="39">
          <cell r="B39" t="str">
            <v>Stone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+Instruction"/>
      <sheetName val="InputSetter"/>
      <sheetName val="BoQ_Settler"/>
      <sheetName val="MLQ_Settler"/>
      <sheetName val="DrawingSettler"/>
      <sheetName val="InputABR"/>
      <sheetName val="BoQ_ABR"/>
      <sheetName val="MLQ_ABR"/>
      <sheetName val="DrawingABR"/>
      <sheetName val="RA"/>
    </sheetNames>
    <sheetDataSet>
      <sheetData sheetId="0"/>
      <sheetData sheetId="1">
        <row r="3">
          <cell r="L3" t="str">
            <v>Brick</v>
          </cell>
        </row>
        <row r="4">
          <cell r="L4" t="str">
            <v>Concrete</v>
          </cell>
        </row>
        <row r="5">
          <cell r="L5" t="str">
            <v>Stone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of Project"/>
      <sheetName val="District rate"/>
      <sheetName val="Acad"/>
      <sheetName val="Unit Rate"/>
      <sheetName val="Aud"/>
      <sheetName val="Septic"/>
      <sheetName val="RA"/>
      <sheetName val="Data Input"/>
      <sheetName val="Transportation-truck"/>
      <sheetName val="El+San"/>
      <sheetName val="Fur+GATE"/>
      <sheetName val="Dismantalling"/>
      <sheetName val="BOQ"/>
      <sheetName val="School Maint."/>
    </sheetNames>
    <sheetDataSet>
      <sheetData sheetId="0"/>
      <sheetData sheetId="1"/>
      <sheetData sheetId="2"/>
      <sheetData sheetId="3"/>
      <sheetData sheetId="4"/>
      <sheetData sheetId="5"/>
      <sheetData sheetId="6">
        <row r="135">
          <cell r="B135">
            <v>1</v>
          </cell>
          <cell r="G135">
            <v>1.1000000000000001</v>
          </cell>
        </row>
        <row r="136">
          <cell r="B136">
            <v>2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8"/>
  <sheetViews>
    <sheetView tabSelected="1" zoomScaleNormal="100" workbookViewId="0">
      <selection activeCell="S12" sqref="S11:S12"/>
    </sheetView>
  </sheetViews>
  <sheetFormatPr defaultRowHeight="15" x14ac:dyDescent="0.25"/>
  <cols>
    <col min="1" max="16384" width="9.140625" style="228"/>
  </cols>
  <sheetData>
    <row r="1" spans="1:9" x14ac:dyDescent="0.25">
      <c r="A1" s="328" t="s">
        <v>77</v>
      </c>
      <c r="B1" s="272"/>
      <c r="C1" s="272"/>
      <c r="D1" s="272"/>
      <c r="E1" s="272"/>
      <c r="F1" s="272"/>
      <c r="G1" s="272"/>
      <c r="H1" s="272"/>
      <c r="I1" s="273"/>
    </row>
    <row r="2" spans="1:9" x14ac:dyDescent="0.25">
      <c r="A2" s="274"/>
      <c r="B2" s="275"/>
      <c r="C2" s="275"/>
      <c r="D2" s="275"/>
      <c r="E2" s="275"/>
      <c r="F2" s="275"/>
      <c r="G2" s="275"/>
      <c r="H2" s="275"/>
      <c r="I2" s="276"/>
    </row>
    <row r="3" spans="1:9" x14ac:dyDescent="0.25">
      <c r="A3" s="274"/>
      <c r="B3" s="275"/>
      <c r="C3" s="275"/>
      <c r="D3" s="275"/>
      <c r="E3" s="275"/>
      <c r="F3" s="275"/>
      <c r="G3" s="275"/>
      <c r="H3" s="275"/>
      <c r="I3" s="276"/>
    </row>
    <row r="4" spans="1:9" x14ac:dyDescent="0.25">
      <c r="A4" s="274"/>
      <c r="B4" s="275"/>
      <c r="C4" s="275"/>
      <c r="D4" s="275"/>
      <c r="E4" s="275"/>
      <c r="F4" s="275"/>
      <c r="G4" s="275"/>
      <c r="H4" s="275"/>
      <c r="I4" s="276"/>
    </row>
    <row r="5" spans="1:9" x14ac:dyDescent="0.25">
      <c r="A5" s="274"/>
      <c r="B5" s="275"/>
      <c r="C5" s="275"/>
      <c r="D5" s="275"/>
      <c r="E5" s="275"/>
      <c r="F5" s="275"/>
      <c r="G5" s="275"/>
      <c r="H5" s="275"/>
      <c r="I5" s="276"/>
    </row>
    <row r="6" spans="1:9" x14ac:dyDescent="0.25">
      <c r="A6" s="274"/>
      <c r="B6" s="275"/>
      <c r="C6" s="275"/>
      <c r="D6" s="275"/>
      <c r="E6" s="275"/>
      <c r="F6" s="275"/>
      <c r="G6" s="275"/>
      <c r="H6" s="275"/>
      <c r="I6" s="276"/>
    </row>
    <row r="7" spans="1:9" x14ac:dyDescent="0.25">
      <c r="A7" s="274"/>
      <c r="B7" s="275"/>
      <c r="C7" s="275"/>
      <c r="D7" s="275"/>
      <c r="E7" s="275"/>
      <c r="F7" s="275"/>
      <c r="G7" s="275"/>
      <c r="H7" s="275"/>
      <c r="I7" s="276"/>
    </row>
    <row r="8" spans="1:9" x14ac:dyDescent="0.25">
      <c r="A8" s="274"/>
      <c r="B8" s="275"/>
      <c r="C8" s="275"/>
      <c r="D8" s="275"/>
      <c r="E8" s="275"/>
      <c r="F8" s="275"/>
      <c r="G8" s="275"/>
      <c r="H8" s="275"/>
      <c r="I8" s="276"/>
    </row>
    <row r="9" spans="1:9" x14ac:dyDescent="0.25">
      <c r="A9" s="274"/>
      <c r="B9" s="275"/>
      <c r="C9" s="275"/>
      <c r="D9" s="275"/>
      <c r="E9" s="275"/>
      <c r="F9" s="275"/>
      <c r="G9" s="275"/>
      <c r="H9" s="275"/>
      <c r="I9" s="276"/>
    </row>
    <row r="10" spans="1:9" x14ac:dyDescent="0.25">
      <c r="A10" s="274"/>
      <c r="B10" s="275"/>
      <c r="C10" s="275"/>
      <c r="D10" s="275"/>
      <c r="E10" s="275"/>
      <c r="F10" s="275"/>
      <c r="G10" s="275"/>
      <c r="H10" s="275"/>
      <c r="I10" s="276"/>
    </row>
    <row r="11" spans="1:9" x14ac:dyDescent="0.25">
      <c r="A11" s="274"/>
      <c r="B11" s="275"/>
      <c r="C11" s="275"/>
      <c r="D11" s="275"/>
      <c r="E11" s="275"/>
      <c r="F11" s="275"/>
      <c r="G11" s="275"/>
      <c r="H11" s="275"/>
      <c r="I11" s="276"/>
    </row>
    <row r="12" spans="1:9" x14ac:dyDescent="0.25">
      <c r="A12" s="274"/>
      <c r="B12" s="275"/>
      <c r="C12" s="275"/>
      <c r="D12" s="275"/>
      <c r="E12" s="275"/>
      <c r="F12" s="275"/>
      <c r="G12" s="275"/>
      <c r="H12" s="275"/>
      <c r="I12" s="276"/>
    </row>
    <row r="13" spans="1:9" x14ac:dyDescent="0.25">
      <c r="A13" s="274"/>
      <c r="B13" s="275"/>
      <c r="C13" s="275"/>
      <c r="D13" s="275"/>
      <c r="E13" s="275"/>
      <c r="F13" s="275"/>
      <c r="G13" s="275"/>
      <c r="H13" s="275"/>
      <c r="I13" s="276"/>
    </row>
    <row r="14" spans="1:9" x14ac:dyDescent="0.25">
      <c r="A14" s="274"/>
      <c r="B14" s="275"/>
      <c r="C14" s="275"/>
      <c r="D14" s="275"/>
      <c r="E14" s="275"/>
      <c r="F14" s="275"/>
      <c r="G14" s="275"/>
      <c r="H14" s="275"/>
      <c r="I14" s="276"/>
    </row>
    <row r="15" spans="1:9" x14ac:dyDescent="0.25">
      <c r="A15" s="274"/>
      <c r="B15" s="275"/>
      <c r="C15" s="275"/>
      <c r="D15" s="275"/>
      <c r="E15" s="275"/>
      <c r="F15" s="275"/>
      <c r="G15" s="275"/>
      <c r="H15" s="275"/>
      <c r="I15" s="276"/>
    </row>
    <row r="16" spans="1:9" x14ac:dyDescent="0.25">
      <c r="A16" s="274"/>
      <c r="B16" s="275"/>
      <c r="C16" s="275"/>
      <c r="D16" s="275"/>
      <c r="E16" s="275"/>
      <c r="F16" s="275"/>
      <c r="G16" s="275"/>
      <c r="H16" s="275"/>
      <c r="I16" s="276"/>
    </row>
    <row r="17" spans="1:9" x14ac:dyDescent="0.25">
      <c r="A17" s="274"/>
      <c r="B17" s="275"/>
      <c r="C17" s="275"/>
      <c r="D17" s="275"/>
      <c r="E17" s="275"/>
      <c r="F17" s="275"/>
      <c r="G17" s="275"/>
      <c r="H17" s="275"/>
      <c r="I17" s="276"/>
    </row>
    <row r="18" spans="1:9" x14ac:dyDescent="0.25">
      <c r="A18" s="277"/>
      <c r="B18" s="278"/>
      <c r="C18" s="278"/>
      <c r="D18" s="278"/>
      <c r="E18" s="278"/>
      <c r="F18" s="278"/>
      <c r="G18" s="278"/>
      <c r="H18" s="278"/>
      <c r="I18" s="279"/>
    </row>
  </sheetData>
  <mergeCells count="1">
    <mergeCell ref="A1:I18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Load_BoQUserform">
          <controlPr defaultSize="0" autoFill="0" autoLine="0" r:id="rId5">
            <anchor moveWithCells="1">
              <from>
                <xdr:col>4</xdr:col>
                <xdr:colOff>295275</xdr:colOff>
                <xdr:row>0</xdr:row>
                <xdr:rowOff>76200</xdr:rowOff>
              </from>
              <to>
                <xdr:col>8</xdr:col>
                <xdr:colOff>238125</xdr:colOff>
                <xdr:row>4</xdr:row>
                <xdr:rowOff>85725</xdr:rowOff>
              </to>
            </anchor>
          </controlPr>
        </control>
      </mc:Choice>
      <mc:Fallback>
        <control shapeId="1026" r:id="rId4" name="Load_BoQUser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BQS3103"/>
  <sheetViews>
    <sheetView showGridLines="0" topLeftCell="A7" zoomScale="90" zoomScaleNormal="90" zoomScaleSheetLayoutView="100" workbookViewId="0">
      <selection activeCell="BV27" sqref="BV27"/>
    </sheetView>
  </sheetViews>
  <sheetFormatPr defaultRowHeight="15" x14ac:dyDescent="0.25"/>
  <cols>
    <col min="1" max="1" width="17" style="1" customWidth="1"/>
    <col min="2" max="2" width="0.85546875" style="2" customWidth="1"/>
    <col min="3" max="7" width="2.85546875" style="2" customWidth="1"/>
    <col min="8" max="8" width="3.140625" style="2" customWidth="1"/>
    <col min="9" max="14" width="3.42578125" style="2" customWidth="1"/>
    <col min="15" max="15" width="2.28515625" style="2" customWidth="1"/>
    <col min="16" max="18" width="3.42578125" style="2" customWidth="1"/>
    <col min="19" max="19" width="2.28515625" style="2" customWidth="1"/>
    <col min="20" max="20" width="3.42578125" style="2" customWidth="1"/>
    <col min="21" max="21" width="2.28515625" style="2" customWidth="1"/>
    <col min="22" max="24" width="3.42578125" style="2" customWidth="1"/>
    <col min="25" max="25" width="2.28515625" style="2" customWidth="1"/>
    <col min="26" max="26" width="3" style="2" customWidth="1"/>
    <col min="27" max="27" width="2.28515625" style="2" customWidth="1"/>
    <col min="28" max="28" width="3.140625" style="2" customWidth="1"/>
    <col min="29" max="30" width="3.140625" style="3" customWidth="1"/>
    <col min="31" max="31" width="2.28515625" style="3" customWidth="1"/>
    <col min="32" max="32" width="3.140625" style="3" hidden="1" customWidth="1"/>
    <col min="33" max="33" width="2.28515625" style="3" hidden="1" customWidth="1"/>
    <col min="34" max="36" width="3.140625" style="3" hidden="1" customWidth="1"/>
    <col min="37" max="37" width="2.28515625" style="3" hidden="1" customWidth="1"/>
    <col min="38" max="38" width="3.140625" style="3" hidden="1" customWidth="1"/>
    <col min="39" max="39" width="2.28515625" style="3" hidden="1" customWidth="1"/>
    <col min="40" max="42" width="3.140625" style="3" hidden="1" customWidth="1"/>
    <col min="43" max="43" width="2.28515625" style="3" hidden="1" customWidth="1"/>
    <col min="44" max="44" width="3.140625" style="3" hidden="1" customWidth="1"/>
    <col min="45" max="45" width="2.28515625" style="3" hidden="1" customWidth="1"/>
    <col min="46" max="48" width="3.140625" style="3" hidden="1" customWidth="1"/>
    <col min="49" max="49" width="2.28515625" style="3" hidden="1" customWidth="1"/>
    <col min="50" max="50" width="3.140625" style="3" hidden="1" customWidth="1"/>
    <col min="51" max="51" width="2.28515625" style="3" hidden="1" customWidth="1"/>
    <col min="52" max="54" width="3.140625" style="3" hidden="1" customWidth="1"/>
    <col min="55" max="55" width="2.28515625" style="3" hidden="1" customWidth="1"/>
    <col min="56" max="56" width="3.140625" style="3" customWidth="1"/>
    <col min="57" max="57" width="2.28515625" style="3" customWidth="1"/>
    <col min="58" max="60" width="3.140625" style="3" customWidth="1"/>
    <col min="61" max="61" width="2.28515625" style="3" customWidth="1"/>
    <col min="62" max="62" width="3.140625" style="3" customWidth="1"/>
    <col min="63" max="63" width="4" style="3" customWidth="1"/>
    <col min="64" max="73" width="3.140625" style="3" customWidth="1"/>
    <col min="74" max="74" width="0.85546875" style="2" customWidth="1"/>
    <col min="75" max="16384" width="9.140625" style="1"/>
  </cols>
  <sheetData>
    <row r="1" spans="1:255" s="226" customFormat="1" ht="21.75" thickBot="1" x14ac:dyDescent="0.3">
      <c r="A1" s="280" t="s">
        <v>13</v>
      </c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  <c r="P1" s="280"/>
      <c r="Q1" s="280"/>
      <c r="R1" s="280"/>
      <c r="S1" s="280"/>
      <c r="T1" s="280"/>
      <c r="U1" s="280"/>
      <c r="V1" s="280"/>
      <c r="W1" s="280"/>
      <c r="X1" s="280"/>
      <c r="Y1" s="280"/>
      <c r="Z1" s="280"/>
      <c r="AA1" s="280"/>
      <c r="AB1" s="280"/>
      <c r="AC1" s="280"/>
      <c r="AD1" s="280"/>
      <c r="AE1" s="280"/>
      <c r="AF1" s="280"/>
      <c r="AG1" s="280"/>
      <c r="AH1" s="280"/>
      <c r="AI1" s="280"/>
      <c r="AJ1" s="280"/>
      <c r="AK1" s="280"/>
      <c r="AL1" s="280"/>
      <c r="AM1" s="280"/>
      <c r="AN1" s="280"/>
      <c r="AO1" s="280"/>
      <c r="AP1" s="280"/>
      <c r="AQ1" s="280"/>
      <c r="AR1" s="280"/>
      <c r="AS1" s="280"/>
      <c r="AT1" s="280"/>
      <c r="AU1" s="280"/>
      <c r="AV1" s="280"/>
      <c r="AW1" s="280"/>
      <c r="AX1" s="280"/>
      <c r="AY1" s="280"/>
      <c r="AZ1" s="280"/>
      <c r="BA1" s="280"/>
      <c r="BB1" s="280"/>
      <c r="BC1" s="280"/>
      <c r="BD1" s="280"/>
      <c r="BE1" s="280"/>
      <c r="BF1" s="280"/>
      <c r="BG1" s="280"/>
      <c r="BH1" s="280"/>
      <c r="BI1" s="280"/>
      <c r="BJ1" s="280"/>
      <c r="BK1" s="280"/>
      <c r="BL1" s="280"/>
      <c r="BM1" s="280"/>
      <c r="BN1" s="280"/>
      <c r="BO1" s="280"/>
      <c r="BP1" s="280"/>
      <c r="BQ1" s="280"/>
      <c r="BR1" s="280"/>
      <c r="BS1" s="280"/>
      <c r="BT1" s="280"/>
      <c r="BU1" s="280"/>
      <c r="BV1" s="280"/>
      <c r="BW1" s="227"/>
      <c r="BX1" s="227"/>
      <c r="BY1" s="227"/>
      <c r="BZ1" s="227"/>
      <c r="CA1" s="227"/>
      <c r="CB1" s="227"/>
      <c r="CC1" s="227"/>
      <c r="CD1" s="227"/>
      <c r="CE1" s="227"/>
      <c r="CF1" s="227"/>
      <c r="CG1" s="227"/>
      <c r="CH1" s="227"/>
      <c r="CI1" s="227"/>
      <c r="CJ1" s="227"/>
      <c r="CK1" s="227"/>
      <c r="CL1" s="227"/>
      <c r="CM1" s="227"/>
      <c r="CN1" s="227"/>
      <c r="CO1" s="227"/>
      <c r="CP1" s="227"/>
      <c r="CQ1" s="227"/>
      <c r="CR1" s="227"/>
      <c r="CS1" s="227"/>
      <c r="CT1" s="227"/>
      <c r="CU1" s="227"/>
      <c r="CV1" s="227"/>
      <c r="CW1" s="227"/>
      <c r="CX1" s="227"/>
      <c r="CY1" s="227"/>
      <c r="CZ1" s="227"/>
      <c r="DA1" s="227"/>
      <c r="DB1" s="227"/>
      <c r="DC1" s="227"/>
      <c r="DD1" s="227"/>
      <c r="DE1" s="227"/>
      <c r="DF1" s="227"/>
      <c r="DG1" s="227"/>
      <c r="DH1" s="227"/>
      <c r="DI1" s="227"/>
      <c r="DJ1" s="227"/>
      <c r="DK1" s="227"/>
      <c r="DL1" s="227"/>
      <c r="DM1" s="227"/>
      <c r="DN1" s="227"/>
      <c r="DO1" s="227"/>
      <c r="DP1" s="227"/>
      <c r="DQ1" s="227"/>
      <c r="DR1" s="227"/>
      <c r="DS1" s="227"/>
      <c r="DT1" s="227"/>
      <c r="DU1" s="227"/>
      <c r="DV1" s="227"/>
      <c r="DW1" s="227"/>
      <c r="DX1" s="227"/>
      <c r="DY1" s="227"/>
      <c r="DZ1" s="227"/>
      <c r="EA1" s="227"/>
      <c r="EB1" s="227"/>
      <c r="EC1" s="227"/>
      <c r="ED1" s="227"/>
      <c r="EE1" s="227"/>
      <c r="EF1" s="227"/>
      <c r="EG1" s="227"/>
      <c r="EH1" s="227"/>
      <c r="EI1" s="227"/>
      <c r="EJ1" s="227"/>
      <c r="EK1" s="227"/>
      <c r="EL1" s="227"/>
      <c r="EM1" s="227"/>
      <c r="EN1" s="227"/>
      <c r="EO1" s="227"/>
      <c r="EP1" s="227"/>
      <c r="EQ1" s="227"/>
      <c r="ER1" s="227"/>
      <c r="ES1" s="227"/>
      <c r="ET1" s="227"/>
      <c r="EU1" s="227"/>
      <c r="EV1" s="227"/>
      <c r="EW1" s="227"/>
      <c r="EX1" s="227"/>
      <c r="EY1" s="227"/>
      <c r="EZ1" s="227"/>
      <c r="FA1" s="227"/>
      <c r="FB1" s="227"/>
      <c r="FC1" s="227"/>
      <c r="FD1" s="227"/>
      <c r="FE1" s="227"/>
      <c r="FF1" s="227"/>
      <c r="FG1" s="227"/>
      <c r="FH1" s="227"/>
      <c r="FI1" s="227"/>
      <c r="FJ1" s="227"/>
      <c r="FK1" s="227"/>
      <c r="FL1" s="227"/>
      <c r="FM1" s="227"/>
      <c r="FN1" s="227"/>
      <c r="FO1" s="227"/>
      <c r="FP1" s="227"/>
      <c r="FQ1" s="227"/>
      <c r="FR1" s="227"/>
      <c r="FS1" s="227"/>
      <c r="FT1" s="227"/>
      <c r="FU1" s="227"/>
      <c r="FV1" s="227"/>
      <c r="FW1" s="227"/>
      <c r="FX1" s="227"/>
      <c r="FY1" s="227"/>
      <c r="FZ1" s="227"/>
      <c r="GA1" s="227"/>
      <c r="GB1" s="227"/>
      <c r="GC1" s="227"/>
      <c r="GD1" s="227"/>
      <c r="GE1" s="227"/>
      <c r="GF1" s="227"/>
      <c r="GG1" s="227"/>
      <c r="GH1" s="227"/>
      <c r="GI1" s="227"/>
      <c r="GJ1" s="227"/>
      <c r="GK1" s="227"/>
      <c r="GL1" s="227"/>
      <c r="GM1" s="227"/>
      <c r="GN1" s="227"/>
      <c r="GO1" s="227"/>
      <c r="GP1" s="227"/>
      <c r="GQ1" s="227"/>
      <c r="GR1" s="227"/>
      <c r="GS1" s="227"/>
      <c r="GT1" s="227"/>
      <c r="GU1" s="227"/>
      <c r="GV1" s="227"/>
      <c r="GW1" s="227"/>
      <c r="GX1" s="227"/>
      <c r="GY1" s="227"/>
      <c r="GZ1" s="227"/>
      <c r="HA1" s="227"/>
      <c r="HB1" s="227"/>
      <c r="HC1" s="227"/>
      <c r="HD1" s="227"/>
      <c r="HE1" s="227"/>
      <c r="HF1" s="227"/>
      <c r="HG1" s="227"/>
      <c r="HH1" s="227"/>
      <c r="HI1" s="227"/>
      <c r="HJ1" s="227"/>
      <c r="HK1" s="227"/>
      <c r="HL1" s="227"/>
      <c r="HM1" s="227"/>
      <c r="HN1" s="227"/>
      <c r="HO1" s="227"/>
      <c r="HP1" s="227"/>
      <c r="HQ1" s="227"/>
      <c r="HR1" s="227"/>
      <c r="HS1" s="227"/>
      <c r="HT1" s="227"/>
      <c r="HU1" s="227"/>
      <c r="HV1" s="227"/>
      <c r="HW1" s="227"/>
      <c r="HX1" s="227"/>
      <c r="HY1" s="227"/>
      <c r="HZ1" s="227"/>
      <c r="IA1" s="227"/>
      <c r="IB1" s="227"/>
      <c r="IC1" s="227"/>
      <c r="ID1" s="227"/>
      <c r="IE1" s="227"/>
      <c r="IF1" s="227"/>
      <c r="IG1" s="227"/>
      <c r="IH1" s="227"/>
      <c r="II1" s="227"/>
      <c r="IJ1" s="227"/>
      <c r="IK1" s="227"/>
      <c r="IL1" s="227"/>
      <c r="IM1" s="227"/>
      <c r="IN1" s="227"/>
      <c r="IO1" s="227"/>
      <c r="IP1" s="227"/>
      <c r="IQ1" s="227"/>
      <c r="IR1" s="227"/>
      <c r="IS1" s="227"/>
      <c r="IT1" s="227"/>
      <c r="IU1" s="227"/>
    </row>
    <row r="2" spans="1:255" ht="15.75" thickBot="1" x14ac:dyDescent="0.3">
      <c r="A2" s="213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1"/>
    </row>
    <row r="3" spans="1:255" ht="5.0999999999999996" customHeight="1" x14ac:dyDescent="0.25">
      <c r="A3" s="213"/>
      <c r="B3" s="133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29"/>
      <c r="AD3" s="129"/>
      <c r="AE3" s="129"/>
      <c r="AF3" s="129"/>
      <c r="AG3" s="129"/>
      <c r="AH3" s="129"/>
      <c r="AI3" s="129"/>
      <c r="AJ3" s="129"/>
      <c r="AK3" s="129"/>
      <c r="AL3" s="129"/>
      <c r="AM3" s="129"/>
      <c r="AN3" s="129"/>
      <c r="AO3" s="129"/>
      <c r="AP3" s="129"/>
      <c r="AQ3" s="129"/>
      <c r="AR3" s="129"/>
      <c r="AS3" s="129"/>
      <c r="AT3" s="129"/>
      <c r="AU3" s="129"/>
      <c r="AV3" s="129"/>
      <c r="AW3" s="129"/>
      <c r="AX3" s="129"/>
      <c r="AY3" s="129"/>
      <c r="AZ3" s="129"/>
      <c r="BA3" s="129"/>
      <c r="BB3" s="129"/>
      <c r="BC3" s="129"/>
      <c r="BD3" s="129"/>
      <c r="BE3" s="129"/>
      <c r="BF3" s="129"/>
      <c r="BG3" s="129"/>
      <c r="BH3" s="129"/>
      <c r="BI3" s="129"/>
      <c r="BJ3" s="129"/>
      <c r="BK3" s="129"/>
      <c r="BL3" s="129"/>
      <c r="BM3" s="129"/>
      <c r="BN3" s="129"/>
      <c r="BO3" s="129"/>
      <c r="BP3" s="129"/>
      <c r="BQ3" s="129"/>
      <c r="BR3" s="129"/>
      <c r="BS3" s="129"/>
      <c r="BT3" s="129"/>
      <c r="BU3" s="129"/>
      <c r="BV3" s="225"/>
    </row>
    <row r="4" spans="1:255" ht="15" customHeight="1" x14ac:dyDescent="0.25">
      <c r="A4" s="213"/>
      <c r="B4" s="18"/>
      <c r="C4" s="19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4"/>
      <c r="BV4" s="13"/>
    </row>
    <row r="5" spans="1:255" ht="16.5" customHeight="1" x14ac:dyDescent="0.25">
      <c r="B5" s="18"/>
      <c r="C5" s="20"/>
      <c r="N5" s="313">
        <v>10630</v>
      </c>
      <c r="O5" s="314"/>
      <c r="P5" s="314"/>
      <c r="Q5" s="314"/>
      <c r="R5" s="314"/>
      <c r="S5" s="314"/>
      <c r="T5" s="314"/>
      <c r="U5" s="314"/>
      <c r="V5" s="314"/>
      <c r="W5" s="314"/>
      <c r="X5" s="314"/>
      <c r="Y5" s="314"/>
      <c r="Z5" s="314"/>
      <c r="AA5" s="314"/>
      <c r="AB5" s="314"/>
      <c r="AC5" s="314"/>
      <c r="AD5" s="314"/>
      <c r="AE5" s="314"/>
      <c r="AF5" s="314"/>
      <c r="AG5" s="314"/>
      <c r="AH5" s="314"/>
      <c r="AI5" s="314"/>
      <c r="AJ5" s="314"/>
      <c r="AK5" s="314"/>
      <c r="AL5" s="314"/>
      <c r="AM5" s="314"/>
      <c r="AN5" s="314"/>
      <c r="AO5" s="314"/>
      <c r="AP5" s="314"/>
      <c r="AQ5" s="314"/>
      <c r="AR5" s="314"/>
      <c r="AS5" s="314"/>
      <c r="AT5" s="314"/>
      <c r="AU5" s="314"/>
      <c r="AV5" s="314"/>
      <c r="AW5" s="314"/>
      <c r="AX5" s="314"/>
      <c r="AY5" s="314"/>
      <c r="AZ5" s="314"/>
      <c r="BA5" s="314"/>
      <c r="BB5" s="314"/>
      <c r="BC5" s="314"/>
      <c r="BD5" s="314"/>
      <c r="BE5" s="314"/>
      <c r="BF5" s="314"/>
      <c r="BG5" s="314"/>
      <c r="BH5" s="314"/>
      <c r="BI5" s="314"/>
      <c r="BJ5" s="315"/>
      <c r="BU5" s="19"/>
      <c r="BV5" s="13"/>
    </row>
    <row r="6" spans="1:255" s="2" customFormat="1" ht="15" customHeight="1" x14ac:dyDescent="0.25">
      <c r="A6" s="213"/>
      <c r="B6" s="18"/>
      <c r="C6" s="20"/>
      <c r="N6" s="318">
        <v>350</v>
      </c>
      <c r="O6" s="224"/>
      <c r="P6" s="224"/>
      <c r="Q6" s="224"/>
      <c r="R6" s="224"/>
      <c r="S6" s="224"/>
      <c r="T6" s="281">
        <v>110</v>
      </c>
      <c r="U6" s="224"/>
      <c r="V6" s="224"/>
      <c r="W6" s="224"/>
      <c r="X6" s="224"/>
      <c r="Y6" s="224"/>
      <c r="Z6" s="281">
        <v>110</v>
      </c>
      <c r="AA6" s="224"/>
      <c r="AB6" s="224"/>
      <c r="AC6" s="224"/>
      <c r="AD6" s="224"/>
      <c r="AE6" s="224"/>
      <c r="AF6" s="281">
        <v>110</v>
      </c>
      <c r="AG6" s="224"/>
      <c r="AH6" s="224"/>
      <c r="AI6" s="224"/>
      <c r="AJ6" s="224"/>
      <c r="AK6" s="224"/>
      <c r="AL6" s="281">
        <v>110</v>
      </c>
      <c r="AM6" s="224"/>
      <c r="AN6" s="224"/>
      <c r="AO6" s="224"/>
      <c r="AP6" s="224"/>
      <c r="AQ6" s="224"/>
      <c r="AR6" s="281">
        <v>110</v>
      </c>
      <c r="AS6" s="224"/>
      <c r="AT6" s="224"/>
      <c r="AU6" s="224"/>
      <c r="AV6" s="224"/>
      <c r="AW6" s="224"/>
      <c r="AX6" s="281">
        <v>110</v>
      </c>
      <c r="AY6" s="224"/>
      <c r="AZ6" s="224"/>
      <c r="BA6" s="224"/>
      <c r="BB6" s="224"/>
      <c r="BC6" s="224"/>
      <c r="BD6" s="281">
        <v>110</v>
      </c>
      <c r="BE6" s="224"/>
      <c r="BF6" s="224"/>
      <c r="BG6" s="224"/>
      <c r="BH6" s="224"/>
      <c r="BI6" s="224"/>
      <c r="BJ6" s="316">
        <v>350</v>
      </c>
      <c r="BK6" s="3"/>
      <c r="BL6" s="3"/>
      <c r="BM6" s="3"/>
      <c r="BN6" s="3"/>
      <c r="BO6" s="3"/>
      <c r="BP6" s="3"/>
      <c r="BQ6" s="3"/>
      <c r="BR6" s="3"/>
      <c r="BS6" s="3"/>
      <c r="BT6" s="3"/>
      <c r="BU6" s="19"/>
      <c r="BV6" s="13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</row>
    <row r="7" spans="1:255" s="221" customFormat="1" ht="15.75" customHeight="1" x14ac:dyDescent="0.25">
      <c r="A7" s="191"/>
      <c r="B7" s="18"/>
      <c r="C7" s="223"/>
      <c r="J7" s="2"/>
      <c r="K7" s="2"/>
      <c r="L7" s="2"/>
      <c r="M7" s="2"/>
      <c r="N7" s="318"/>
      <c r="O7" s="223"/>
      <c r="P7" s="288">
        <v>2400</v>
      </c>
      <c r="Q7" s="288"/>
      <c r="R7" s="288"/>
      <c r="S7" s="154"/>
      <c r="T7" s="281"/>
      <c r="U7" s="223"/>
      <c r="V7" s="288">
        <v>2400</v>
      </c>
      <c r="W7" s="288"/>
      <c r="X7" s="288"/>
      <c r="Y7" s="154"/>
      <c r="Z7" s="281"/>
      <c r="AA7" s="223"/>
      <c r="AB7" s="288">
        <v>2400</v>
      </c>
      <c r="AC7" s="288"/>
      <c r="AD7" s="288"/>
      <c r="AE7" s="154"/>
      <c r="AF7" s="281"/>
      <c r="AG7" s="223"/>
      <c r="AH7" s="288">
        <v>2400</v>
      </c>
      <c r="AI7" s="288"/>
      <c r="AJ7" s="288"/>
      <c r="AK7" s="154"/>
      <c r="AL7" s="281"/>
      <c r="AM7" s="223"/>
      <c r="AN7" s="288">
        <v>2400</v>
      </c>
      <c r="AO7" s="288"/>
      <c r="AP7" s="288"/>
      <c r="AQ7" s="154"/>
      <c r="AR7" s="281"/>
      <c r="AS7" s="223"/>
      <c r="AT7" s="288">
        <v>2400</v>
      </c>
      <c r="AU7" s="288"/>
      <c r="AV7" s="288"/>
      <c r="AW7" s="154"/>
      <c r="AX7" s="281"/>
      <c r="AY7" s="223"/>
      <c r="AZ7" s="288">
        <v>2400</v>
      </c>
      <c r="BA7" s="288"/>
      <c r="BB7" s="288"/>
      <c r="BC7" s="154"/>
      <c r="BD7" s="281"/>
      <c r="BE7" s="223"/>
      <c r="BF7" s="288">
        <v>2400</v>
      </c>
      <c r="BG7" s="288"/>
      <c r="BH7" s="288"/>
      <c r="BI7" s="154"/>
      <c r="BJ7" s="316"/>
      <c r="BK7" s="3"/>
      <c r="BL7" s="3"/>
      <c r="BM7" s="3"/>
      <c r="BN7" s="3"/>
      <c r="BO7" s="3"/>
      <c r="BP7" s="3"/>
      <c r="BQ7" s="3"/>
      <c r="BR7" s="3"/>
      <c r="BS7" s="3"/>
      <c r="BT7" s="3"/>
      <c r="BU7" s="19"/>
      <c r="BV7" s="222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</row>
    <row r="8" spans="1:255" ht="15.75" customHeight="1" x14ac:dyDescent="0.25">
      <c r="A8" s="191"/>
      <c r="B8" s="18"/>
      <c r="C8" s="20"/>
      <c r="J8" s="221"/>
      <c r="K8" s="221"/>
      <c r="L8" s="221"/>
      <c r="M8" s="221"/>
      <c r="N8" s="319"/>
      <c r="T8" s="281"/>
      <c r="Z8" s="281"/>
      <c r="AC8" s="2"/>
      <c r="AD8" s="2"/>
      <c r="AE8" s="2"/>
      <c r="AF8" s="281"/>
      <c r="AG8" s="2"/>
      <c r="AH8" s="2"/>
      <c r="AI8" s="2"/>
      <c r="AJ8" s="2"/>
      <c r="AK8" s="2"/>
      <c r="AL8" s="281"/>
      <c r="AM8" s="2"/>
      <c r="AN8" s="2"/>
      <c r="AO8" s="2"/>
      <c r="AP8" s="2"/>
      <c r="AQ8" s="2"/>
      <c r="AR8" s="281"/>
      <c r="AS8" s="2"/>
      <c r="AT8" s="2"/>
      <c r="AU8" s="2"/>
      <c r="AV8" s="2"/>
      <c r="AW8" s="2"/>
      <c r="AX8" s="281"/>
      <c r="AY8" s="2"/>
      <c r="AZ8" s="2"/>
      <c r="BA8" s="2"/>
      <c r="BB8" s="2"/>
      <c r="BC8" s="2"/>
      <c r="BD8" s="281"/>
      <c r="BE8" s="2"/>
      <c r="BF8" s="2"/>
      <c r="BG8" s="2"/>
      <c r="BH8" s="2"/>
      <c r="BI8" s="2"/>
      <c r="BJ8" s="317"/>
      <c r="BU8" s="19"/>
      <c r="BV8" s="13"/>
    </row>
    <row r="9" spans="1:255" ht="15.75" customHeight="1" x14ac:dyDescent="0.25">
      <c r="A9" s="213"/>
      <c r="B9" s="18"/>
      <c r="C9" s="20"/>
      <c r="M9" s="206"/>
      <c r="N9" s="212"/>
      <c r="O9" s="212"/>
      <c r="P9" s="212"/>
      <c r="Q9" s="212"/>
      <c r="R9" s="212"/>
      <c r="S9" s="212"/>
      <c r="T9" s="212"/>
      <c r="U9" s="212"/>
      <c r="V9" s="220"/>
      <c r="W9" s="220"/>
      <c r="X9" s="220"/>
      <c r="Y9" s="220"/>
      <c r="Z9" s="212"/>
      <c r="AA9" s="212"/>
      <c r="AB9" s="212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8"/>
      <c r="BU9" s="19"/>
      <c r="BV9" s="13"/>
    </row>
    <row r="10" spans="1:255" s="2" customFormat="1" ht="15" customHeight="1" x14ac:dyDescent="0.25">
      <c r="A10" s="1"/>
      <c r="B10" s="18"/>
      <c r="C10" s="20"/>
      <c r="K10" s="281">
        <v>230</v>
      </c>
      <c r="M10" s="148"/>
      <c r="N10" s="209"/>
      <c r="O10" s="208"/>
      <c r="P10" s="208"/>
      <c r="Q10" s="208"/>
      <c r="R10" s="208"/>
      <c r="S10" s="208"/>
      <c r="T10" s="208"/>
      <c r="U10" s="208"/>
      <c r="V10" s="208"/>
      <c r="W10" s="208"/>
      <c r="X10" s="208"/>
      <c r="Y10" s="208"/>
      <c r="Z10" s="208"/>
      <c r="AA10" s="208"/>
      <c r="AB10" s="208"/>
      <c r="AC10" s="208"/>
      <c r="AD10" s="208"/>
      <c r="AE10" s="208"/>
      <c r="AF10" s="208"/>
      <c r="AG10" s="208"/>
      <c r="AH10" s="208"/>
      <c r="AI10" s="208"/>
      <c r="AJ10" s="208"/>
      <c r="AK10" s="208"/>
      <c r="AL10" s="208"/>
      <c r="AM10" s="208"/>
      <c r="AN10" s="208"/>
      <c r="AO10" s="208"/>
      <c r="AP10" s="208"/>
      <c r="AQ10" s="208"/>
      <c r="AR10" s="208"/>
      <c r="AS10" s="208"/>
      <c r="AT10" s="208"/>
      <c r="AU10" s="208"/>
      <c r="AV10" s="208"/>
      <c r="AW10" s="208"/>
      <c r="AX10" s="208"/>
      <c r="AY10" s="208"/>
      <c r="AZ10" s="208"/>
      <c r="BA10" s="208"/>
      <c r="BB10" s="208"/>
      <c r="BC10" s="208"/>
      <c r="BD10" s="208"/>
      <c r="BE10" s="208"/>
      <c r="BF10" s="208"/>
      <c r="BG10" s="208"/>
      <c r="BH10" s="208"/>
      <c r="BI10" s="208"/>
      <c r="BJ10" s="207"/>
      <c r="BK10" s="145"/>
      <c r="BL10" s="3"/>
      <c r="BP10" s="307">
        <v>350</v>
      </c>
      <c r="BQ10" s="307"/>
      <c r="BR10" s="125"/>
      <c r="BS10" s="125"/>
      <c r="BU10" s="154"/>
      <c r="BV10" s="13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</row>
    <row r="11" spans="1:255" ht="16.5" customHeight="1" thickBot="1" x14ac:dyDescent="0.3">
      <c r="A11" s="213"/>
      <c r="B11" s="18"/>
      <c r="C11" s="20"/>
      <c r="J11" s="154"/>
      <c r="K11" s="281"/>
      <c r="L11" s="287">
        <v>450</v>
      </c>
      <c r="M11" s="289"/>
      <c r="N11" s="111"/>
      <c r="O11" s="197"/>
      <c r="P11" s="37"/>
      <c r="Q11" s="37"/>
      <c r="R11" s="37"/>
      <c r="S11" s="196"/>
      <c r="T11" s="150"/>
      <c r="U11" s="197"/>
      <c r="V11" s="37"/>
      <c r="W11" s="37"/>
      <c r="X11" s="37"/>
      <c r="Y11" s="196"/>
      <c r="Z11" s="150"/>
      <c r="AA11" s="197"/>
      <c r="AB11" s="37"/>
      <c r="AC11" s="37"/>
      <c r="AD11" s="37"/>
      <c r="AE11" s="196"/>
      <c r="AF11" s="150"/>
      <c r="AG11" s="197"/>
      <c r="AH11" s="37"/>
      <c r="AI11" s="37"/>
      <c r="AJ11" s="37"/>
      <c r="AK11" s="196"/>
      <c r="AL11" s="150"/>
      <c r="AM11" s="197"/>
      <c r="AN11" s="37"/>
      <c r="AO11" s="37"/>
      <c r="AP11" s="37"/>
      <c r="AQ11" s="196"/>
      <c r="AR11" s="150"/>
      <c r="AS11" s="197"/>
      <c r="AT11" s="37"/>
      <c r="AU11" s="37"/>
      <c r="AV11" s="37"/>
      <c r="AW11" s="196"/>
      <c r="AX11" s="150"/>
      <c r="AY11" s="197"/>
      <c r="AZ11" s="37"/>
      <c r="BA11" s="37"/>
      <c r="BB11" s="37"/>
      <c r="BC11" s="196"/>
      <c r="BD11" s="150"/>
      <c r="BE11" s="197"/>
      <c r="BF11" s="37"/>
      <c r="BG11" s="37"/>
      <c r="BH11" s="37"/>
      <c r="BI11" s="196"/>
      <c r="BJ11" s="150"/>
      <c r="BK11" s="145"/>
      <c r="BP11" s="217"/>
      <c r="BQ11" s="217"/>
      <c r="BR11" s="33"/>
      <c r="BU11" s="19"/>
      <c r="BV11" s="13"/>
    </row>
    <row r="12" spans="1:255" s="2" customFormat="1" ht="16.5" thickTop="1" thickBot="1" x14ac:dyDescent="0.3">
      <c r="A12" s="1"/>
      <c r="B12" s="18"/>
      <c r="C12" s="20"/>
      <c r="K12" s="281"/>
      <c r="M12" s="156"/>
      <c r="N12" s="111"/>
      <c r="O12" s="20"/>
      <c r="T12" s="216"/>
      <c r="Z12" s="216"/>
      <c r="AF12" s="216"/>
      <c r="AL12" s="216"/>
      <c r="AR12" s="216"/>
      <c r="AX12" s="216"/>
      <c r="BD12" s="216"/>
      <c r="BI12" s="154"/>
      <c r="BJ12" s="150"/>
      <c r="BK12" s="145"/>
      <c r="BL12" s="215"/>
      <c r="BM12" s="214"/>
      <c r="BP12" s="33"/>
      <c r="BQ12" s="33"/>
      <c r="BR12" s="33"/>
      <c r="BS12" s="3"/>
      <c r="BT12" s="3"/>
      <c r="BU12" s="19"/>
      <c r="BV12" s="13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</row>
    <row r="13" spans="1:255" s="2" customFormat="1" ht="16.5" thickTop="1" thickBot="1" x14ac:dyDescent="0.3">
      <c r="A13" s="213"/>
      <c r="B13" s="18"/>
      <c r="C13" s="20"/>
      <c r="E13" s="16"/>
      <c r="J13" s="206"/>
      <c r="K13" s="212"/>
      <c r="L13" s="205"/>
      <c r="M13" s="151"/>
      <c r="N13" s="111"/>
      <c r="O13" s="20"/>
      <c r="Q13" s="16"/>
      <c r="S13" s="154"/>
      <c r="T13" s="211"/>
      <c r="U13" s="20"/>
      <c r="Y13" s="154"/>
      <c r="Z13" s="211"/>
      <c r="AA13" s="20"/>
      <c r="AE13" s="154"/>
      <c r="AF13" s="211"/>
      <c r="AG13" s="20"/>
      <c r="AK13" s="154"/>
      <c r="AL13" s="211"/>
      <c r="AM13" s="20"/>
      <c r="AQ13" s="154"/>
      <c r="AR13" s="211"/>
      <c r="AS13" s="20"/>
      <c r="AW13" s="154"/>
      <c r="AX13" s="211"/>
      <c r="AY13" s="20"/>
      <c r="BC13" s="154"/>
      <c r="BD13" s="211"/>
      <c r="BE13" s="20"/>
      <c r="BI13" s="154"/>
      <c r="BJ13" s="155"/>
      <c r="BK13" s="184"/>
      <c r="BL13" s="15"/>
      <c r="BM13" s="16"/>
      <c r="BN13" s="210"/>
      <c r="BP13" s="33"/>
      <c r="BQ13" s="33"/>
      <c r="BR13" s="33"/>
      <c r="BS13" s="3"/>
      <c r="BU13" s="154"/>
      <c r="BV13" s="13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</row>
    <row r="14" spans="1:255" s="177" customFormat="1" ht="16.5" thickTop="1" thickBot="1" x14ac:dyDescent="0.3">
      <c r="A14" s="191"/>
      <c r="B14" s="18"/>
      <c r="C14" s="20"/>
      <c r="D14" s="288">
        <v>230</v>
      </c>
      <c r="E14" s="288"/>
      <c r="F14" s="288"/>
      <c r="G14" s="2"/>
      <c r="H14" s="2"/>
      <c r="I14" s="2"/>
      <c r="J14" s="148"/>
      <c r="K14" s="209"/>
      <c r="L14" s="208"/>
      <c r="M14" s="207"/>
      <c r="N14" s="155"/>
      <c r="O14" s="20"/>
      <c r="P14" s="206"/>
      <c r="Q14" s="281">
        <f>P35</f>
        <v>600</v>
      </c>
      <c r="R14" s="205"/>
      <c r="S14" s="205"/>
      <c r="T14" s="189"/>
      <c r="U14" s="205"/>
      <c r="V14" s="205"/>
      <c r="W14" s="205"/>
      <c r="X14" s="205"/>
      <c r="Y14" s="205"/>
      <c r="Z14" s="189"/>
      <c r="AA14" s="205"/>
      <c r="AB14" s="205"/>
      <c r="AC14" s="205"/>
      <c r="AD14" s="205"/>
      <c r="AE14" s="205"/>
      <c r="AF14" s="189"/>
      <c r="AG14" s="205"/>
      <c r="AH14" s="205"/>
      <c r="AI14" s="205"/>
      <c r="AJ14" s="205"/>
      <c r="AK14" s="205"/>
      <c r="AL14" s="189"/>
      <c r="AM14" s="205"/>
      <c r="AN14" s="205"/>
      <c r="AO14" s="205"/>
      <c r="AP14" s="205"/>
      <c r="AQ14" s="205"/>
      <c r="AR14" s="189"/>
      <c r="AS14" s="205"/>
      <c r="AT14" s="205"/>
      <c r="AU14" s="205"/>
      <c r="AV14" s="205"/>
      <c r="AW14" s="205"/>
      <c r="AX14" s="189"/>
      <c r="AY14" s="205"/>
      <c r="AZ14" s="205"/>
      <c r="BA14" s="205"/>
      <c r="BB14" s="205"/>
      <c r="BC14" s="205"/>
      <c r="BD14" s="189"/>
      <c r="BE14" s="205"/>
      <c r="BF14" s="205"/>
      <c r="BG14" s="205"/>
      <c r="BH14" s="204"/>
      <c r="BI14" s="154"/>
      <c r="BJ14" s="155"/>
      <c r="BK14" s="203"/>
      <c r="BL14" s="202"/>
      <c r="BM14" s="201"/>
      <c r="BN14" s="200"/>
      <c r="BP14" s="33"/>
      <c r="BQ14" s="33"/>
      <c r="BR14" s="33"/>
      <c r="BS14" s="3"/>
      <c r="BT14" s="2"/>
      <c r="BU14" s="154"/>
      <c r="BV14" s="13"/>
      <c r="BW14" s="191"/>
      <c r="BX14" s="191"/>
      <c r="BY14" s="191"/>
      <c r="BZ14" s="191"/>
      <c r="CA14" s="191"/>
      <c r="CB14" s="191"/>
      <c r="CC14" s="191"/>
      <c r="CD14" s="191"/>
      <c r="CE14" s="191"/>
      <c r="CF14" s="191"/>
      <c r="CG14" s="191"/>
      <c r="CH14" s="191"/>
      <c r="CI14" s="191"/>
      <c r="CJ14" s="191"/>
      <c r="CK14" s="191"/>
      <c r="CL14" s="191"/>
      <c r="CM14" s="191"/>
      <c r="CN14" s="191"/>
      <c r="CO14" s="191"/>
      <c r="CP14" s="191"/>
      <c r="CQ14" s="191"/>
      <c r="CR14" s="191"/>
      <c r="CS14" s="191"/>
      <c r="CT14" s="191"/>
      <c r="CU14" s="191"/>
      <c r="CV14" s="191"/>
      <c r="CW14" s="191"/>
      <c r="CX14" s="191"/>
      <c r="CY14" s="191"/>
      <c r="CZ14" s="191"/>
      <c r="DA14" s="191"/>
      <c r="DB14" s="191"/>
      <c r="DC14" s="191"/>
      <c r="DD14" s="191"/>
      <c r="DE14" s="191"/>
      <c r="DF14" s="191"/>
      <c r="DG14" s="191"/>
      <c r="DH14" s="191"/>
      <c r="DI14" s="191"/>
      <c r="DJ14" s="191"/>
      <c r="DK14" s="191"/>
      <c r="DL14" s="191"/>
      <c r="DM14" s="191"/>
      <c r="DN14" s="191"/>
      <c r="DO14" s="191"/>
      <c r="DP14" s="191"/>
      <c r="DQ14" s="191"/>
      <c r="DR14" s="191"/>
      <c r="DS14" s="191"/>
      <c r="DT14" s="191"/>
      <c r="DU14" s="191"/>
      <c r="DV14" s="191"/>
      <c r="DW14" s="191"/>
      <c r="DX14" s="191"/>
      <c r="DY14" s="191"/>
      <c r="DZ14" s="191"/>
      <c r="EA14" s="191"/>
      <c r="EB14" s="191"/>
      <c r="EC14" s="191"/>
      <c r="ED14" s="191"/>
      <c r="EE14" s="191"/>
      <c r="EF14" s="191"/>
      <c r="EG14" s="191"/>
      <c r="EH14" s="191"/>
      <c r="EI14" s="191"/>
      <c r="EJ14" s="191"/>
      <c r="EK14" s="191"/>
      <c r="EL14" s="191"/>
      <c r="EM14" s="191"/>
      <c r="EN14" s="191"/>
      <c r="EO14" s="191"/>
      <c r="EP14" s="191"/>
      <c r="EQ14" s="191"/>
      <c r="ER14" s="191"/>
      <c r="ES14" s="191"/>
      <c r="ET14" s="191"/>
      <c r="EU14" s="191"/>
      <c r="EV14" s="191"/>
      <c r="EW14" s="191"/>
      <c r="EX14" s="191"/>
      <c r="EY14" s="191"/>
      <c r="EZ14" s="191"/>
      <c r="FA14" s="191"/>
      <c r="FB14" s="191"/>
      <c r="FC14" s="191"/>
      <c r="FD14" s="191"/>
      <c r="FE14" s="191"/>
      <c r="FF14" s="191"/>
      <c r="FG14" s="191"/>
      <c r="FH14" s="191"/>
      <c r="FI14" s="191"/>
      <c r="FJ14" s="191"/>
      <c r="FK14" s="191"/>
      <c r="FL14" s="191"/>
      <c r="FM14" s="191"/>
      <c r="FN14" s="191"/>
      <c r="FO14" s="191"/>
      <c r="FP14" s="191"/>
      <c r="FQ14" s="191"/>
      <c r="FR14" s="191"/>
      <c r="FS14" s="191"/>
      <c r="FT14" s="191"/>
      <c r="FU14" s="191"/>
      <c r="FV14" s="191"/>
      <c r="FW14" s="191"/>
      <c r="FX14" s="191"/>
      <c r="FY14" s="191"/>
      <c r="FZ14" s="191"/>
      <c r="GA14" s="191"/>
      <c r="GB14" s="191"/>
      <c r="GC14" s="191"/>
      <c r="GD14" s="191"/>
      <c r="GE14" s="191"/>
      <c r="GF14" s="191"/>
      <c r="GG14" s="191"/>
      <c r="GH14" s="191"/>
      <c r="GI14" s="191"/>
      <c r="GJ14" s="191"/>
      <c r="GK14" s="191"/>
      <c r="GL14" s="191"/>
      <c r="GM14" s="191"/>
      <c r="GN14" s="191"/>
      <c r="GO14" s="191"/>
      <c r="GP14" s="191"/>
      <c r="GQ14" s="191"/>
      <c r="GR14" s="191"/>
      <c r="GS14" s="191"/>
      <c r="GT14" s="191"/>
      <c r="GU14" s="191"/>
      <c r="GV14" s="191"/>
      <c r="GW14" s="191"/>
      <c r="GX14" s="191"/>
      <c r="GY14" s="191"/>
      <c r="GZ14" s="191"/>
      <c r="HA14" s="191"/>
      <c r="HB14" s="191"/>
      <c r="HC14" s="191"/>
      <c r="HD14" s="191"/>
      <c r="HE14" s="191"/>
      <c r="HF14" s="191"/>
      <c r="HG14" s="191"/>
      <c r="HH14" s="191"/>
      <c r="HI14" s="191"/>
      <c r="HJ14" s="191"/>
      <c r="HK14" s="191"/>
      <c r="HL14" s="191"/>
      <c r="HM14" s="191"/>
      <c r="HN14" s="191"/>
      <c r="HO14" s="191"/>
      <c r="HP14" s="191"/>
      <c r="HQ14" s="191"/>
      <c r="HR14" s="191"/>
      <c r="HS14" s="191"/>
      <c r="HT14" s="191"/>
      <c r="HU14" s="191"/>
      <c r="HV14" s="191"/>
      <c r="HW14" s="191"/>
      <c r="HX14" s="191"/>
      <c r="HY14" s="191"/>
      <c r="HZ14" s="191"/>
      <c r="IA14" s="191"/>
      <c r="IB14" s="191"/>
      <c r="IC14" s="191"/>
      <c r="ID14" s="191"/>
      <c r="IE14" s="191"/>
      <c r="IF14" s="191"/>
      <c r="IG14" s="191"/>
      <c r="IH14" s="191"/>
      <c r="II14" s="191"/>
      <c r="IJ14" s="191"/>
      <c r="IK14" s="191"/>
      <c r="IL14" s="191"/>
      <c r="IM14" s="191"/>
      <c r="IN14" s="191"/>
      <c r="IO14" s="191"/>
      <c r="IP14" s="191"/>
      <c r="IQ14" s="191"/>
      <c r="IR14" s="191"/>
      <c r="IS14" s="191"/>
      <c r="IT14" s="191"/>
      <c r="IU14" s="191"/>
    </row>
    <row r="15" spans="1:255" s="177" customFormat="1" ht="16.5" customHeight="1" thickTop="1" thickBot="1" x14ac:dyDescent="0.3">
      <c r="A15" s="191"/>
      <c r="B15" s="18"/>
      <c r="C15" s="168"/>
      <c r="E15" s="310">
        <v>450</v>
      </c>
      <c r="G15" s="177" t="s">
        <v>11</v>
      </c>
      <c r="I15" s="192"/>
      <c r="J15" s="199"/>
      <c r="K15" s="198"/>
      <c r="L15" s="197"/>
      <c r="M15" s="196"/>
      <c r="N15" s="155"/>
      <c r="O15" s="20"/>
      <c r="P15" s="148"/>
      <c r="Q15" s="281"/>
      <c r="R15" s="2"/>
      <c r="S15" s="154"/>
      <c r="T15" s="150"/>
      <c r="U15" s="20"/>
      <c r="V15" s="2"/>
      <c r="W15" s="2"/>
      <c r="X15" s="2"/>
      <c r="Y15" s="154"/>
      <c r="Z15" s="150"/>
      <c r="AA15" s="20"/>
      <c r="AB15" s="2"/>
      <c r="AC15" s="2"/>
      <c r="AD15" s="2"/>
      <c r="AE15" s="154"/>
      <c r="AF15" s="150"/>
      <c r="AG15" s="20"/>
      <c r="AH15" s="2"/>
      <c r="AI15" s="2"/>
      <c r="AJ15" s="2"/>
      <c r="AK15" s="154"/>
      <c r="AL15" s="150"/>
      <c r="AM15" s="20"/>
      <c r="AN15" s="2"/>
      <c r="AO15" s="2"/>
      <c r="AP15" s="2"/>
      <c r="AQ15" s="154"/>
      <c r="AR15" s="150"/>
      <c r="AS15" s="20"/>
      <c r="AT15" s="2"/>
      <c r="AU15" s="2"/>
      <c r="AV15" s="2"/>
      <c r="AW15" s="154"/>
      <c r="AX15" s="150"/>
      <c r="AY15" s="20"/>
      <c r="AZ15" s="2"/>
      <c r="BA15" s="2"/>
      <c r="BB15" s="2"/>
      <c r="BC15" s="154"/>
      <c r="BD15" s="150"/>
      <c r="BE15" s="20"/>
      <c r="BF15" s="2"/>
      <c r="BG15" s="2"/>
      <c r="BH15" s="185"/>
      <c r="BI15" s="154"/>
      <c r="BJ15" s="155"/>
      <c r="BK15" s="195"/>
      <c r="BL15" s="124"/>
      <c r="BM15" s="194"/>
      <c r="BN15" s="193"/>
      <c r="BO15" s="192"/>
      <c r="BP15" s="281">
        <v>800</v>
      </c>
      <c r="BQ15" s="281"/>
      <c r="BR15" s="281">
        <v>1500</v>
      </c>
      <c r="BS15" s="281"/>
      <c r="BT15" s="177" t="s">
        <v>11</v>
      </c>
      <c r="BU15" s="162"/>
      <c r="BV15" s="186"/>
      <c r="BW15" s="191"/>
      <c r="BX15" s="191"/>
      <c r="BY15" s="191"/>
      <c r="BZ15" s="191"/>
      <c r="CA15" s="191"/>
      <c r="CB15" s="191"/>
      <c r="CC15" s="191"/>
      <c r="CD15" s="191"/>
      <c r="CE15" s="191"/>
      <c r="CF15" s="191"/>
      <c r="CG15" s="191"/>
      <c r="CH15" s="191"/>
      <c r="CI15" s="191"/>
      <c r="CJ15" s="191"/>
      <c r="CK15" s="191"/>
      <c r="CL15" s="191"/>
      <c r="CM15" s="191"/>
      <c r="CN15" s="191"/>
      <c r="CO15" s="191"/>
      <c r="CP15" s="191"/>
      <c r="CQ15" s="191"/>
      <c r="CR15" s="191"/>
      <c r="CS15" s="191"/>
      <c r="CT15" s="191"/>
      <c r="CU15" s="191"/>
      <c r="CV15" s="191"/>
      <c r="CW15" s="191"/>
      <c r="CX15" s="191"/>
      <c r="CY15" s="191"/>
      <c r="CZ15" s="191"/>
      <c r="DA15" s="191"/>
      <c r="DB15" s="191"/>
      <c r="DC15" s="191"/>
      <c r="DD15" s="191"/>
      <c r="DE15" s="191"/>
      <c r="DF15" s="191"/>
      <c r="DG15" s="191"/>
      <c r="DH15" s="191"/>
      <c r="DI15" s="191"/>
      <c r="DJ15" s="191"/>
      <c r="DK15" s="191"/>
      <c r="DL15" s="191"/>
      <c r="DM15" s="191"/>
      <c r="DN15" s="191"/>
      <c r="DO15" s="191"/>
      <c r="DP15" s="191"/>
      <c r="DQ15" s="191"/>
      <c r="DR15" s="191"/>
      <c r="DS15" s="191"/>
      <c r="DT15" s="191"/>
      <c r="DU15" s="191"/>
      <c r="DV15" s="191"/>
      <c r="DW15" s="191"/>
      <c r="DX15" s="191"/>
      <c r="DY15" s="191"/>
      <c r="DZ15" s="191"/>
      <c r="EA15" s="191"/>
      <c r="EB15" s="191"/>
      <c r="EC15" s="191"/>
      <c r="ED15" s="191"/>
      <c r="EE15" s="191"/>
      <c r="EF15" s="191"/>
      <c r="EG15" s="191"/>
      <c r="EH15" s="191"/>
      <c r="EI15" s="191"/>
      <c r="EJ15" s="191"/>
      <c r="EK15" s="191"/>
      <c r="EL15" s="191"/>
      <c r="EM15" s="191"/>
      <c r="EN15" s="191"/>
      <c r="EO15" s="191"/>
      <c r="EP15" s="191"/>
      <c r="EQ15" s="191"/>
      <c r="ER15" s="191"/>
      <c r="ES15" s="191"/>
      <c r="ET15" s="191"/>
      <c r="EU15" s="191"/>
      <c r="EV15" s="191"/>
      <c r="EW15" s="191"/>
      <c r="EX15" s="191"/>
      <c r="EY15" s="191"/>
      <c r="EZ15" s="191"/>
      <c r="FA15" s="191"/>
      <c r="FB15" s="191"/>
      <c r="FC15" s="191"/>
      <c r="FD15" s="191"/>
      <c r="FE15" s="191"/>
      <c r="FF15" s="191"/>
      <c r="FG15" s="191"/>
      <c r="FH15" s="191"/>
      <c r="FI15" s="191"/>
      <c r="FJ15" s="191"/>
      <c r="FK15" s="191"/>
      <c r="FL15" s="191"/>
      <c r="FM15" s="191"/>
      <c r="FN15" s="191"/>
      <c r="FO15" s="191"/>
      <c r="FP15" s="191"/>
      <c r="FQ15" s="191"/>
      <c r="FR15" s="191"/>
      <c r="FS15" s="191"/>
      <c r="FT15" s="191"/>
      <c r="FU15" s="191"/>
      <c r="FV15" s="191"/>
      <c r="FW15" s="191"/>
      <c r="FX15" s="191"/>
      <c r="FY15" s="191"/>
      <c r="FZ15" s="191"/>
      <c r="GA15" s="191"/>
      <c r="GB15" s="191"/>
      <c r="GC15" s="191"/>
      <c r="GD15" s="191"/>
      <c r="GE15" s="191"/>
      <c r="GF15" s="191"/>
      <c r="GG15" s="191"/>
      <c r="GH15" s="191"/>
      <c r="GI15" s="191"/>
      <c r="GJ15" s="191"/>
      <c r="GK15" s="191"/>
      <c r="GL15" s="191"/>
      <c r="GM15" s="191"/>
      <c r="GN15" s="191"/>
      <c r="GO15" s="191"/>
      <c r="GP15" s="191"/>
      <c r="GQ15" s="191"/>
      <c r="GR15" s="191"/>
      <c r="GS15" s="191"/>
      <c r="GT15" s="191"/>
      <c r="GU15" s="191"/>
      <c r="GV15" s="191"/>
      <c r="GW15" s="191"/>
      <c r="GX15" s="191"/>
      <c r="GY15" s="191"/>
      <c r="GZ15" s="191"/>
      <c r="HA15" s="191"/>
      <c r="HB15" s="191"/>
      <c r="HC15" s="191"/>
      <c r="HD15" s="191"/>
      <c r="HE15" s="191"/>
      <c r="HF15" s="191"/>
      <c r="HG15" s="191"/>
      <c r="HH15" s="191"/>
      <c r="HI15" s="191"/>
      <c r="HJ15" s="191"/>
      <c r="HK15" s="191"/>
      <c r="HL15" s="191"/>
      <c r="HM15" s="191"/>
      <c r="HN15" s="191"/>
      <c r="HO15" s="191"/>
      <c r="HP15" s="191"/>
      <c r="HQ15" s="191"/>
      <c r="HR15" s="191"/>
      <c r="HS15" s="191"/>
      <c r="HT15" s="191"/>
      <c r="HU15" s="191"/>
      <c r="HV15" s="191"/>
      <c r="HW15" s="191"/>
      <c r="HX15" s="191"/>
      <c r="HY15" s="191"/>
      <c r="HZ15" s="191"/>
      <c r="IA15" s="191"/>
      <c r="IB15" s="191"/>
      <c r="IC15" s="191"/>
      <c r="ID15" s="191"/>
      <c r="IE15" s="191"/>
      <c r="IF15" s="191"/>
      <c r="IG15" s="191"/>
      <c r="IH15" s="191"/>
      <c r="II15" s="191"/>
      <c r="IJ15" s="191"/>
      <c r="IK15" s="191"/>
      <c r="IL15" s="191"/>
      <c r="IM15" s="191"/>
      <c r="IN15" s="191"/>
      <c r="IO15" s="191"/>
      <c r="IP15" s="191"/>
      <c r="IQ15" s="191"/>
      <c r="IR15" s="191"/>
      <c r="IS15" s="191"/>
      <c r="IT15" s="191"/>
      <c r="IU15" s="191"/>
    </row>
    <row r="16" spans="1:255" ht="16.5" thickTop="1" thickBot="1" x14ac:dyDescent="0.3">
      <c r="B16" s="18"/>
      <c r="C16" s="168"/>
      <c r="D16" s="177"/>
      <c r="E16" s="311"/>
      <c r="F16" s="177"/>
      <c r="G16" s="177"/>
      <c r="H16" s="177"/>
      <c r="I16" s="190"/>
      <c r="J16" s="190"/>
      <c r="K16" s="190"/>
      <c r="N16" s="91"/>
      <c r="P16" s="148"/>
      <c r="Q16" s="281"/>
      <c r="T16" s="189"/>
      <c r="Z16" s="189"/>
      <c r="AC16" s="2"/>
      <c r="AD16" s="2"/>
      <c r="AE16" s="2"/>
      <c r="AF16" s="189"/>
      <c r="AG16" s="2"/>
      <c r="AH16" s="2"/>
      <c r="AI16" s="2"/>
      <c r="AJ16" s="2"/>
      <c r="AK16" s="2"/>
      <c r="AL16" s="189"/>
      <c r="AM16" s="2"/>
      <c r="AN16" s="2"/>
      <c r="AO16" s="2"/>
      <c r="AP16" s="2"/>
      <c r="AQ16" s="2"/>
      <c r="AR16" s="189"/>
      <c r="AS16" s="2"/>
      <c r="AT16" s="2"/>
      <c r="AU16" s="2"/>
      <c r="AV16" s="2"/>
      <c r="AW16" s="2"/>
      <c r="AX16" s="189"/>
      <c r="AY16" s="2"/>
      <c r="AZ16" s="2"/>
      <c r="BA16" s="2"/>
      <c r="BB16" s="2"/>
      <c r="BC16" s="2"/>
      <c r="BD16" s="189"/>
      <c r="BE16" s="2"/>
      <c r="BF16" s="2"/>
      <c r="BG16" s="2"/>
      <c r="BH16" s="185"/>
      <c r="BI16" s="2"/>
      <c r="BJ16" s="91"/>
      <c r="BK16" s="2"/>
      <c r="BL16" s="19"/>
      <c r="BM16" s="188"/>
      <c r="BN16" s="187"/>
      <c r="BO16" s="187"/>
      <c r="BP16" s="281"/>
      <c r="BQ16" s="281"/>
      <c r="BR16" s="281"/>
      <c r="BS16" s="281"/>
      <c r="BT16" s="177"/>
      <c r="BU16" s="162"/>
      <c r="BV16" s="186"/>
    </row>
    <row r="17" spans="1:255" ht="16.5" thickTop="1" thickBot="1" x14ac:dyDescent="0.3">
      <c r="B17" s="18"/>
      <c r="C17" s="20"/>
      <c r="E17" s="312"/>
      <c r="J17" s="148"/>
      <c r="K17" s="111"/>
      <c r="L17" s="17"/>
      <c r="M17" s="151"/>
      <c r="N17" s="152"/>
      <c r="O17" s="20"/>
      <c r="P17" s="148"/>
      <c r="Q17" s="281"/>
      <c r="S17" s="154"/>
      <c r="T17" s="150"/>
      <c r="U17" s="20"/>
      <c r="Y17" s="154"/>
      <c r="Z17" s="150"/>
      <c r="AA17" s="20"/>
      <c r="AC17" s="2"/>
      <c r="AD17" s="2"/>
      <c r="AE17" s="154"/>
      <c r="AF17" s="150"/>
      <c r="AG17" s="20"/>
      <c r="AH17" s="2"/>
      <c r="AI17" s="2"/>
      <c r="AJ17" s="2"/>
      <c r="AK17" s="154"/>
      <c r="AL17" s="150"/>
      <c r="AM17" s="20"/>
      <c r="AN17" s="2"/>
      <c r="AO17" s="2"/>
      <c r="AP17" s="2"/>
      <c r="AQ17" s="154"/>
      <c r="AR17" s="150"/>
      <c r="AS17" s="20"/>
      <c r="AT17" s="2"/>
      <c r="AU17" s="2"/>
      <c r="AV17" s="2"/>
      <c r="AW17" s="154"/>
      <c r="AX17" s="150"/>
      <c r="AY17" s="20"/>
      <c r="AZ17" s="2"/>
      <c r="BA17" s="2"/>
      <c r="BB17" s="2"/>
      <c r="BC17" s="154"/>
      <c r="BD17" s="150"/>
      <c r="BE17" s="20"/>
      <c r="BF17" s="2"/>
      <c r="BG17" s="2"/>
      <c r="BH17" s="185"/>
      <c r="BI17" s="154"/>
      <c r="BJ17" s="152"/>
      <c r="BK17" s="184"/>
      <c r="BL17" s="14"/>
      <c r="BM17" s="183"/>
      <c r="BN17" s="172"/>
      <c r="BP17" s="281"/>
      <c r="BQ17" s="281"/>
      <c r="BR17" s="281"/>
      <c r="BS17" s="281"/>
      <c r="BU17" s="19"/>
      <c r="BV17" s="13"/>
    </row>
    <row r="18" spans="1:255" ht="16.5" thickTop="1" thickBot="1" x14ac:dyDescent="0.3">
      <c r="B18" s="18"/>
      <c r="C18" s="20"/>
      <c r="D18" s="288">
        <v>230</v>
      </c>
      <c r="E18" s="288"/>
      <c r="F18" s="288"/>
      <c r="J18" s="179"/>
      <c r="K18" s="182"/>
      <c r="L18" s="181"/>
      <c r="M18" s="180"/>
      <c r="N18" s="161"/>
      <c r="O18" s="168"/>
      <c r="P18" s="179"/>
      <c r="Q18" s="281"/>
      <c r="R18" s="177"/>
      <c r="S18" s="177"/>
      <c r="T18" s="178"/>
      <c r="U18" s="177"/>
      <c r="V18" s="177"/>
      <c r="W18" s="177"/>
      <c r="X18" s="177"/>
      <c r="Y18" s="177"/>
      <c r="Z18" s="178"/>
      <c r="AA18" s="177"/>
      <c r="AB18" s="177"/>
      <c r="AC18" s="177"/>
      <c r="AD18" s="177"/>
      <c r="AE18" s="177"/>
      <c r="AF18" s="178"/>
      <c r="AG18" s="177"/>
      <c r="AH18" s="177"/>
      <c r="AI18" s="177"/>
      <c r="AJ18" s="177"/>
      <c r="AK18" s="177"/>
      <c r="AL18" s="178"/>
      <c r="AM18" s="177"/>
      <c r="AN18" s="177"/>
      <c r="AO18" s="177"/>
      <c r="AP18" s="177"/>
      <c r="AQ18" s="177"/>
      <c r="AR18" s="178"/>
      <c r="AS18" s="177"/>
      <c r="AT18" s="177"/>
      <c r="AU18" s="177"/>
      <c r="AV18" s="177"/>
      <c r="AW18" s="177"/>
      <c r="AX18" s="178"/>
      <c r="AY18" s="177"/>
      <c r="AZ18" s="177"/>
      <c r="BA18" s="177"/>
      <c r="BB18" s="177"/>
      <c r="BC18" s="177"/>
      <c r="BD18" s="178"/>
      <c r="BE18" s="177"/>
      <c r="BF18" s="177"/>
      <c r="BG18" s="177"/>
      <c r="BH18" s="176"/>
      <c r="BI18" s="162"/>
      <c r="BJ18" s="161"/>
      <c r="BK18" s="175"/>
      <c r="BL18" s="174"/>
      <c r="BM18" s="173"/>
      <c r="BN18" s="172"/>
      <c r="BP18" s="281"/>
      <c r="BQ18" s="281"/>
      <c r="BR18" s="281"/>
      <c r="BS18" s="281"/>
      <c r="BU18" s="19"/>
      <c r="BV18" s="13"/>
    </row>
    <row r="19" spans="1:255" ht="16.5" thickTop="1" thickBot="1" x14ac:dyDescent="0.3">
      <c r="B19" s="18"/>
      <c r="C19" s="20"/>
      <c r="E19" s="37"/>
      <c r="J19" s="171"/>
      <c r="K19" s="170"/>
      <c r="L19" s="170"/>
      <c r="M19" s="162"/>
      <c r="N19" s="169"/>
      <c r="O19" s="168"/>
      <c r="P19" s="163"/>
      <c r="Q19" s="167"/>
      <c r="R19" s="163"/>
      <c r="S19" s="166"/>
      <c r="T19" s="165"/>
      <c r="U19" s="164"/>
      <c r="V19" s="163"/>
      <c r="W19" s="163"/>
      <c r="X19" s="163"/>
      <c r="Y19" s="166"/>
      <c r="Z19" s="165"/>
      <c r="AA19" s="164"/>
      <c r="AB19" s="163"/>
      <c r="AC19" s="163"/>
      <c r="AD19" s="163"/>
      <c r="AE19" s="166"/>
      <c r="AF19" s="165"/>
      <c r="AG19" s="164"/>
      <c r="AH19" s="163"/>
      <c r="AI19" s="163"/>
      <c r="AJ19" s="163"/>
      <c r="AK19" s="166"/>
      <c r="AL19" s="165"/>
      <c r="AM19" s="164"/>
      <c r="AN19" s="163"/>
      <c r="AO19" s="163"/>
      <c r="AP19" s="163"/>
      <c r="AQ19" s="166"/>
      <c r="AR19" s="165"/>
      <c r="AS19" s="164"/>
      <c r="AT19" s="163"/>
      <c r="AU19" s="163"/>
      <c r="AV19" s="163"/>
      <c r="AW19" s="166"/>
      <c r="AX19" s="165"/>
      <c r="AY19" s="164"/>
      <c r="AZ19" s="163"/>
      <c r="BA19" s="163"/>
      <c r="BB19" s="163"/>
      <c r="BC19" s="166"/>
      <c r="BD19" s="165"/>
      <c r="BE19" s="164"/>
      <c r="BF19" s="163"/>
      <c r="BG19" s="163"/>
      <c r="BH19" s="163"/>
      <c r="BI19" s="162"/>
      <c r="BJ19" s="161"/>
      <c r="BK19" s="160"/>
      <c r="BL19" s="159"/>
      <c r="BM19" s="158"/>
      <c r="BN19" s="157"/>
      <c r="BP19" s="33"/>
      <c r="BQ19" s="33"/>
      <c r="BR19" s="33"/>
      <c r="BU19" s="19"/>
      <c r="BV19" s="13"/>
    </row>
    <row r="20" spans="1:255" ht="16.5" thickTop="1" thickBot="1" x14ac:dyDescent="0.3">
      <c r="B20" s="18"/>
      <c r="C20" s="20"/>
      <c r="M20" s="156"/>
      <c r="N20" s="111"/>
      <c r="O20" s="20"/>
      <c r="T20" s="155"/>
      <c r="Z20" s="155"/>
      <c r="AC20" s="2"/>
      <c r="AD20" s="2"/>
      <c r="AE20" s="2"/>
      <c r="AF20" s="155"/>
      <c r="AG20" s="2"/>
      <c r="AH20" s="2"/>
      <c r="AI20" s="2"/>
      <c r="AJ20" s="2"/>
      <c r="AK20" s="2"/>
      <c r="AL20" s="155"/>
      <c r="AM20" s="2"/>
      <c r="AN20" s="2"/>
      <c r="AO20" s="2"/>
      <c r="AP20" s="2"/>
      <c r="AQ20" s="2"/>
      <c r="AR20" s="155"/>
      <c r="AS20" s="2"/>
      <c r="AT20" s="2"/>
      <c r="AU20" s="2"/>
      <c r="AV20" s="2"/>
      <c r="AW20" s="2"/>
      <c r="AX20" s="155"/>
      <c r="AY20" s="2"/>
      <c r="AZ20" s="2"/>
      <c r="BA20" s="2"/>
      <c r="BB20" s="2"/>
      <c r="BC20" s="2"/>
      <c r="BD20" s="155"/>
      <c r="BE20" s="2"/>
      <c r="BF20" s="2"/>
      <c r="BG20" s="2"/>
      <c r="BH20" s="2"/>
      <c r="BI20" s="154"/>
      <c r="BJ20" s="150"/>
      <c r="BK20" s="153"/>
      <c r="BP20" s="33"/>
      <c r="BQ20" s="33"/>
      <c r="BR20" s="33"/>
      <c r="BU20" s="19"/>
      <c r="BV20" s="13"/>
    </row>
    <row r="21" spans="1:255" ht="15.75" thickTop="1" x14ac:dyDescent="0.25">
      <c r="B21" s="18"/>
      <c r="C21" s="20"/>
      <c r="M21" s="148"/>
      <c r="N21" s="111"/>
      <c r="O21" s="17"/>
      <c r="P21" s="16"/>
      <c r="Q21" s="16"/>
      <c r="R21" s="16"/>
      <c r="S21" s="151"/>
      <c r="T21" s="152"/>
      <c r="U21" s="17"/>
      <c r="V21" s="16"/>
      <c r="W21" s="16"/>
      <c r="X21" s="16"/>
      <c r="Y21" s="151"/>
      <c r="Z21" s="152"/>
      <c r="AA21" s="17"/>
      <c r="AB21" s="16"/>
      <c r="AC21" s="16"/>
      <c r="AD21" s="16"/>
      <c r="AE21" s="151"/>
      <c r="AF21" s="152"/>
      <c r="AG21" s="17"/>
      <c r="AH21" s="16"/>
      <c r="AI21" s="16"/>
      <c r="AJ21" s="16"/>
      <c r="AK21" s="151"/>
      <c r="AL21" s="152"/>
      <c r="AM21" s="17"/>
      <c r="AN21" s="16"/>
      <c r="AO21" s="16"/>
      <c r="AP21" s="16"/>
      <c r="AQ21" s="151"/>
      <c r="AR21" s="152"/>
      <c r="AS21" s="17"/>
      <c r="AT21" s="16"/>
      <c r="AU21" s="16"/>
      <c r="AV21" s="16"/>
      <c r="AW21" s="151"/>
      <c r="AX21" s="152"/>
      <c r="AY21" s="17"/>
      <c r="AZ21" s="16"/>
      <c r="BA21" s="16"/>
      <c r="BB21" s="16"/>
      <c r="BC21" s="151"/>
      <c r="BD21" s="152"/>
      <c r="BE21" s="17"/>
      <c r="BF21" s="16"/>
      <c r="BG21" s="16"/>
      <c r="BH21" s="16"/>
      <c r="BI21" s="151"/>
      <c r="BJ21" s="150"/>
      <c r="BK21" s="145"/>
      <c r="BP21" s="149"/>
      <c r="BQ21" s="149"/>
      <c r="BR21" s="33"/>
      <c r="BU21" s="19"/>
      <c r="BV21" s="13"/>
    </row>
    <row r="22" spans="1:255" s="51" customFormat="1" x14ac:dyDescent="0.25">
      <c r="A22" s="71"/>
      <c r="B22" s="18"/>
      <c r="C22" s="20"/>
      <c r="D22" s="2"/>
      <c r="E22" s="2"/>
      <c r="F22" s="2"/>
      <c r="G22" s="2"/>
      <c r="H22" s="2"/>
      <c r="I22" s="2"/>
      <c r="J22" s="2"/>
      <c r="K22" s="2"/>
      <c r="L22" s="2"/>
      <c r="M22" s="148"/>
      <c r="N22" s="147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146"/>
      <c r="BK22" s="145"/>
      <c r="BL22" s="3"/>
      <c r="BP22" s="307">
        <v>350</v>
      </c>
      <c r="BQ22" s="307" t="s">
        <v>15</v>
      </c>
      <c r="BR22" s="15"/>
      <c r="BS22" s="15"/>
      <c r="BT22" s="3"/>
      <c r="BU22" s="19"/>
      <c r="BV22" s="13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Q22" s="70"/>
      <c r="CR22" s="70"/>
      <c r="CS22" s="70"/>
      <c r="CT22" s="70"/>
      <c r="CU22" s="70"/>
      <c r="CV22" s="70"/>
      <c r="CW22" s="70"/>
      <c r="CX22" s="70"/>
      <c r="CY22" s="70"/>
      <c r="CZ22" s="70"/>
      <c r="DA22" s="70"/>
      <c r="DB22" s="70"/>
      <c r="DC22" s="70"/>
      <c r="DD22" s="70"/>
      <c r="DE22" s="70"/>
      <c r="DF22" s="70"/>
      <c r="DG22" s="70"/>
      <c r="DH22" s="70"/>
      <c r="DI22" s="70"/>
      <c r="DJ22" s="70"/>
      <c r="DK22" s="70"/>
      <c r="DL22" s="70"/>
      <c r="DM22" s="70"/>
      <c r="DN22" s="70"/>
      <c r="DO22" s="70"/>
      <c r="DP22" s="70"/>
      <c r="DQ22" s="70"/>
      <c r="DR22" s="70"/>
      <c r="DS22" s="70"/>
      <c r="DT22" s="70"/>
      <c r="DU22" s="70"/>
      <c r="DV22" s="70"/>
      <c r="DW22" s="70"/>
      <c r="DX22" s="70"/>
      <c r="DY22" s="70"/>
      <c r="DZ22" s="70"/>
      <c r="EA22" s="70"/>
      <c r="EB22" s="70"/>
      <c r="EC22" s="70"/>
      <c r="ED22" s="70"/>
      <c r="EE22" s="70"/>
      <c r="EF22" s="70"/>
      <c r="EG22" s="70"/>
      <c r="EH22" s="70"/>
      <c r="EI22" s="70"/>
      <c r="EJ22" s="70"/>
      <c r="EK22" s="70"/>
      <c r="EL22" s="70"/>
      <c r="EM22" s="70"/>
      <c r="EN22" s="70"/>
      <c r="EO22" s="70"/>
      <c r="EP22" s="70"/>
      <c r="EQ22" s="70"/>
      <c r="ER22" s="70"/>
      <c r="ES22" s="70"/>
      <c r="ET22" s="70"/>
      <c r="EU22" s="70"/>
      <c r="EV22" s="70"/>
      <c r="EW22" s="70"/>
      <c r="EX22" s="70"/>
      <c r="EY22" s="70"/>
      <c r="EZ22" s="70"/>
      <c r="FA22" s="70"/>
      <c r="FB22" s="70"/>
      <c r="FC22" s="70"/>
      <c r="FD22" s="70"/>
      <c r="FE22" s="70"/>
      <c r="FF22" s="70"/>
      <c r="FG22" s="70"/>
      <c r="FH22" s="70"/>
      <c r="FI22" s="70"/>
      <c r="FJ22" s="70"/>
      <c r="FK22" s="70"/>
      <c r="FL22" s="70"/>
      <c r="FM22" s="70"/>
      <c r="FN22" s="70"/>
      <c r="FO22" s="70"/>
      <c r="FP22" s="70"/>
      <c r="FQ22" s="70"/>
      <c r="FR22" s="70"/>
      <c r="FS22" s="70"/>
      <c r="FT22" s="70"/>
      <c r="FU22" s="70"/>
      <c r="FV22" s="70"/>
      <c r="FW22" s="70"/>
      <c r="FX22" s="70"/>
      <c r="FY22" s="70"/>
      <c r="FZ22" s="70"/>
      <c r="GA22" s="70"/>
      <c r="GB22" s="70"/>
      <c r="GC22" s="70"/>
      <c r="GD22" s="70"/>
      <c r="GE22" s="70"/>
      <c r="GF22" s="70"/>
      <c r="GG22" s="70"/>
      <c r="GH22" s="70"/>
      <c r="GI22" s="70"/>
      <c r="GJ22" s="70"/>
      <c r="GK22" s="70"/>
      <c r="GL22" s="70"/>
      <c r="GM22" s="70"/>
      <c r="GN22" s="70"/>
      <c r="GO22" s="70"/>
      <c r="GP22" s="70"/>
      <c r="GQ22" s="70"/>
      <c r="GR22" s="70"/>
      <c r="GS22" s="70"/>
      <c r="GT22" s="70"/>
      <c r="GU22" s="70"/>
      <c r="GV22" s="70"/>
      <c r="GW22" s="70"/>
      <c r="GX22" s="70"/>
      <c r="GY22" s="70"/>
      <c r="GZ22" s="70"/>
      <c r="HA22" s="70"/>
      <c r="HB22" s="70"/>
      <c r="HC22" s="70"/>
      <c r="HD22" s="70"/>
      <c r="HE22" s="70"/>
      <c r="HF22" s="70"/>
      <c r="HG22" s="70"/>
      <c r="HH22" s="70"/>
      <c r="HI22" s="70"/>
      <c r="HJ22" s="70"/>
      <c r="HK22" s="70"/>
      <c r="HL22" s="70"/>
      <c r="HM22" s="70"/>
      <c r="HN22" s="70"/>
      <c r="HO22" s="70"/>
      <c r="HP22" s="70"/>
      <c r="HQ22" s="70"/>
      <c r="HR22" s="70"/>
      <c r="HS22" s="70"/>
      <c r="HT22" s="70"/>
      <c r="HU22" s="70"/>
      <c r="HV22" s="70"/>
      <c r="HW22" s="70"/>
      <c r="HX22" s="70"/>
      <c r="HY22" s="70"/>
      <c r="HZ22" s="70"/>
      <c r="IA22" s="70"/>
      <c r="IB22" s="70"/>
      <c r="IC22" s="70"/>
      <c r="ID22" s="70"/>
      <c r="IE22" s="70"/>
      <c r="IF22" s="70"/>
      <c r="IG22" s="70"/>
      <c r="IH22" s="70"/>
      <c r="II22" s="70"/>
      <c r="IJ22" s="70"/>
      <c r="IK22" s="70"/>
      <c r="IL22" s="70"/>
      <c r="IM22" s="70"/>
      <c r="IN22" s="70"/>
      <c r="IO22" s="70"/>
      <c r="IP22" s="70"/>
      <c r="IQ22" s="70"/>
      <c r="IR22" s="70"/>
      <c r="IS22" s="70"/>
      <c r="IT22" s="70"/>
      <c r="IU22" s="70"/>
    </row>
    <row r="23" spans="1:255" s="51" customFormat="1" x14ac:dyDescent="0.25">
      <c r="A23" s="71"/>
      <c r="B23" s="18"/>
      <c r="C23" s="52"/>
      <c r="J23" s="2"/>
      <c r="K23" s="2"/>
      <c r="L23" s="2"/>
      <c r="M23" s="144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2"/>
      <c r="AC23" s="141"/>
      <c r="AD23" s="141"/>
      <c r="AE23" s="141"/>
      <c r="AF23" s="141"/>
      <c r="AG23" s="141"/>
      <c r="AH23" s="141"/>
      <c r="AI23" s="141"/>
      <c r="AJ23" s="141"/>
      <c r="AK23" s="141"/>
      <c r="AL23" s="141"/>
      <c r="AM23" s="141"/>
      <c r="AN23" s="141"/>
      <c r="AO23" s="141"/>
      <c r="AP23" s="141"/>
      <c r="AQ23" s="141"/>
      <c r="AR23" s="141"/>
      <c r="AS23" s="141"/>
      <c r="AT23" s="141"/>
      <c r="AU23" s="141"/>
      <c r="AV23" s="141"/>
      <c r="AW23" s="141"/>
      <c r="AX23" s="141"/>
      <c r="AY23" s="141"/>
      <c r="AZ23" s="141"/>
      <c r="BA23" s="141"/>
      <c r="BB23" s="141"/>
      <c r="BC23" s="141"/>
      <c r="BD23" s="141"/>
      <c r="BE23" s="141"/>
      <c r="BF23" s="141"/>
      <c r="BG23" s="141"/>
      <c r="BH23" s="141"/>
      <c r="BI23" s="141"/>
      <c r="BJ23" s="141"/>
      <c r="BK23" s="140"/>
      <c r="BL23" s="3"/>
      <c r="BP23" s="3"/>
      <c r="BQ23" s="3"/>
      <c r="BR23" s="3"/>
      <c r="BS23" s="3"/>
      <c r="BT23" s="3"/>
      <c r="BU23" s="19"/>
      <c r="BV23" s="68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Q23" s="70"/>
      <c r="CR23" s="70"/>
      <c r="CS23" s="70"/>
      <c r="CT23" s="70"/>
      <c r="CU23" s="70"/>
      <c r="CV23" s="70"/>
      <c r="CW23" s="70"/>
      <c r="CX23" s="70"/>
      <c r="CY23" s="70"/>
      <c r="CZ23" s="70"/>
      <c r="DA23" s="70"/>
      <c r="DB23" s="70"/>
      <c r="DC23" s="70"/>
      <c r="DD23" s="70"/>
      <c r="DE23" s="70"/>
      <c r="DF23" s="70"/>
      <c r="DG23" s="70"/>
      <c r="DH23" s="70"/>
      <c r="DI23" s="70"/>
      <c r="DJ23" s="70"/>
      <c r="DK23" s="70"/>
      <c r="DL23" s="70"/>
      <c r="DM23" s="70"/>
      <c r="DN23" s="70"/>
      <c r="DO23" s="70"/>
      <c r="DP23" s="70"/>
      <c r="DQ23" s="70"/>
      <c r="DR23" s="70"/>
      <c r="DS23" s="70"/>
      <c r="DT23" s="70"/>
      <c r="DU23" s="70"/>
      <c r="DV23" s="70"/>
      <c r="DW23" s="70"/>
      <c r="DX23" s="70"/>
      <c r="DY23" s="70"/>
      <c r="DZ23" s="70"/>
      <c r="EA23" s="70"/>
      <c r="EB23" s="70"/>
      <c r="EC23" s="70"/>
      <c r="ED23" s="70"/>
      <c r="EE23" s="70"/>
      <c r="EF23" s="70"/>
      <c r="EG23" s="70"/>
      <c r="EH23" s="70"/>
      <c r="EI23" s="70"/>
      <c r="EJ23" s="70"/>
      <c r="EK23" s="70"/>
      <c r="EL23" s="70"/>
      <c r="EM23" s="70"/>
      <c r="EN23" s="70"/>
      <c r="EO23" s="70"/>
      <c r="EP23" s="70"/>
      <c r="EQ23" s="70"/>
      <c r="ER23" s="70"/>
      <c r="ES23" s="70"/>
      <c r="ET23" s="70"/>
      <c r="EU23" s="70"/>
      <c r="EV23" s="70"/>
      <c r="EW23" s="70"/>
      <c r="EX23" s="70"/>
      <c r="EY23" s="70"/>
      <c r="EZ23" s="70"/>
      <c r="FA23" s="70"/>
      <c r="FB23" s="70"/>
      <c r="FC23" s="70"/>
      <c r="FD23" s="70"/>
      <c r="FE23" s="70"/>
      <c r="FF23" s="70"/>
      <c r="FG23" s="70"/>
      <c r="FH23" s="70"/>
      <c r="FI23" s="70"/>
      <c r="FJ23" s="70"/>
      <c r="FK23" s="70"/>
      <c r="FL23" s="70"/>
      <c r="FM23" s="70"/>
      <c r="FN23" s="70"/>
      <c r="FO23" s="70"/>
      <c r="FP23" s="70"/>
      <c r="FQ23" s="70"/>
      <c r="FR23" s="70"/>
      <c r="FS23" s="70"/>
      <c r="FT23" s="70"/>
      <c r="FU23" s="70"/>
      <c r="FV23" s="70"/>
      <c r="FW23" s="70"/>
      <c r="FX23" s="70"/>
      <c r="FY23" s="70"/>
      <c r="FZ23" s="70"/>
      <c r="GA23" s="70"/>
      <c r="GB23" s="70"/>
      <c r="GC23" s="70"/>
      <c r="GD23" s="70"/>
      <c r="GE23" s="70"/>
      <c r="GF23" s="70"/>
      <c r="GG23" s="70"/>
      <c r="GH23" s="70"/>
      <c r="GI23" s="70"/>
      <c r="GJ23" s="70"/>
      <c r="GK23" s="70"/>
      <c r="GL23" s="70"/>
      <c r="GM23" s="70"/>
      <c r="GN23" s="70"/>
      <c r="GO23" s="70"/>
      <c r="GP23" s="70"/>
      <c r="GQ23" s="70"/>
      <c r="GR23" s="70"/>
      <c r="GS23" s="70"/>
      <c r="GT23" s="70"/>
      <c r="GU23" s="70"/>
      <c r="GV23" s="70"/>
      <c r="GW23" s="70"/>
      <c r="GX23" s="70"/>
      <c r="GY23" s="70"/>
      <c r="GZ23" s="70"/>
      <c r="HA23" s="70"/>
      <c r="HB23" s="70"/>
      <c r="HC23" s="70"/>
      <c r="HD23" s="70"/>
      <c r="HE23" s="70"/>
      <c r="HF23" s="70"/>
      <c r="HG23" s="70"/>
      <c r="HH23" s="70"/>
      <c r="HI23" s="70"/>
      <c r="HJ23" s="70"/>
      <c r="HK23" s="70"/>
      <c r="HL23" s="70"/>
      <c r="HM23" s="70"/>
      <c r="HN23" s="70"/>
      <c r="HO23" s="70"/>
      <c r="HP23" s="70"/>
      <c r="HQ23" s="70"/>
      <c r="HR23" s="70"/>
      <c r="HS23" s="70"/>
      <c r="HT23" s="70"/>
      <c r="HU23" s="70"/>
      <c r="HV23" s="70"/>
      <c r="HW23" s="70"/>
      <c r="HX23" s="70"/>
      <c r="HY23" s="70"/>
      <c r="HZ23" s="70"/>
      <c r="IA23" s="70"/>
      <c r="IB23" s="70"/>
      <c r="IC23" s="70"/>
      <c r="ID23" s="70"/>
      <c r="IE23" s="70"/>
      <c r="IF23" s="70"/>
      <c r="IG23" s="70"/>
      <c r="IH23" s="70"/>
      <c r="II23" s="70"/>
      <c r="IJ23" s="70"/>
      <c r="IK23" s="70"/>
      <c r="IL23" s="70"/>
      <c r="IM23" s="70"/>
      <c r="IN23" s="70"/>
      <c r="IO23" s="70"/>
      <c r="IP23" s="70"/>
      <c r="IQ23" s="70"/>
      <c r="IR23" s="70"/>
      <c r="IS23" s="70"/>
      <c r="IT23" s="70"/>
      <c r="IU23" s="70"/>
    </row>
    <row r="24" spans="1:255" s="51" customFormat="1" x14ac:dyDescent="0.25">
      <c r="A24" s="71"/>
      <c r="B24" s="18"/>
      <c r="C24" s="5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19"/>
      <c r="BV24" s="68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Q24" s="70"/>
      <c r="CR24" s="70"/>
      <c r="CS24" s="70"/>
      <c r="CT24" s="70"/>
      <c r="CU24" s="70"/>
      <c r="CV24" s="70"/>
      <c r="CW24" s="70"/>
      <c r="CX24" s="70"/>
      <c r="CY24" s="70"/>
      <c r="CZ24" s="70"/>
      <c r="DA24" s="70"/>
      <c r="DB24" s="70"/>
      <c r="DC24" s="70"/>
      <c r="DD24" s="70"/>
      <c r="DE24" s="70"/>
      <c r="DF24" s="70"/>
      <c r="DG24" s="70"/>
      <c r="DH24" s="70"/>
      <c r="DI24" s="70"/>
      <c r="DJ24" s="70"/>
      <c r="DK24" s="70"/>
      <c r="DL24" s="70"/>
      <c r="DM24" s="70"/>
      <c r="DN24" s="70"/>
      <c r="DO24" s="70"/>
      <c r="DP24" s="70"/>
      <c r="DQ24" s="70"/>
      <c r="DR24" s="70"/>
      <c r="DS24" s="70"/>
      <c r="DT24" s="70"/>
      <c r="DU24" s="70"/>
      <c r="DV24" s="70"/>
      <c r="DW24" s="70"/>
      <c r="DX24" s="70"/>
      <c r="DY24" s="70"/>
      <c r="DZ24" s="70"/>
      <c r="EA24" s="70"/>
      <c r="EB24" s="70"/>
      <c r="EC24" s="70"/>
      <c r="ED24" s="70"/>
      <c r="EE24" s="70"/>
      <c r="EF24" s="70"/>
      <c r="EG24" s="70"/>
      <c r="EH24" s="70"/>
      <c r="EI24" s="70"/>
      <c r="EJ24" s="70"/>
      <c r="EK24" s="70"/>
      <c r="EL24" s="70"/>
      <c r="EM24" s="70"/>
      <c r="EN24" s="70"/>
      <c r="EO24" s="70"/>
      <c r="EP24" s="70"/>
      <c r="EQ24" s="70"/>
      <c r="ER24" s="70"/>
      <c r="ES24" s="70"/>
      <c r="ET24" s="70"/>
      <c r="EU24" s="70"/>
      <c r="EV24" s="70"/>
      <c r="EW24" s="70"/>
      <c r="EX24" s="70"/>
      <c r="EY24" s="70"/>
      <c r="EZ24" s="70"/>
      <c r="FA24" s="70"/>
      <c r="FB24" s="70"/>
      <c r="FC24" s="70"/>
      <c r="FD24" s="70"/>
      <c r="FE24" s="70"/>
      <c r="FF24" s="70"/>
      <c r="FG24" s="70"/>
      <c r="FH24" s="70"/>
      <c r="FI24" s="70"/>
      <c r="FJ24" s="70"/>
      <c r="FK24" s="70"/>
      <c r="FL24" s="70"/>
      <c r="FM24" s="70"/>
      <c r="FN24" s="70"/>
      <c r="FO24" s="70"/>
      <c r="FP24" s="70"/>
      <c r="FQ24" s="70"/>
      <c r="FR24" s="70"/>
      <c r="FS24" s="70"/>
      <c r="FT24" s="70"/>
      <c r="FU24" s="70"/>
      <c r="FV24" s="70"/>
      <c r="FW24" s="70"/>
      <c r="FX24" s="70"/>
      <c r="FY24" s="70"/>
      <c r="FZ24" s="70"/>
      <c r="GA24" s="70"/>
      <c r="GB24" s="70"/>
      <c r="GC24" s="70"/>
      <c r="GD24" s="70"/>
      <c r="GE24" s="70"/>
      <c r="GF24" s="70"/>
      <c r="GG24" s="70"/>
      <c r="GH24" s="70"/>
      <c r="GI24" s="70"/>
      <c r="GJ24" s="70"/>
      <c r="GK24" s="70"/>
      <c r="GL24" s="70"/>
      <c r="GM24" s="70"/>
      <c r="GN24" s="70"/>
      <c r="GO24" s="70"/>
      <c r="GP24" s="70"/>
      <c r="GQ24" s="70"/>
      <c r="GR24" s="70"/>
      <c r="GS24" s="70"/>
      <c r="GT24" s="70"/>
      <c r="GU24" s="70"/>
      <c r="GV24" s="70"/>
      <c r="GW24" s="70"/>
      <c r="GX24" s="70"/>
      <c r="GY24" s="70"/>
      <c r="GZ24" s="70"/>
      <c r="HA24" s="70"/>
      <c r="HB24" s="70"/>
      <c r="HC24" s="70"/>
      <c r="HD24" s="70"/>
      <c r="HE24" s="70"/>
      <c r="HF24" s="70"/>
      <c r="HG24" s="70"/>
      <c r="HH24" s="70"/>
      <c r="HI24" s="70"/>
      <c r="HJ24" s="70"/>
      <c r="HK24" s="70"/>
      <c r="HL24" s="70"/>
      <c r="HM24" s="70"/>
      <c r="HN24" s="70"/>
      <c r="HO24" s="70"/>
      <c r="HP24" s="70"/>
      <c r="HQ24" s="70"/>
      <c r="HR24" s="70"/>
      <c r="HS24" s="70"/>
      <c r="HT24" s="70"/>
      <c r="HU24" s="70"/>
      <c r="HV24" s="70"/>
      <c r="HW24" s="70"/>
      <c r="HX24" s="70"/>
      <c r="HY24" s="70"/>
      <c r="HZ24" s="70"/>
      <c r="IA24" s="70"/>
      <c r="IB24" s="70"/>
      <c r="IC24" s="70"/>
      <c r="ID24" s="70"/>
      <c r="IE24" s="70"/>
      <c r="IF24" s="70"/>
      <c r="IG24" s="70"/>
      <c r="IH24" s="70"/>
      <c r="II24" s="70"/>
      <c r="IJ24" s="70"/>
      <c r="IK24" s="70"/>
      <c r="IL24" s="70"/>
      <c r="IM24" s="70"/>
      <c r="IN24" s="70"/>
      <c r="IO24" s="70"/>
      <c r="IP24" s="70"/>
      <c r="IQ24" s="70"/>
      <c r="IR24" s="70"/>
      <c r="IS24" s="70"/>
      <c r="IT24" s="70"/>
      <c r="IU24" s="70"/>
    </row>
    <row r="25" spans="1:255" s="51" customFormat="1" ht="18.75" x14ac:dyDescent="0.25">
      <c r="A25" s="71"/>
      <c r="B25" s="18"/>
      <c r="C25" s="52"/>
      <c r="J25" s="2"/>
      <c r="K25" s="2"/>
      <c r="L25" s="2"/>
      <c r="M25" s="294" t="s">
        <v>10</v>
      </c>
      <c r="N25" s="294"/>
      <c r="O25" s="294"/>
      <c r="P25" s="294"/>
      <c r="Q25" s="294"/>
      <c r="R25" s="294"/>
      <c r="S25" s="294"/>
      <c r="T25" s="294"/>
      <c r="U25" s="294"/>
      <c r="V25" s="294"/>
      <c r="W25" s="294"/>
      <c r="X25" s="294"/>
      <c r="Y25" s="294"/>
      <c r="Z25" s="294"/>
      <c r="AA25" s="294"/>
      <c r="AB25" s="294"/>
      <c r="AC25" s="294"/>
      <c r="AD25" s="294"/>
      <c r="AE25" s="294"/>
      <c r="AF25" s="294"/>
      <c r="AG25" s="294"/>
      <c r="AH25" s="294"/>
      <c r="AI25" s="294"/>
      <c r="AJ25" s="294"/>
      <c r="AK25" s="294"/>
      <c r="AL25" s="294"/>
      <c r="AM25" s="294"/>
      <c r="AN25" s="294"/>
      <c r="AO25" s="294"/>
      <c r="AP25" s="294"/>
      <c r="AQ25" s="294"/>
      <c r="AR25" s="294"/>
      <c r="AS25" s="294"/>
      <c r="AT25" s="294"/>
      <c r="AU25" s="294"/>
      <c r="AV25" s="294"/>
      <c r="AW25" s="294"/>
      <c r="AX25" s="294"/>
      <c r="AY25" s="294"/>
      <c r="AZ25" s="294"/>
      <c r="BA25" s="294"/>
      <c r="BB25" s="294"/>
      <c r="BC25" s="294"/>
      <c r="BD25" s="294"/>
      <c r="BE25" s="294"/>
      <c r="BF25" s="294"/>
      <c r="BG25" s="294"/>
      <c r="BH25" s="294"/>
      <c r="BI25" s="294"/>
      <c r="BJ25" s="294"/>
      <c r="BK25" s="294"/>
      <c r="BL25" s="3"/>
      <c r="BM25" s="3"/>
      <c r="BN25" s="3"/>
      <c r="BO25" s="3"/>
      <c r="BP25" s="3"/>
      <c r="BQ25" s="3"/>
      <c r="BR25" s="3"/>
      <c r="BS25" s="3"/>
      <c r="BT25" s="3"/>
      <c r="BU25" s="19"/>
      <c r="BV25" s="68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Q25" s="70"/>
      <c r="CR25" s="70"/>
      <c r="CS25" s="70"/>
      <c r="CT25" s="70"/>
      <c r="CU25" s="70"/>
      <c r="CV25" s="70"/>
      <c r="CW25" s="70"/>
      <c r="CX25" s="70"/>
      <c r="CY25" s="70"/>
      <c r="CZ25" s="70"/>
      <c r="DA25" s="70"/>
      <c r="DB25" s="70"/>
      <c r="DC25" s="70"/>
      <c r="DD25" s="70"/>
      <c r="DE25" s="70"/>
      <c r="DF25" s="70"/>
      <c r="DG25" s="70"/>
      <c r="DH25" s="70"/>
      <c r="DI25" s="70"/>
      <c r="DJ25" s="70"/>
      <c r="DK25" s="70"/>
      <c r="DL25" s="70"/>
      <c r="DM25" s="70"/>
      <c r="DN25" s="70"/>
      <c r="DO25" s="70"/>
      <c r="DP25" s="70"/>
      <c r="DQ25" s="70"/>
      <c r="DR25" s="70"/>
      <c r="DS25" s="70"/>
      <c r="DT25" s="70"/>
      <c r="DU25" s="70"/>
      <c r="DV25" s="70"/>
      <c r="DW25" s="70"/>
      <c r="DX25" s="70"/>
      <c r="DY25" s="70"/>
      <c r="DZ25" s="70"/>
      <c r="EA25" s="70"/>
      <c r="EB25" s="70"/>
      <c r="EC25" s="70"/>
      <c r="ED25" s="70"/>
      <c r="EE25" s="70"/>
      <c r="EF25" s="70"/>
      <c r="EG25" s="70"/>
      <c r="EH25" s="70"/>
      <c r="EI25" s="70"/>
      <c r="EJ25" s="70"/>
      <c r="EK25" s="70"/>
      <c r="EL25" s="70"/>
      <c r="EM25" s="70"/>
      <c r="EN25" s="70"/>
      <c r="EO25" s="70"/>
      <c r="EP25" s="70"/>
      <c r="EQ25" s="70"/>
      <c r="ER25" s="70"/>
      <c r="ES25" s="70"/>
      <c r="ET25" s="70"/>
      <c r="EU25" s="70"/>
      <c r="EV25" s="70"/>
      <c r="EW25" s="70"/>
      <c r="EX25" s="70"/>
      <c r="EY25" s="70"/>
      <c r="EZ25" s="70"/>
      <c r="FA25" s="70"/>
      <c r="FB25" s="70"/>
      <c r="FC25" s="70"/>
      <c r="FD25" s="70"/>
      <c r="FE25" s="70"/>
      <c r="FF25" s="70"/>
      <c r="FG25" s="70"/>
      <c r="FH25" s="70"/>
      <c r="FI25" s="70"/>
      <c r="FJ25" s="70"/>
      <c r="FK25" s="70"/>
      <c r="FL25" s="70"/>
      <c r="FM25" s="70"/>
      <c r="FN25" s="70"/>
      <c r="FO25" s="70"/>
      <c r="FP25" s="70"/>
      <c r="FQ25" s="70"/>
      <c r="FR25" s="70"/>
      <c r="FS25" s="70"/>
      <c r="FT25" s="70"/>
      <c r="FU25" s="70"/>
      <c r="FV25" s="70"/>
      <c r="FW25" s="70"/>
      <c r="FX25" s="70"/>
      <c r="FY25" s="70"/>
      <c r="FZ25" s="70"/>
      <c r="GA25" s="70"/>
      <c r="GB25" s="70"/>
      <c r="GC25" s="70"/>
      <c r="GD25" s="70"/>
      <c r="GE25" s="70"/>
      <c r="GF25" s="70"/>
      <c r="GG25" s="70"/>
      <c r="GH25" s="70"/>
      <c r="GI25" s="70"/>
      <c r="GJ25" s="70"/>
      <c r="GK25" s="70"/>
      <c r="GL25" s="70"/>
      <c r="GM25" s="70"/>
      <c r="GN25" s="70"/>
      <c r="GO25" s="70"/>
      <c r="GP25" s="70"/>
      <c r="GQ25" s="70"/>
      <c r="GR25" s="70"/>
      <c r="GS25" s="70"/>
      <c r="GT25" s="70"/>
      <c r="GU25" s="70"/>
      <c r="GV25" s="70"/>
      <c r="GW25" s="70"/>
      <c r="GX25" s="70"/>
      <c r="GY25" s="70"/>
      <c r="GZ25" s="70"/>
      <c r="HA25" s="70"/>
      <c r="HB25" s="70"/>
      <c r="HC25" s="70"/>
      <c r="HD25" s="70"/>
      <c r="HE25" s="70"/>
      <c r="HF25" s="70"/>
      <c r="HG25" s="70"/>
      <c r="HH25" s="70"/>
      <c r="HI25" s="70"/>
      <c r="HJ25" s="70"/>
      <c r="HK25" s="70"/>
      <c r="HL25" s="70"/>
      <c r="HM25" s="70"/>
      <c r="HN25" s="70"/>
      <c r="HO25" s="70"/>
      <c r="HP25" s="70"/>
      <c r="HQ25" s="70"/>
      <c r="HR25" s="70"/>
      <c r="HS25" s="70"/>
      <c r="HT25" s="70"/>
      <c r="HU25" s="70"/>
      <c r="HV25" s="70"/>
      <c r="HW25" s="70"/>
      <c r="HX25" s="70"/>
      <c r="HY25" s="70"/>
      <c r="HZ25" s="70"/>
      <c r="IA25" s="70"/>
      <c r="IB25" s="70"/>
      <c r="IC25" s="70"/>
      <c r="ID25" s="70"/>
      <c r="IE25" s="70"/>
      <c r="IF25" s="70"/>
      <c r="IG25" s="70"/>
      <c r="IH25" s="70"/>
      <c r="II25" s="70"/>
      <c r="IJ25" s="70"/>
      <c r="IK25" s="70"/>
      <c r="IL25" s="70"/>
      <c r="IM25" s="70"/>
      <c r="IN25" s="70"/>
      <c r="IO25" s="70"/>
      <c r="IP25" s="70"/>
      <c r="IQ25" s="70"/>
      <c r="IR25" s="70"/>
      <c r="IS25" s="70"/>
      <c r="IT25" s="70"/>
      <c r="IU25" s="70"/>
    </row>
    <row r="26" spans="1:255" s="51" customFormat="1" ht="15.75" x14ac:dyDescent="0.25">
      <c r="A26" s="71"/>
      <c r="B26" s="18"/>
      <c r="C26" s="139"/>
      <c r="D26" s="80"/>
      <c r="E26" s="80"/>
      <c r="F26" s="80"/>
      <c r="G26" s="80"/>
      <c r="H26" s="80"/>
      <c r="I26" s="80"/>
      <c r="J26" s="16"/>
      <c r="K26" s="16"/>
      <c r="L26" s="16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38"/>
      <c r="AE26" s="138"/>
      <c r="AF26" s="138"/>
      <c r="AG26" s="138"/>
      <c r="AH26" s="138"/>
      <c r="AI26" s="138"/>
      <c r="AJ26" s="138"/>
      <c r="AK26" s="138"/>
      <c r="AL26" s="138"/>
      <c r="AM26" s="138"/>
      <c r="AN26" s="138"/>
      <c r="AO26" s="138"/>
      <c r="AP26" s="138"/>
      <c r="AQ26" s="138"/>
      <c r="AR26" s="138"/>
      <c r="AS26" s="138"/>
      <c r="AT26" s="138"/>
      <c r="AU26" s="138"/>
      <c r="AV26" s="138"/>
      <c r="AW26" s="138"/>
      <c r="AX26" s="138"/>
      <c r="AY26" s="138"/>
      <c r="AZ26" s="138"/>
      <c r="BA26" s="138"/>
      <c r="BB26" s="138"/>
      <c r="BC26" s="138"/>
      <c r="BD26" s="138"/>
      <c r="BE26" s="138"/>
      <c r="BF26" s="138"/>
      <c r="BG26" s="138"/>
      <c r="BH26" s="138"/>
      <c r="BI26" s="138"/>
      <c r="BJ26" s="138"/>
      <c r="BK26" s="138"/>
      <c r="BL26" s="15"/>
      <c r="BM26" s="15"/>
      <c r="BN26" s="15"/>
      <c r="BO26" s="15"/>
      <c r="BP26" s="15"/>
      <c r="BQ26" s="15"/>
      <c r="BR26" s="15"/>
      <c r="BS26" s="15"/>
      <c r="BT26" s="15"/>
      <c r="BU26" s="14"/>
      <c r="BV26" s="68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Q26" s="70"/>
      <c r="CR26" s="70"/>
      <c r="CS26" s="70"/>
      <c r="CT26" s="70"/>
      <c r="CU26" s="70"/>
      <c r="CV26" s="70"/>
      <c r="CW26" s="70"/>
      <c r="CX26" s="70"/>
      <c r="CY26" s="70"/>
      <c r="CZ26" s="70"/>
      <c r="DA26" s="70"/>
      <c r="DB26" s="70"/>
      <c r="DC26" s="70"/>
      <c r="DD26" s="70"/>
      <c r="DE26" s="70"/>
      <c r="DF26" s="70"/>
      <c r="DG26" s="70"/>
      <c r="DH26" s="70"/>
      <c r="DI26" s="70"/>
      <c r="DJ26" s="70"/>
      <c r="DK26" s="70"/>
      <c r="DL26" s="70"/>
      <c r="DM26" s="70"/>
      <c r="DN26" s="70"/>
      <c r="DO26" s="70"/>
      <c r="DP26" s="70"/>
      <c r="DQ26" s="70"/>
      <c r="DR26" s="70"/>
      <c r="DS26" s="70"/>
      <c r="DT26" s="70"/>
      <c r="DU26" s="70"/>
      <c r="DV26" s="70"/>
      <c r="DW26" s="70"/>
      <c r="DX26" s="70"/>
      <c r="DY26" s="70"/>
      <c r="DZ26" s="70"/>
      <c r="EA26" s="70"/>
      <c r="EB26" s="70"/>
      <c r="EC26" s="70"/>
      <c r="ED26" s="70"/>
      <c r="EE26" s="70"/>
      <c r="EF26" s="70"/>
      <c r="EG26" s="70"/>
      <c r="EH26" s="70"/>
      <c r="EI26" s="70"/>
      <c r="EJ26" s="70"/>
      <c r="EK26" s="70"/>
      <c r="EL26" s="70"/>
      <c r="EM26" s="70"/>
      <c r="EN26" s="70"/>
      <c r="EO26" s="70"/>
      <c r="EP26" s="70"/>
      <c r="EQ26" s="70"/>
      <c r="ER26" s="70"/>
      <c r="ES26" s="70"/>
      <c r="ET26" s="70"/>
      <c r="EU26" s="70"/>
      <c r="EV26" s="70"/>
      <c r="EW26" s="70"/>
      <c r="EX26" s="70"/>
      <c r="EY26" s="70"/>
      <c r="EZ26" s="70"/>
      <c r="FA26" s="70"/>
      <c r="FB26" s="70"/>
      <c r="FC26" s="70"/>
      <c r="FD26" s="70"/>
      <c r="FE26" s="70"/>
      <c r="FF26" s="70"/>
      <c r="FG26" s="70"/>
      <c r="FH26" s="70"/>
      <c r="FI26" s="70"/>
      <c r="FJ26" s="70"/>
      <c r="FK26" s="70"/>
      <c r="FL26" s="70"/>
      <c r="FM26" s="70"/>
      <c r="FN26" s="70"/>
      <c r="FO26" s="70"/>
      <c r="FP26" s="70"/>
      <c r="FQ26" s="70"/>
      <c r="FR26" s="70"/>
      <c r="FS26" s="70"/>
      <c r="FT26" s="70"/>
      <c r="FU26" s="70"/>
      <c r="FV26" s="70"/>
      <c r="FW26" s="70"/>
      <c r="FX26" s="70"/>
      <c r="FY26" s="70"/>
      <c r="FZ26" s="70"/>
      <c r="GA26" s="70"/>
      <c r="GB26" s="70"/>
      <c r="GC26" s="70"/>
      <c r="GD26" s="70"/>
      <c r="GE26" s="70"/>
      <c r="GF26" s="70"/>
      <c r="GG26" s="70"/>
      <c r="GH26" s="70"/>
      <c r="GI26" s="70"/>
      <c r="GJ26" s="70"/>
      <c r="GK26" s="70"/>
      <c r="GL26" s="70"/>
      <c r="GM26" s="70"/>
      <c r="GN26" s="70"/>
      <c r="GO26" s="70"/>
      <c r="GP26" s="70"/>
      <c r="GQ26" s="70"/>
      <c r="GR26" s="70"/>
      <c r="GS26" s="70"/>
      <c r="GT26" s="70"/>
      <c r="GU26" s="70"/>
      <c r="GV26" s="70"/>
      <c r="GW26" s="70"/>
      <c r="GX26" s="70"/>
      <c r="GY26" s="70"/>
      <c r="GZ26" s="70"/>
      <c r="HA26" s="70"/>
      <c r="HB26" s="70"/>
      <c r="HC26" s="70"/>
      <c r="HD26" s="70"/>
      <c r="HE26" s="70"/>
      <c r="HF26" s="70"/>
      <c r="HG26" s="70"/>
      <c r="HH26" s="70"/>
      <c r="HI26" s="70"/>
      <c r="HJ26" s="70"/>
      <c r="HK26" s="70"/>
      <c r="HL26" s="70"/>
      <c r="HM26" s="70"/>
      <c r="HN26" s="70"/>
      <c r="HO26" s="70"/>
      <c r="HP26" s="70"/>
      <c r="HQ26" s="70"/>
      <c r="HR26" s="70"/>
      <c r="HS26" s="70"/>
      <c r="HT26" s="70"/>
      <c r="HU26" s="70"/>
      <c r="HV26" s="70"/>
      <c r="HW26" s="70"/>
      <c r="HX26" s="70"/>
      <c r="HY26" s="70"/>
      <c r="HZ26" s="70"/>
      <c r="IA26" s="70"/>
      <c r="IB26" s="70"/>
      <c r="IC26" s="70"/>
      <c r="ID26" s="70"/>
      <c r="IE26" s="70"/>
      <c r="IF26" s="70"/>
      <c r="IG26" s="70"/>
      <c r="IH26" s="70"/>
      <c r="II26" s="70"/>
      <c r="IJ26" s="70"/>
      <c r="IK26" s="70"/>
      <c r="IL26" s="70"/>
      <c r="IM26" s="70"/>
      <c r="IN26" s="70"/>
      <c r="IO26" s="70"/>
      <c r="IP26" s="70"/>
      <c r="IQ26" s="70"/>
      <c r="IR26" s="70"/>
      <c r="IS26" s="70"/>
      <c r="IT26" s="70"/>
      <c r="IU26" s="70"/>
    </row>
    <row r="27" spans="1:255" s="51" customFormat="1" ht="16.5" thickBot="1" x14ac:dyDescent="0.3">
      <c r="A27" s="71"/>
      <c r="B27" s="12"/>
      <c r="C27" s="137"/>
      <c r="D27" s="137"/>
      <c r="E27" s="137"/>
      <c r="F27" s="137"/>
      <c r="G27" s="137"/>
      <c r="H27" s="137"/>
      <c r="I27" s="137"/>
      <c r="J27" s="11"/>
      <c r="K27" s="11"/>
      <c r="L27" s="11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35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Q27" s="70"/>
      <c r="CR27" s="70"/>
      <c r="CS27" s="70"/>
      <c r="CT27" s="70"/>
      <c r="CU27" s="70"/>
      <c r="CV27" s="70"/>
      <c r="CW27" s="70"/>
      <c r="CX27" s="70"/>
      <c r="CY27" s="70"/>
      <c r="CZ27" s="70"/>
      <c r="DA27" s="70"/>
      <c r="DB27" s="70"/>
      <c r="DC27" s="70"/>
      <c r="DD27" s="70"/>
      <c r="DE27" s="70"/>
      <c r="DF27" s="70"/>
      <c r="DG27" s="70"/>
      <c r="DH27" s="70"/>
      <c r="DI27" s="70"/>
      <c r="DJ27" s="70"/>
      <c r="DK27" s="70"/>
      <c r="DL27" s="70"/>
      <c r="DM27" s="70"/>
      <c r="DN27" s="70"/>
      <c r="DO27" s="70"/>
      <c r="DP27" s="70"/>
      <c r="DQ27" s="70"/>
      <c r="DR27" s="70"/>
      <c r="DS27" s="70"/>
      <c r="DT27" s="70"/>
      <c r="DU27" s="70"/>
      <c r="DV27" s="70"/>
      <c r="DW27" s="70"/>
      <c r="DX27" s="70"/>
      <c r="DY27" s="70"/>
      <c r="DZ27" s="70"/>
      <c r="EA27" s="70"/>
      <c r="EB27" s="70"/>
      <c r="EC27" s="70"/>
      <c r="ED27" s="70"/>
      <c r="EE27" s="70"/>
      <c r="EF27" s="70"/>
      <c r="EG27" s="70"/>
      <c r="EH27" s="70"/>
      <c r="EI27" s="70"/>
      <c r="EJ27" s="70"/>
      <c r="EK27" s="70"/>
      <c r="EL27" s="70"/>
      <c r="EM27" s="70"/>
      <c r="EN27" s="70"/>
      <c r="EO27" s="70"/>
      <c r="EP27" s="70"/>
      <c r="EQ27" s="70"/>
      <c r="ER27" s="70"/>
      <c r="ES27" s="70"/>
      <c r="ET27" s="70"/>
      <c r="EU27" s="70"/>
      <c r="EV27" s="70"/>
      <c r="EW27" s="70"/>
      <c r="EX27" s="70"/>
      <c r="EY27" s="70"/>
      <c r="EZ27" s="70"/>
      <c r="FA27" s="70"/>
      <c r="FB27" s="70"/>
      <c r="FC27" s="70"/>
      <c r="FD27" s="70"/>
      <c r="FE27" s="70"/>
      <c r="FF27" s="70"/>
      <c r="FG27" s="70"/>
      <c r="FH27" s="70"/>
      <c r="FI27" s="70"/>
      <c r="FJ27" s="70"/>
      <c r="FK27" s="70"/>
      <c r="FL27" s="70"/>
      <c r="FM27" s="70"/>
      <c r="FN27" s="70"/>
      <c r="FO27" s="70"/>
      <c r="FP27" s="70"/>
      <c r="FQ27" s="70"/>
      <c r="FR27" s="70"/>
      <c r="FS27" s="70"/>
      <c r="FT27" s="70"/>
      <c r="FU27" s="70"/>
      <c r="FV27" s="70"/>
      <c r="FW27" s="70"/>
      <c r="FX27" s="70"/>
      <c r="FY27" s="70"/>
      <c r="FZ27" s="70"/>
      <c r="GA27" s="70"/>
      <c r="GB27" s="70"/>
      <c r="GC27" s="70"/>
      <c r="GD27" s="70"/>
      <c r="GE27" s="70"/>
      <c r="GF27" s="70"/>
      <c r="GG27" s="70"/>
      <c r="GH27" s="70"/>
      <c r="GI27" s="70"/>
      <c r="GJ27" s="70"/>
      <c r="GK27" s="70"/>
      <c r="GL27" s="70"/>
      <c r="GM27" s="70"/>
      <c r="GN27" s="70"/>
      <c r="GO27" s="70"/>
      <c r="GP27" s="70"/>
      <c r="GQ27" s="70"/>
      <c r="GR27" s="70"/>
      <c r="GS27" s="70"/>
      <c r="GT27" s="70"/>
      <c r="GU27" s="70"/>
      <c r="GV27" s="70"/>
      <c r="GW27" s="70"/>
      <c r="GX27" s="70"/>
      <c r="GY27" s="70"/>
      <c r="GZ27" s="70"/>
      <c r="HA27" s="70"/>
      <c r="HB27" s="70"/>
      <c r="HC27" s="70"/>
      <c r="HD27" s="70"/>
      <c r="HE27" s="70"/>
      <c r="HF27" s="70"/>
      <c r="HG27" s="70"/>
      <c r="HH27" s="70"/>
      <c r="HI27" s="70"/>
      <c r="HJ27" s="70"/>
      <c r="HK27" s="70"/>
      <c r="HL27" s="70"/>
      <c r="HM27" s="70"/>
      <c r="HN27" s="70"/>
      <c r="HO27" s="70"/>
      <c r="HP27" s="70"/>
      <c r="HQ27" s="70"/>
      <c r="HR27" s="70"/>
      <c r="HS27" s="70"/>
      <c r="HT27" s="70"/>
      <c r="HU27" s="70"/>
      <c r="HV27" s="70"/>
      <c r="HW27" s="70"/>
      <c r="HX27" s="70"/>
      <c r="HY27" s="70"/>
      <c r="HZ27" s="70"/>
      <c r="IA27" s="70"/>
      <c r="IB27" s="70"/>
      <c r="IC27" s="70"/>
      <c r="ID27" s="70"/>
      <c r="IE27" s="70"/>
      <c r="IF27" s="70"/>
      <c r="IG27" s="70"/>
      <c r="IH27" s="70"/>
      <c r="II27" s="70"/>
      <c r="IJ27" s="70"/>
      <c r="IK27" s="70"/>
      <c r="IL27" s="70"/>
      <c r="IM27" s="70"/>
      <c r="IN27" s="70"/>
      <c r="IO27" s="70"/>
      <c r="IP27" s="70"/>
      <c r="IQ27" s="70"/>
      <c r="IR27" s="70"/>
      <c r="IS27" s="70"/>
      <c r="IT27" s="70"/>
      <c r="IU27" s="70"/>
    </row>
    <row r="28" spans="1:255" s="70" customFormat="1" ht="15.75" x14ac:dyDescent="0.25">
      <c r="A28" s="71"/>
      <c r="B28" s="1"/>
      <c r="J28" s="1"/>
      <c r="K28" s="1"/>
      <c r="L28" s="1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/>
      <c r="Z28" s="134"/>
      <c r="AA28" s="134"/>
      <c r="AB28" s="134"/>
      <c r="AC28" s="134"/>
      <c r="AD28" s="134"/>
      <c r="AE28" s="134"/>
      <c r="AF28" s="134"/>
      <c r="AG28" s="134"/>
      <c r="AH28" s="134"/>
      <c r="AI28" s="134"/>
      <c r="AJ28" s="134"/>
      <c r="AK28" s="134"/>
      <c r="AL28" s="134"/>
      <c r="AM28" s="134"/>
      <c r="AN28" s="134"/>
      <c r="AO28" s="134"/>
      <c r="AP28" s="134"/>
      <c r="AQ28" s="134"/>
      <c r="AR28" s="134"/>
      <c r="AS28" s="134"/>
      <c r="AT28" s="134"/>
      <c r="AU28" s="134"/>
      <c r="AV28" s="134"/>
      <c r="AW28" s="134"/>
      <c r="AX28" s="134"/>
      <c r="AY28" s="134"/>
      <c r="AZ28" s="134"/>
      <c r="BA28" s="134"/>
      <c r="BB28" s="134"/>
      <c r="BC28" s="134"/>
      <c r="BD28" s="134"/>
      <c r="BE28" s="134"/>
      <c r="BF28" s="134"/>
      <c r="BG28" s="134"/>
      <c r="BH28" s="134"/>
      <c r="BI28" s="134"/>
      <c r="BJ28" s="134"/>
      <c r="BK28" s="134"/>
      <c r="BL28" s="4"/>
      <c r="BM28" s="4"/>
      <c r="BN28" s="4"/>
      <c r="BO28" s="4"/>
      <c r="BP28" s="4"/>
      <c r="BQ28" s="4"/>
      <c r="BR28" s="4"/>
      <c r="BS28" s="4"/>
      <c r="BT28" s="4"/>
      <c r="BU28" s="4"/>
    </row>
    <row r="29" spans="1:255" s="70" customFormat="1" ht="15.75" x14ac:dyDescent="0.25">
      <c r="A29" s="71"/>
      <c r="B29" s="1"/>
      <c r="J29" s="1"/>
      <c r="K29" s="1"/>
      <c r="L29" s="1"/>
      <c r="M29" s="134"/>
      <c r="N29" s="134"/>
      <c r="O29" s="134"/>
      <c r="P29" s="134"/>
      <c r="Q29" s="134"/>
      <c r="R29" s="134"/>
      <c r="S29" s="134"/>
      <c r="T29" s="134"/>
      <c r="U29" s="134"/>
      <c r="V29" s="134"/>
      <c r="W29" s="134"/>
      <c r="X29" s="134"/>
      <c r="Y29" s="134"/>
      <c r="Z29" s="134"/>
      <c r="AA29" s="134"/>
      <c r="AB29" s="134"/>
      <c r="AC29" s="134"/>
      <c r="AD29" s="134"/>
      <c r="AE29" s="134"/>
      <c r="AF29" s="134"/>
      <c r="AG29" s="134"/>
      <c r="AH29" s="134"/>
      <c r="AI29" s="134"/>
      <c r="AJ29" s="134"/>
      <c r="AK29" s="134"/>
      <c r="AL29" s="134"/>
      <c r="AM29" s="134"/>
      <c r="AN29" s="134"/>
      <c r="AO29" s="134"/>
      <c r="AP29" s="134"/>
      <c r="AQ29" s="134"/>
      <c r="AR29" s="134"/>
      <c r="AS29" s="134"/>
      <c r="AT29" s="134"/>
      <c r="AU29" s="134"/>
      <c r="AV29" s="134"/>
      <c r="AW29" s="134"/>
      <c r="AX29" s="134"/>
      <c r="AY29" s="134"/>
      <c r="AZ29" s="134"/>
      <c r="BA29" s="134"/>
      <c r="BB29" s="134"/>
      <c r="BC29" s="134"/>
      <c r="BD29" s="134"/>
      <c r="BE29" s="134"/>
      <c r="BF29" s="134"/>
      <c r="BG29" s="134"/>
      <c r="BH29" s="134"/>
      <c r="BI29" s="134"/>
      <c r="BJ29" s="134"/>
      <c r="BK29" s="134"/>
      <c r="BL29" s="4"/>
      <c r="BM29" s="4"/>
      <c r="BN29" s="4"/>
      <c r="BO29" s="4"/>
      <c r="BP29" s="4"/>
      <c r="BQ29" s="4"/>
      <c r="BR29" s="4"/>
      <c r="BS29" s="4"/>
      <c r="BT29" s="4"/>
      <c r="BU29" s="4"/>
    </row>
    <row r="30" spans="1:255" s="70" customFormat="1" ht="15.75" x14ac:dyDescent="0.25">
      <c r="A30" s="71"/>
      <c r="B30" s="1"/>
      <c r="J30" s="1"/>
      <c r="K30" s="1"/>
      <c r="L30" s="1"/>
      <c r="M30" s="134"/>
      <c r="N30" s="134"/>
      <c r="O30" s="134"/>
      <c r="P30" s="134"/>
      <c r="Q30" s="134"/>
      <c r="R30" s="134"/>
      <c r="S30" s="134"/>
      <c r="T30" s="134"/>
      <c r="U30" s="134"/>
      <c r="V30" s="134"/>
      <c r="W30" s="134"/>
      <c r="X30" s="134"/>
      <c r="Y30" s="134"/>
      <c r="Z30" s="134"/>
      <c r="AA30" s="134"/>
      <c r="AB30" s="134"/>
      <c r="AC30" s="134"/>
      <c r="AD30" s="134"/>
      <c r="AE30" s="134"/>
      <c r="AF30" s="134"/>
      <c r="AG30" s="134"/>
      <c r="AH30" s="134"/>
      <c r="AI30" s="134"/>
      <c r="AJ30" s="134"/>
      <c r="AK30" s="134"/>
      <c r="AL30" s="134"/>
      <c r="AM30" s="134"/>
      <c r="AN30" s="134"/>
      <c r="AO30" s="134"/>
      <c r="AP30" s="134"/>
      <c r="AQ30" s="134"/>
      <c r="AR30" s="134"/>
      <c r="AS30" s="134"/>
      <c r="AT30" s="134"/>
      <c r="AU30" s="134"/>
      <c r="AV30" s="134"/>
      <c r="AW30" s="134"/>
      <c r="AX30" s="134"/>
      <c r="AY30" s="134"/>
      <c r="AZ30" s="134"/>
      <c r="BA30" s="134"/>
      <c r="BB30" s="134"/>
      <c r="BC30" s="134"/>
      <c r="BD30" s="134"/>
      <c r="BE30" s="134"/>
      <c r="BF30" s="134"/>
      <c r="BG30" s="134"/>
      <c r="BH30" s="134"/>
      <c r="BI30" s="134"/>
      <c r="BJ30" s="134"/>
      <c r="BK30" s="134"/>
      <c r="BL30" s="4"/>
      <c r="BM30" s="4"/>
      <c r="BN30" s="4"/>
      <c r="BO30" s="4"/>
      <c r="BP30" s="4"/>
      <c r="BQ30" s="4"/>
      <c r="BR30" s="4"/>
      <c r="BS30" s="4"/>
      <c r="BT30" s="4"/>
      <c r="BU30" s="4"/>
    </row>
    <row r="31" spans="1:255" s="70" customFormat="1" ht="16.5" thickBot="1" x14ac:dyDescent="0.3">
      <c r="A31" s="71"/>
      <c r="B31" s="1"/>
      <c r="J31" s="1"/>
      <c r="K31" s="1"/>
      <c r="L31" s="1"/>
      <c r="M31" s="134"/>
      <c r="N31" s="134"/>
      <c r="O31" s="134"/>
      <c r="P31" s="134"/>
      <c r="Q31" s="134"/>
      <c r="R31" s="134"/>
      <c r="S31" s="134"/>
      <c r="T31" s="134"/>
      <c r="U31" s="134"/>
      <c r="V31" s="134"/>
      <c r="W31" s="134"/>
      <c r="X31" s="134"/>
      <c r="Y31" s="134"/>
      <c r="Z31" s="134"/>
      <c r="AA31" s="134"/>
      <c r="AB31" s="134"/>
      <c r="AC31" s="134"/>
      <c r="AD31" s="134"/>
      <c r="AE31" s="134"/>
      <c r="AF31" s="134"/>
      <c r="AG31" s="134"/>
      <c r="AH31" s="134"/>
      <c r="AI31" s="134"/>
      <c r="AJ31" s="134"/>
      <c r="AK31" s="134"/>
      <c r="AL31" s="134"/>
      <c r="AM31" s="134"/>
      <c r="AN31" s="134"/>
      <c r="AO31" s="134"/>
      <c r="AP31" s="134"/>
      <c r="AQ31" s="134"/>
      <c r="AR31" s="134"/>
      <c r="AS31" s="134"/>
      <c r="AT31" s="134"/>
      <c r="AU31" s="134"/>
      <c r="AV31" s="134"/>
      <c r="AW31" s="134"/>
      <c r="AX31" s="134"/>
      <c r="AY31" s="134"/>
      <c r="AZ31" s="134"/>
      <c r="BA31" s="134"/>
      <c r="BB31" s="134"/>
      <c r="BC31" s="134"/>
      <c r="BD31" s="134"/>
      <c r="BE31" s="134"/>
      <c r="BF31" s="134"/>
      <c r="BG31" s="134"/>
      <c r="BH31" s="134"/>
      <c r="BI31" s="134"/>
      <c r="BJ31" s="134"/>
      <c r="BK31" s="134"/>
      <c r="BL31" s="4"/>
      <c r="BM31" s="4"/>
      <c r="BN31" s="4"/>
      <c r="BO31" s="4"/>
      <c r="BP31" s="4"/>
      <c r="BQ31" s="4"/>
      <c r="BR31" s="4"/>
      <c r="BS31" s="4"/>
      <c r="BT31" s="4"/>
      <c r="BU31" s="4"/>
    </row>
    <row r="32" spans="1:255" s="51" customFormat="1" ht="5.0999999999999996" customHeight="1" x14ac:dyDescent="0.25">
      <c r="A32" s="71"/>
      <c r="B32" s="133"/>
      <c r="C32" s="132"/>
      <c r="D32" s="132"/>
      <c r="E32" s="132"/>
      <c r="F32" s="132"/>
      <c r="G32" s="132"/>
      <c r="H32" s="132"/>
      <c r="I32" s="132"/>
      <c r="J32" s="131"/>
      <c r="K32" s="131"/>
      <c r="L32" s="131"/>
      <c r="M32" s="130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  <c r="Y32" s="130"/>
      <c r="Z32" s="130"/>
      <c r="AA32" s="130"/>
      <c r="AB32" s="130"/>
      <c r="AC32" s="130"/>
      <c r="AD32" s="130"/>
      <c r="AE32" s="130"/>
      <c r="AF32" s="130"/>
      <c r="AG32" s="130"/>
      <c r="AH32" s="130"/>
      <c r="AI32" s="130"/>
      <c r="AJ32" s="130"/>
      <c r="AK32" s="130"/>
      <c r="AL32" s="130"/>
      <c r="AM32" s="130"/>
      <c r="AN32" s="130"/>
      <c r="AO32" s="130"/>
      <c r="AP32" s="130"/>
      <c r="AQ32" s="130"/>
      <c r="AR32" s="130"/>
      <c r="AS32" s="130"/>
      <c r="AT32" s="130"/>
      <c r="AU32" s="130"/>
      <c r="AV32" s="130"/>
      <c r="AW32" s="130"/>
      <c r="AX32" s="130"/>
      <c r="AY32" s="130"/>
      <c r="AZ32" s="130"/>
      <c r="BA32" s="130"/>
      <c r="BB32" s="130"/>
      <c r="BC32" s="130"/>
      <c r="BD32" s="130"/>
      <c r="BE32" s="130"/>
      <c r="BF32" s="130"/>
      <c r="BG32" s="130"/>
      <c r="BH32" s="130"/>
      <c r="BI32" s="130"/>
      <c r="BJ32" s="130"/>
      <c r="BK32" s="130"/>
      <c r="BL32" s="129"/>
      <c r="BM32" s="129"/>
      <c r="BN32" s="129"/>
      <c r="BO32" s="129"/>
      <c r="BP32" s="129"/>
      <c r="BQ32" s="129"/>
      <c r="BR32" s="129"/>
      <c r="BS32" s="129"/>
      <c r="BT32" s="129"/>
      <c r="BU32" s="129"/>
      <c r="BV32" s="128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Q32" s="70"/>
      <c r="CR32" s="70"/>
      <c r="CS32" s="70"/>
      <c r="CT32" s="70"/>
      <c r="CU32" s="70"/>
      <c r="CV32" s="70"/>
      <c r="CW32" s="70"/>
      <c r="CX32" s="70"/>
      <c r="CY32" s="70"/>
      <c r="CZ32" s="70"/>
      <c r="DA32" s="70"/>
      <c r="DB32" s="70"/>
      <c r="DC32" s="70"/>
      <c r="DD32" s="70"/>
      <c r="DE32" s="70"/>
      <c r="DF32" s="70"/>
      <c r="DG32" s="70"/>
      <c r="DH32" s="70"/>
      <c r="DI32" s="70"/>
      <c r="DJ32" s="70"/>
      <c r="DK32" s="70"/>
      <c r="DL32" s="70"/>
      <c r="DM32" s="70"/>
      <c r="DN32" s="70"/>
      <c r="DO32" s="70"/>
      <c r="DP32" s="70"/>
      <c r="DQ32" s="70"/>
      <c r="DR32" s="70"/>
      <c r="DS32" s="70"/>
      <c r="DT32" s="70"/>
      <c r="DU32" s="70"/>
      <c r="DV32" s="70"/>
      <c r="DW32" s="70"/>
      <c r="DX32" s="70"/>
      <c r="DY32" s="70"/>
      <c r="DZ32" s="70"/>
      <c r="EA32" s="70"/>
      <c r="EB32" s="70"/>
      <c r="EC32" s="70"/>
      <c r="ED32" s="70"/>
      <c r="EE32" s="70"/>
      <c r="EF32" s="70"/>
      <c r="EG32" s="70"/>
      <c r="EH32" s="70"/>
      <c r="EI32" s="70"/>
      <c r="EJ32" s="70"/>
      <c r="EK32" s="70"/>
      <c r="EL32" s="70"/>
      <c r="EM32" s="70"/>
      <c r="EN32" s="70"/>
      <c r="EO32" s="70"/>
      <c r="EP32" s="70"/>
      <c r="EQ32" s="70"/>
      <c r="ER32" s="70"/>
      <c r="ES32" s="70"/>
      <c r="ET32" s="70"/>
      <c r="EU32" s="70"/>
      <c r="EV32" s="70"/>
      <c r="EW32" s="70"/>
      <c r="EX32" s="70"/>
      <c r="EY32" s="70"/>
      <c r="EZ32" s="70"/>
      <c r="FA32" s="70"/>
      <c r="FB32" s="70"/>
      <c r="FC32" s="70"/>
      <c r="FD32" s="70"/>
      <c r="FE32" s="70"/>
      <c r="FF32" s="70"/>
      <c r="FG32" s="70"/>
      <c r="FH32" s="70"/>
      <c r="FI32" s="70"/>
      <c r="FJ32" s="70"/>
      <c r="FK32" s="70"/>
      <c r="FL32" s="70"/>
      <c r="FM32" s="70"/>
      <c r="FN32" s="70"/>
      <c r="FO32" s="70"/>
      <c r="FP32" s="70"/>
      <c r="FQ32" s="70"/>
      <c r="FR32" s="70"/>
      <c r="FS32" s="70"/>
      <c r="FT32" s="70"/>
      <c r="FU32" s="70"/>
      <c r="FV32" s="70"/>
      <c r="FW32" s="70"/>
      <c r="FX32" s="70"/>
      <c r="FY32" s="70"/>
      <c r="FZ32" s="70"/>
      <c r="GA32" s="70"/>
      <c r="GB32" s="70"/>
      <c r="GC32" s="70"/>
      <c r="GD32" s="70"/>
      <c r="GE32" s="70"/>
      <c r="GF32" s="70"/>
      <c r="GG32" s="70"/>
      <c r="GH32" s="70"/>
      <c r="GI32" s="70"/>
      <c r="GJ32" s="70"/>
      <c r="GK32" s="70"/>
      <c r="GL32" s="70"/>
      <c r="GM32" s="70"/>
      <c r="GN32" s="70"/>
      <c r="GO32" s="70"/>
      <c r="GP32" s="70"/>
      <c r="GQ32" s="70"/>
      <c r="GR32" s="70"/>
      <c r="GS32" s="70"/>
      <c r="GT32" s="70"/>
      <c r="GU32" s="70"/>
      <c r="GV32" s="70"/>
      <c r="GW32" s="70"/>
      <c r="GX32" s="70"/>
      <c r="GY32" s="70"/>
      <c r="GZ32" s="70"/>
      <c r="HA32" s="70"/>
      <c r="HB32" s="70"/>
      <c r="HC32" s="70"/>
      <c r="HD32" s="70"/>
      <c r="HE32" s="70"/>
      <c r="HF32" s="70"/>
      <c r="HG32" s="70"/>
      <c r="HH32" s="70"/>
      <c r="HI32" s="70"/>
      <c r="HJ32" s="70"/>
      <c r="HK32" s="70"/>
      <c r="HL32" s="70"/>
      <c r="HM32" s="70"/>
      <c r="HN32" s="70"/>
      <c r="HO32" s="70"/>
      <c r="HP32" s="70"/>
      <c r="HQ32" s="70"/>
      <c r="HR32" s="70"/>
      <c r="HS32" s="70"/>
      <c r="HT32" s="70"/>
      <c r="HU32" s="70"/>
      <c r="HV32" s="70"/>
      <c r="HW32" s="70"/>
      <c r="HX32" s="70"/>
      <c r="HY32" s="70"/>
      <c r="HZ32" s="70"/>
      <c r="IA32" s="70"/>
      <c r="IB32" s="70"/>
      <c r="IC32" s="70"/>
      <c r="ID32" s="70"/>
      <c r="IE32" s="70"/>
      <c r="IF32" s="70"/>
      <c r="IG32" s="70"/>
      <c r="IH32" s="70"/>
      <c r="II32" s="70"/>
      <c r="IJ32" s="70"/>
      <c r="IK32" s="70"/>
      <c r="IL32" s="70"/>
      <c r="IM32" s="70"/>
      <c r="IN32" s="70"/>
      <c r="IO32" s="70"/>
      <c r="IP32" s="70"/>
      <c r="IQ32" s="70"/>
      <c r="IR32" s="70"/>
      <c r="IS32" s="70"/>
      <c r="IT32" s="70"/>
      <c r="IU32" s="70"/>
    </row>
    <row r="33" spans="1:255" s="51" customFormat="1" ht="15.75" x14ac:dyDescent="0.25">
      <c r="A33" s="71"/>
      <c r="B33" s="18"/>
      <c r="C33" s="127"/>
      <c r="D33" s="115"/>
      <c r="E33" s="115"/>
      <c r="F33" s="115"/>
      <c r="G33" s="115"/>
      <c r="H33" s="115"/>
      <c r="I33" s="115"/>
      <c r="J33" s="37"/>
      <c r="K33" s="37"/>
      <c r="L33" s="37"/>
      <c r="M33" s="126"/>
      <c r="N33" s="126"/>
      <c r="O33" s="126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Q33" s="126"/>
      <c r="AR33" s="126"/>
      <c r="AS33" s="126"/>
      <c r="AT33" s="126"/>
      <c r="AU33" s="126"/>
      <c r="AV33" s="126"/>
      <c r="AW33" s="126"/>
      <c r="AX33" s="126"/>
      <c r="AY33" s="126"/>
      <c r="AZ33" s="126"/>
      <c r="BA33" s="126"/>
      <c r="BB33" s="126"/>
      <c r="BC33" s="126"/>
      <c r="BD33" s="126"/>
      <c r="BE33" s="126"/>
      <c r="BF33" s="126"/>
      <c r="BG33" s="126"/>
      <c r="BH33" s="126"/>
      <c r="BI33" s="126"/>
      <c r="BJ33" s="126"/>
      <c r="BK33" s="126"/>
      <c r="BL33" s="125"/>
      <c r="BM33" s="125"/>
      <c r="BN33" s="125"/>
      <c r="BO33" s="125"/>
      <c r="BP33" s="125"/>
      <c r="BQ33" s="125"/>
      <c r="BR33" s="125"/>
      <c r="BS33" s="125"/>
      <c r="BT33" s="125"/>
      <c r="BU33" s="124"/>
      <c r="BV33" s="68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Q33" s="70"/>
      <c r="CR33" s="70"/>
      <c r="CS33" s="70"/>
      <c r="CT33" s="70"/>
      <c r="CU33" s="70"/>
      <c r="CV33" s="70"/>
      <c r="CW33" s="70"/>
      <c r="CX33" s="70"/>
      <c r="CY33" s="70"/>
      <c r="CZ33" s="70"/>
      <c r="DA33" s="70"/>
      <c r="DB33" s="70"/>
      <c r="DC33" s="70"/>
      <c r="DD33" s="70"/>
      <c r="DE33" s="70"/>
      <c r="DF33" s="70"/>
      <c r="DG33" s="70"/>
      <c r="DH33" s="70"/>
      <c r="DI33" s="70"/>
      <c r="DJ33" s="70"/>
      <c r="DK33" s="70"/>
      <c r="DL33" s="70"/>
      <c r="DM33" s="70"/>
      <c r="DN33" s="70"/>
      <c r="DO33" s="70"/>
      <c r="DP33" s="70"/>
      <c r="DQ33" s="70"/>
      <c r="DR33" s="70"/>
      <c r="DS33" s="70"/>
      <c r="DT33" s="70"/>
      <c r="DU33" s="70"/>
      <c r="DV33" s="70"/>
      <c r="DW33" s="70"/>
      <c r="DX33" s="70"/>
      <c r="DY33" s="70"/>
      <c r="DZ33" s="70"/>
      <c r="EA33" s="70"/>
      <c r="EB33" s="70"/>
      <c r="EC33" s="70"/>
      <c r="ED33" s="70"/>
      <c r="EE33" s="70"/>
      <c r="EF33" s="70"/>
      <c r="EG33" s="70"/>
      <c r="EH33" s="70"/>
      <c r="EI33" s="70"/>
      <c r="EJ33" s="70"/>
      <c r="EK33" s="70"/>
      <c r="EL33" s="70"/>
      <c r="EM33" s="70"/>
      <c r="EN33" s="70"/>
      <c r="EO33" s="70"/>
      <c r="EP33" s="70"/>
      <c r="EQ33" s="70"/>
      <c r="ER33" s="70"/>
      <c r="ES33" s="70"/>
      <c r="ET33" s="70"/>
      <c r="EU33" s="70"/>
      <c r="EV33" s="70"/>
      <c r="EW33" s="70"/>
      <c r="EX33" s="70"/>
      <c r="EY33" s="70"/>
      <c r="EZ33" s="70"/>
      <c r="FA33" s="70"/>
      <c r="FB33" s="70"/>
      <c r="FC33" s="70"/>
      <c r="FD33" s="70"/>
      <c r="FE33" s="70"/>
      <c r="FF33" s="70"/>
      <c r="FG33" s="70"/>
      <c r="FH33" s="70"/>
      <c r="FI33" s="70"/>
      <c r="FJ33" s="70"/>
      <c r="FK33" s="70"/>
      <c r="FL33" s="70"/>
      <c r="FM33" s="70"/>
      <c r="FN33" s="70"/>
      <c r="FO33" s="70"/>
      <c r="FP33" s="70"/>
      <c r="FQ33" s="70"/>
      <c r="FR33" s="70"/>
      <c r="FS33" s="70"/>
      <c r="FT33" s="70"/>
      <c r="FU33" s="70"/>
      <c r="FV33" s="70"/>
      <c r="FW33" s="70"/>
      <c r="FX33" s="70"/>
      <c r="FY33" s="70"/>
      <c r="FZ33" s="70"/>
      <c r="GA33" s="70"/>
      <c r="GB33" s="70"/>
      <c r="GC33" s="70"/>
      <c r="GD33" s="70"/>
      <c r="GE33" s="70"/>
      <c r="GF33" s="70"/>
      <c r="GG33" s="70"/>
      <c r="GH33" s="70"/>
      <c r="GI33" s="70"/>
      <c r="GJ33" s="70"/>
      <c r="GK33" s="70"/>
      <c r="GL33" s="70"/>
      <c r="GM33" s="70"/>
      <c r="GN33" s="70"/>
      <c r="GO33" s="70"/>
      <c r="GP33" s="70"/>
      <c r="GQ33" s="70"/>
      <c r="GR33" s="70"/>
      <c r="GS33" s="70"/>
      <c r="GT33" s="70"/>
      <c r="GU33" s="70"/>
      <c r="GV33" s="70"/>
      <c r="GW33" s="70"/>
      <c r="GX33" s="70"/>
      <c r="GY33" s="70"/>
      <c r="GZ33" s="70"/>
      <c r="HA33" s="70"/>
      <c r="HB33" s="70"/>
      <c r="HC33" s="70"/>
      <c r="HD33" s="70"/>
      <c r="HE33" s="70"/>
      <c r="HF33" s="70"/>
      <c r="HG33" s="70"/>
      <c r="HH33" s="70"/>
      <c r="HI33" s="70"/>
      <c r="HJ33" s="70"/>
      <c r="HK33" s="70"/>
      <c r="HL33" s="70"/>
      <c r="HM33" s="70"/>
      <c r="HN33" s="70"/>
      <c r="HO33" s="70"/>
      <c r="HP33" s="70"/>
      <c r="HQ33" s="70"/>
      <c r="HR33" s="70"/>
      <c r="HS33" s="70"/>
      <c r="HT33" s="70"/>
      <c r="HU33" s="70"/>
      <c r="HV33" s="70"/>
      <c r="HW33" s="70"/>
      <c r="HX33" s="70"/>
      <c r="HY33" s="70"/>
      <c r="HZ33" s="70"/>
      <c r="IA33" s="70"/>
      <c r="IB33" s="70"/>
      <c r="IC33" s="70"/>
      <c r="ID33" s="70"/>
      <c r="IE33" s="70"/>
      <c r="IF33" s="70"/>
      <c r="IG33" s="70"/>
      <c r="IH33" s="70"/>
      <c r="II33" s="70"/>
      <c r="IJ33" s="70"/>
      <c r="IK33" s="70"/>
      <c r="IL33" s="70"/>
      <c r="IM33" s="70"/>
      <c r="IN33" s="70"/>
      <c r="IO33" s="70"/>
      <c r="IP33" s="70"/>
      <c r="IQ33" s="70"/>
      <c r="IR33" s="70"/>
      <c r="IS33" s="70"/>
      <c r="IT33" s="70"/>
      <c r="IU33" s="70"/>
    </row>
    <row r="34" spans="1:255" s="51" customFormat="1" x14ac:dyDescent="0.25">
      <c r="A34" s="71"/>
      <c r="B34" s="18"/>
      <c r="C34" s="308" t="s">
        <v>9</v>
      </c>
      <c r="D34" s="309"/>
      <c r="E34" s="309"/>
      <c r="F34" s="309"/>
      <c r="G34" s="309"/>
      <c r="J34" s="2"/>
      <c r="K34" s="2"/>
      <c r="L34" s="271" t="s">
        <v>8</v>
      </c>
      <c r="M34" s="123"/>
      <c r="N34" s="123"/>
      <c r="O34" s="123"/>
      <c r="P34" s="123"/>
      <c r="Q34" s="123"/>
      <c r="R34" s="123"/>
      <c r="S34" s="123"/>
      <c r="T34" s="123"/>
      <c r="U34" s="123"/>
      <c r="V34" s="2"/>
      <c r="W34" s="2"/>
      <c r="X34" s="2"/>
      <c r="Y34" s="2"/>
      <c r="Z34" s="2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P34" s="309" t="s">
        <v>7</v>
      </c>
      <c r="BQ34" s="309"/>
      <c r="BR34" s="309"/>
      <c r="BS34" s="309"/>
      <c r="BT34" s="309"/>
      <c r="BU34" s="19"/>
      <c r="BV34" s="68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Q34" s="70"/>
      <c r="CR34" s="70"/>
      <c r="CS34" s="70"/>
      <c r="CT34" s="70"/>
      <c r="CU34" s="70"/>
      <c r="CV34" s="70"/>
      <c r="CW34" s="70"/>
      <c r="CX34" s="70"/>
      <c r="CY34" s="70"/>
      <c r="CZ34" s="70"/>
      <c r="DA34" s="70"/>
      <c r="DB34" s="70"/>
      <c r="DC34" s="70"/>
      <c r="DD34" s="70"/>
      <c r="DE34" s="70"/>
      <c r="DF34" s="70"/>
      <c r="DG34" s="70"/>
      <c r="DH34" s="70"/>
      <c r="DI34" s="70"/>
      <c r="DJ34" s="70"/>
      <c r="DK34" s="70"/>
      <c r="DL34" s="70"/>
      <c r="DM34" s="70"/>
      <c r="DN34" s="70"/>
      <c r="DO34" s="70"/>
      <c r="DP34" s="70"/>
      <c r="DQ34" s="70"/>
      <c r="DR34" s="70"/>
      <c r="DS34" s="70"/>
      <c r="DT34" s="70"/>
      <c r="DU34" s="70"/>
      <c r="DV34" s="70"/>
      <c r="DW34" s="70"/>
      <c r="DX34" s="70"/>
      <c r="DY34" s="70"/>
      <c r="DZ34" s="70"/>
      <c r="EA34" s="70"/>
      <c r="EB34" s="70"/>
      <c r="EC34" s="70"/>
      <c r="ED34" s="70"/>
      <c r="EE34" s="70"/>
      <c r="EF34" s="70"/>
      <c r="EG34" s="70"/>
      <c r="EH34" s="70"/>
      <c r="EI34" s="70"/>
      <c r="EJ34" s="70"/>
      <c r="EK34" s="70"/>
      <c r="EL34" s="70"/>
      <c r="EM34" s="70"/>
      <c r="EN34" s="70"/>
      <c r="EO34" s="70"/>
      <c r="EP34" s="70"/>
      <c r="EQ34" s="70"/>
      <c r="ER34" s="70"/>
      <c r="ES34" s="70"/>
      <c r="ET34" s="70"/>
      <c r="EU34" s="70"/>
      <c r="EV34" s="70"/>
      <c r="EW34" s="70"/>
      <c r="EX34" s="70"/>
      <c r="EY34" s="70"/>
      <c r="EZ34" s="70"/>
      <c r="FA34" s="70"/>
      <c r="FB34" s="70"/>
      <c r="FC34" s="70"/>
      <c r="FD34" s="70"/>
      <c r="FE34" s="70"/>
      <c r="FF34" s="70"/>
      <c r="FG34" s="70"/>
      <c r="FH34" s="70"/>
      <c r="FI34" s="70"/>
      <c r="FJ34" s="70"/>
      <c r="FK34" s="70"/>
      <c r="FL34" s="70"/>
      <c r="FM34" s="70"/>
      <c r="FN34" s="70"/>
      <c r="FO34" s="70"/>
      <c r="FP34" s="70"/>
      <c r="FQ34" s="70"/>
      <c r="FR34" s="70"/>
      <c r="FS34" s="70"/>
      <c r="FT34" s="70"/>
      <c r="FU34" s="70"/>
      <c r="FV34" s="70"/>
      <c r="FW34" s="70"/>
      <c r="FX34" s="70"/>
      <c r="FY34" s="70"/>
      <c r="FZ34" s="70"/>
      <c r="GA34" s="70"/>
      <c r="GB34" s="70"/>
      <c r="GC34" s="70"/>
      <c r="GD34" s="70"/>
      <c r="GE34" s="70"/>
      <c r="GF34" s="70"/>
      <c r="GG34" s="70"/>
      <c r="GH34" s="70"/>
      <c r="GI34" s="70"/>
      <c r="GJ34" s="70"/>
      <c r="GK34" s="70"/>
      <c r="GL34" s="70"/>
      <c r="GM34" s="70"/>
      <c r="GN34" s="70"/>
      <c r="GO34" s="70"/>
      <c r="GP34" s="70"/>
      <c r="GQ34" s="70"/>
      <c r="GR34" s="70"/>
      <c r="GS34" s="70"/>
      <c r="GT34" s="70"/>
      <c r="GU34" s="70"/>
      <c r="GV34" s="70"/>
      <c r="GW34" s="70"/>
      <c r="GX34" s="70"/>
      <c r="GY34" s="70"/>
      <c r="GZ34" s="70"/>
      <c r="HA34" s="70"/>
      <c r="HB34" s="70"/>
      <c r="HC34" s="70"/>
      <c r="HD34" s="70"/>
      <c r="HE34" s="70"/>
      <c r="HF34" s="70"/>
      <c r="HG34" s="70"/>
      <c r="HH34" s="70"/>
      <c r="HI34" s="70"/>
      <c r="HJ34" s="70"/>
      <c r="HK34" s="70"/>
      <c r="HL34" s="70"/>
      <c r="HM34" s="70"/>
      <c r="HN34" s="70"/>
      <c r="HO34" s="70"/>
      <c r="HP34" s="70"/>
      <c r="HQ34" s="70"/>
      <c r="HR34" s="70"/>
      <c r="HS34" s="70"/>
      <c r="HT34" s="70"/>
      <c r="HU34" s="70"/>
      <c r="HV34" s="70"/>
      <c r="HW34" s="70"/>
      <c r="HX34" s="70"/>
      <c r="HY34" s="70"/>
      <c r="HZ34" s="70"/>
      <c r="IA34" s="70"/>
      <c r="IB34" s="70"/>
      <c r="IC34" s="70"/>
      <c r="ID34" s="70"/>
      <c r="IE34" s="70"/>
      <c r="IF34" s="70"/>
      <c r="IG34" s="70"/>
      <c r="IH34" s="70"/>
      <c r="II34" s="70"/>
      <c r="IJ34" s="70"/>
      <c r="IK34" s="70"/>
      <c r="IL34" s="70"/>
      <c r="IM34" s="70"/>
      <c r="IN34" s="70"/>
      <c r="IO34" s="70"/>
      <c r="IP34" s="70"/>
      <c r="IQ34" s="70"/>
      <c r="IR34" s="70"/>
      <c r="IS34" s="70"/>
      <c r="IT34" s="70"/>
      <c r="IU34" s="70"/>
    </row>
    <row r="35" spans="1:255" ht="15.75" customHeight="1" x14ac:dyDescent="0.25">
      <c r="B35" s="18"/>
      <c r="C35" s="302">
        <v>110</v>
      </c>
      <c r="D35" s="283"/>
      <c r="E35" s="283"/>
      <c r="F35" s="283"/>
      <c r="G35" s="283"/>
      <c r="N35" s="123"/>
      <c r="O35" s="123"/>
      <c r="P35" s="303">
        <f>600</f>
        <v>600</v>
      </c>
      <c r="Q35" s="304"/>
      <c r="R35" s="305"/>
      <c r="S35" s="123"/>
      <c r="T35" s="123"/>
      <c r="U35" s="3"/>
      <c r="V35" s="287">
        <f>P35</f>
        <v>600</v>
      </c>
      <c r="W35" s="288"/>
      <c r="X35" s="289"/>
      <c r="Y35" s="3"/>
      <c r="Z35" s="3"/>
      <c r="AA35" s="3"/>
      <c r="AB35" s="287">
        <f>P35</f>
        <v>600</v>
      </c>
      <c r="AC35" s="288"/>
      <c r="AD35" s="289"/>
      <c r="AH35" s="287">
        <f>P35</f>
        <v>600</v>
      </c>
      <c r="AI35" s="288"/>
      <c r="AJ35" s="289"/>
      <c r="AN35" s="287">
        <f>P35</f>
        <v>600</v>
      </c>
      <c r="AO35" s="288"/>
      <c r="AP35" s="289"/>
      <c r="AT35" s="287">
        <f>P35</f>
        <v>600</v>
      </c>
      <c r="AU35" s="288"/>
      <c r="AV35" s="289"/>
      <c r="AZ35" s="287">
        <f>P35</f>
        <v>600</v>
      </c>
      <c r="BA35" s="288"/>
      <c r="BB35" s="289"/>
      <c r="BF35" s="287">
        <f>P35</f>
        <v>600</v>
      </c>
      <c r="BG35" s="288"/>
      <c r="BH35" s="289"/>
      <c r="BP35" s="306">
        <f>C35</f>
        <v>110</v>
      </c>
      <c r="BQ35" s="306"/>
      <c r="BR35" s="306"/>
      <c r="BS35" s="306"/>
      <c r="BT35" s="306"/>
      <c r="BU35" s="19"/>
      <c r="BV35" s="68"/>
    </row>
    <row r="36" spans="1:255" x14ac:dyDescent="0.25">
      <c r="B36" s="18"/>
      <c r="C36" s="20"/>
      <c r="M36" s="51"/>
      <c r="N36" s="51"/>
      <c r="O36" s="51"/>
      <c r="S36" s="51"/>
      <c r="T36" s="51"/>
      <c r="U36" s="3"/>
      <c r="V36" s="3"/>
      <c r="W36" s="3"/>
      <c r="X36" s="3"/>
      <c r="Y36" s="3"/>
      <c r="Z36" s="3"/>
      <c r="AA36" s="3"/>
      <c r="AB36" s="3"/>
      <c r="BQ36" s="51"/>
      <c r="BU36" s="19"/>
      <c r="BV36" s="31"/>
    </row>
    <row r="37" spans="1:255" s="51" customFormat="1" x14ac:dyDescent="0.25">
      <c r="A37" s="71"/>
      <c r="B37" s="18"/>
      <c r="C37" s="291"/>
      <c r="D37" s="292"/>
      <c r="E37" s="2"/>
      <c r="F37" s="2"/>
      <c r="G37" s="80"/>
      <c r="K37" s="119"/>
      <c r="L37" s="118"/>
      <c r="M37" s="117"/>
      <c r="N37" s="119"/>
      <c r="O37" s="118"/>
      <c r="P37" s="122"/>
      <c r="Q37" s="121"/>
      <c r="R37" s="120"/>
      <c r="S37" s="119"/>
      <c r="T37" s="118"/>
      <c r="U37" s="118"/>
      <c r="V37" s="122"/>
      <c r="W37" s="121"/>
      <c r="X37" s="120"/>
      <c r="Y37" s="119"/>
      <c r="Z37" s="118"/>
      <c r="AA37" s="118"/>
      <c r="AB37" s="122"/>
      <c r="AC37" s="121"/>
      <c r="AD37" s="120"/>
      <c r="AE37" s="119"/>
      <c r="AF37" s="118"/>
      <c r="AG37" s="118"/>
      <c r="AH37" s="122"/>
      <c r="AI37" s="121"/>
      <c r="AJ37" s="120"/>
      <c r="AK37" s="119"/>
      <c r="AL37" s="118"/>
      <c r="AM37" s="118"/>
      <c r="AN37" s="122"/>
      <c r="AO37" s="121"/>
      <c r="AP37" s="120"/>
      <c r="AQ37" s="119"/>
      <c r="AR37" s="118"/>
      <c r="AS37" s="118"/>
      <c r="AT37" s="122"/>
      <c r="AU37" s="121"/>
      <c r="AV37" s="120"/>
      <c r="AW37" s="119"/>
      <c r="AX37" s="118"/>
      <c r="AY37" s="118"/>
      <c r="AZ37" s="122"/>
      <c r="BA37" s="121"/>
      <c r="BB37" s="120"/>
      <c r="BC37" s="119"/>
      <c r="BD37" s="118"/>
      <c r="BE37" s="118"/>
      <c r="BF37" s="122"/>
      <c r="BG37" s="121"/>
      <c r="BH37" s="120"/>
      <c r="BI37" s="118"/>
      <c r="BJ37" s="117"/>
      <c r="BK37" s="119"/>
      <c r="BL37" s="118"/>
      <c r="BM37" s="117"/>
      <c r="BN37" s="3"/>
      <c r="BP37" s="293">
        <v>125</v>
      </c>
      <c r="BQ37" s="293"/>
      <c r="BR37" s="269"/>
      <c r="BU37" s="19"/>
      <c r="BV37" s="13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Q37" s="70"/>
      <c r="CR37" s="70"/>
      <c r="CS37" s="70"/>
      <c r="CT37" s="70"/>
      <c r="CU37" s="70"/>
      <c r="CV37" s="70"/>
      <c r="CW37" s="70"/>
      <c r="CX37" s="70"/>
      <c r="CY37" s="70"/>
      <c r="CZ37" s="70"/>
      <c r="DA37" s="70"/>
      <c r="DB37" s="70"/>
      <c r="DC37" s="70"/>
      <c r="DD37" s="70"/>
      <c r="DE37" s="70"/>
      <c r="DF37" s="70"/>
      <c r="DG37" s="70"/>
      <c r="DH37" s="70"/>
      <c r="DI37" s="70"/>
      <c r="DJ37" s="70"/>
      <c r="DK37" s="70"/>
      <c r="DL37" s="70"/>
      <c r="DM37" s="70"/>
      <c r="DN37" s="70"/>
      <c r="DO37" s="70"/>
      <c r="DP37" s="70"/>
      <c r="DQ37" s="70"/>
      <c r="DR37" s="70"/>
      <c r="DS37" s="70"/>
      <c r="DT37" s="70"/>
      <c r="DU37" s="70"/>
      <c r="DV37" s="70"/>
      <c r="DW37" s="70"/>
      <c r="DX37" s="70"/>
      <c r="DY37" s="70"/>
      <c r="DZ37" s="70"/>
      <c r="EA37" s="70"/>
      <c r="EB37" s="70"/>
      <c r="EC37" s="70"/>
      <c r="ED37" s="70"/>
      <c r="EE37" s="70"/>
      <c r="EF37" s="70"/>
      <c r="EG37" s="70"/>
      <c r="EH37" s="70"/>
      <c r="EI37" s="70"/>
      <c r="EJ37" s="70"/>
      <c r="EK37" s="70"/>
      <c r="EL37" s="70"/>
      <c r="EM37" s="70"/>
      <c r="EN37" s="70"/>
      <c r="EO37" s="70"/>
      <c r="EP37" s="70"/>
      <c r="EQ37" s="70"/>
      <c r="ER37" s="70"/>
      <c r="ES37" s="70"/>
      <c r="ET37" s="70"/>
      <c r="EU37" s="70"/>
      <c r="EV37" s="70"/>
      <c r="EW37" s="70"/>
      <c r="EX37" s="70"/>
      <c r="EY37" s="70"/>
      <c r="EZ37" s="70"/>
      <c r="FA37" s="70"/>
      <c r="FB37" s="70"/>
      <c r="FC37" s="70"/>
      <c r="FD37" s="70"/>
      <c r="FE37" s="70"/>
      <c r="FF37" s="70"/>
      <c r="FG37" s="70"/>
      <c r="FH37" s="70"/>
      <c r="FI37" s="70"/>
      <c r="FJ37" s="70"/>
      <c r="FK37" s="70"/>
      <c r="FL37" s="70"/>
      <c r="FM37" s="70"/>
      <c r="FN37" s="70"/>
      <c r="FO37" s="70"/>
      <c r="FP37" s="70"/>
      <c r="FQ37" s="70"/>
      <c r="FR37" s="70"/>
      <c r="FS37" s="70"/>
      <c r="FT37" s="70"/>
      <c r="FU37" s="70"/>
      <c r="FV37" s="70"/>
      <c r="FW37" s="70"/>
      <c r="FX37" s="70"/>
      <c r="FY37" s="70"/>
      <c r="FZ37" s="70"/>
      <c r="GA37" s="70"/>
      <c r="GB37" s="70"/>
      <c r="GC37" s="70"/>
      <c r="GD37" s="70"/>
      <c r="GE37" s="70"/>
      <c r="GF37" s="70"/>
      <c r="GG37" s="70"/>
      <c r="GH37" s="70"/>
      <c r="GI37" s="70"/>
      <c r="GJ37" s="70"/>
      <c r="GK37" s="70"/>
      <c r="GL37" s="70"/>
      <c r="GM37" s="70"/>
      <c r="GN37" s="70"/>
      <c r="GO37" s="70"/>
      <c r="GP37" s="70"/>
      <c r="GQ37" s="70"/>
      <c r="GR37" s="70"/>
      <c r="GS37" s="70"/>
      <c r="GT37" s="70"/>
      <c r="GU37" s="70"/>
      <c r="GV37" s="70"/>
      <c r="GW37" s="70"/>
      <c r="GX37" s="70"/>
      <c r="GY37" s="70"/>
      <c r="GZ37" s="70"/>
      <c r="HA37" s="70"/>
      <c r="HB37" s="70"/>
      <c r="HC37" s="70"/>
      <c r="HD37" s="70"/>
      <c r="HE37" s="70"/>
      <c r="HF37" s="70"/>
      <c r="HG37" s="70"/>
      <c r="HH37" s="70"/>
      <c r="HI37" s="70"/>
      <c r="HJ37" s="70"/>
      <c r="HK37" s="70"/>
      <c r="HL37" s="70"/>
      <c r="HM37" s="70"/>
      <c r="HN37" s="70"/>
      <c r="HO37" s="70"/>
      <c r="HP37" s="70"/>
      <c r="HQ37" s="70"/>
      <c r="HR37" s="70"/>
      <c r="HS37" s="70"/>
      <c r="HT37" s="70"/>
      <c r="HU37" s="70"/>
      <c r="HV37" s="70"/>
      <c r="HW37" s="70"/>
      <c r="HX37" s="70"/>
      <c r="HY37" s="70"/>
      <c r="HZ37" s="70"/>
      <c r="IA37" s="70"/>
      <c r="IB37" s="70"/>
      <c r="IC37" s="70"/>
      <c r="ID37" s="70"/>
      <c r="IE37" s="70"/>
      <c r="IF37" s="70"/>
      <c r="IG37" s="70"/>
      <c r="IH37" s="70"/>
      <c r="II37" s="70"/>
      <c r="IJ37" s="70"/>
      <c r="IK37" s="70"/>
      <c r="IL37" s="70"/>
      <c r="IM37" s="70"/>
      <c r="IN37" s="70"/>
      <c r="IO37" s="70"/>
      <c r="IP37" s="70"/>
      <c r="IQ37" s="70"/>
      <c r="IR37" s="70"/>
      <c r="IS37" s="70"/>
      <c r="IT37" s="70"/>
      <c r="IU37" s="70"/>
    </row>
    <row r="38" spans="1:255" s="51" customFormat="1" ht="15" customHeight="1" x14ac:dyDescent="0.25">
      <c r="A38" s="71"/>
      <c r="B38" s="18"/>
      <c r="C38" s="20"/>
      <c r="D38" s="2"/>
      <c r="E38" s="2"/>
      <c r="F38" s="2"/>
      <c r="G38" s="281">
        <v>450</v>
      </c>
      <c r="K38" s="102"/>
      <c r="N38" s="102"/>
      <c r="T38" s="116"/>
      <c r="W38" s="38"/>
      <c r="X38" s="38"/>
      <c r="Y38" s="87"/>
      <c r="Z38" s="39"/>
      <c r="AA38" s="2"/>
      <c r="AC38" s="3"/>
      <c r="AD38" s="3"/>
      <c r="AE38" s="87"/>
      <c r="AF38" s="39"/>
      <c r="AG38" s="3"/>
      <c r="AH38" s="3"/>
      <c r="AI38" s="3"/>
      <c r="AJ38" s="3"/>
      <c r="AK38" s="87"/>
      <c r="AL38" s="39"/>
      <c r="AM38" s="3"/>
      <c r="AN38" s="3"/>
      <c r="AO38" s="3"/>
      <c r="AP38" s="3"/>
      <c r="AQ38" s="87"/>
      <c r="AR38" s="39"/>
      <c r="AS38" s="3"/>
      <c r="AT38" s="3"/>
      <c r="AU38" s="3"/>
      <c r="AV38" s="3"/>
      <c r="AW38" s="87"/>
      <c r="AX38" s="39"/>
      <c r="AY38" s="3"/>
      <c r="AZ38" s="3"/>
      <c r="BA38" s="3"/>
      <c r="BB38" s="3"/>
      <c r="BC38" s="87"/>
      <c r="BD38" s="39"/>
      <c r="BE38" s="3"/>
      <c r="BF38" s="3"/>
      <c r="BG38" s="3"/>
      <c r="BH38" s="3"/>
      <c r="BI38" s="87"/>
      <c r="BJ38" s="39"/>
      <c r="BK38" s="3"/>
      <c r="BM38" s="102"/>
      <c r="BR38" s="33"/>
      <c r="BS38" s="115"/>
      <c r="BT38" s="115"/>
      <c r="BU38" s="19"/>
      <c r="BV38" s="68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Q38" s="70"/>
      <c r="CR38" s="70"/>
      <c r="CS38" s="70"/>
      <c r="CT38" s="70"/>
      <c r="CU38" s="70"/>
      <c r="CV38" s="70"/>
      <c r="CW38" s="70"/>
      <c r="CX38" s="70"/>
      <c r="CY38" s="70"/>
      <c r="CZ38" s="70"/>
      <c r="DA38" s="70"/>
      <c r="DB38" s="70"/>
      <c r="DC38" s="70"/>
      <c r="DD38" s="70"/>
      <c r="DE38" s="70"/>
      <c r="DF38" s="70"/>
      <c r="DG38" s="70"/>
      <c r="DH38" s="70"/>
      <c r="DI38" s="70"/>
      <c r="DJ38" s="70"/>
      <c r="DK38" s="70"/>
      <c r="DL38" s="70"/>
      <c r="DM38" s="70"/>
      <c r="DN38" s="70"/>
      <c r="DO38" s="70"/>
      <c r="DP38" s="70"/>
      <c r="DQ38" s="70"/>
      <c r="DR38" s="70"/>
      <c r="DS38" s="70"/>
      <c r="DT38" s="70"/>
      <c r="DU38" s="70"/>
      <c r="DV38" s="70"/>
      <c r="DW38" s="70"/>
      <c r="DX38" s="70"/>
      <c r="DY38" s="70"/>
      <c r="DZ38" s="70"/>
      <c r="EA38" s="70"/>
      <c r="EB38" s="70"/>
      <c r="EC38" s="70"/>
      <c r="ED38" s="70"/>
      <c r="EE38" s="70"/>
      <c r="EF38" s="70"/>
      <c r="EG38" s="70"/>
      <c r="EH38" s="70"/>
      <c r="EI38" s="70"/>
      <c r="EJ38" s="70"/>
      <c r="EK38" s="70"/>
      <c r="EL38" s="70"/>
      <c r="EM38" s="70"/>
      <c r="EN38" s="70"/>
      <c r="EO38" s="70"/>
      <c r="EP38" s="70"/>
      <c r="EQ38" s="70"/>
      <c r="ER38" s="70"/>
      <c r="ES38" s="70"/>
      <c r="ET38" s="70"/>
      <c r="EU38" s="70"/>
      <c r="EV38" s="70"/>
      <c r="EW38" s="70"/>
      <c r="EX38" s="70"/>
      <c r="EY38" s="70"/>
      <c r="EZ38" s="70"/>
      <c r="FA38" s="70"/>
      <c r="FB38" s="70"/>
      <c r="FC38" s="70"/>
      <c r="FD38" s="70"/>
      <c r="FE38" s="70"/>
      <c r="FF38" s="70"/>
      <c r="FG38" s="70"/>
      <c r="FH38" s="70"/>
      <c r="FI38" s="70"/>
      <c r="FJ38" s="70"/>
      <c r="FK38" s="70"/>
      <c r="FL38" s="70"/>
      <c r="FM38" s="70"/>
      <c r="FN38" s="70"/>
      <c r="FO38" s="70"/>
      <c r="FP38" s="70"/>
      <c r="FQ38" s="70"/>
      <c r="FR38" s="70"/>
      <c r="FS38" s="70"/>
      <c r="FT38" s="70"/>
      <c r="FU38" s="70"/>
      <c r="FV38" s="70"/>
      <c r="FW38" s="70"/>
      <c r="FX38" s="70"/>
      <c r="FY38" s="70"/>
      <c r="FZ38" s="70"/>
      <c r="GA38" s="70"/>
      <c r="GB38" s="70"/>
      <c r="GC38" s="70"/>
      <c r="GD38" s="70"/>
      <c r="GE38" s="70"/>
      <c r="GF38" s="70"/>
      <c r="GG38" s="70"/>
      <c r="GH38" s="70"/>
      <c r="GI38" s="70"/>
      <c r="GJ38" s="70"/>
      <c r="GK38" s="70"/>
      <c r="GL38" s="70"/>
      <c r="GM38" s="70"/>
      <c r="GN38" s="70"/>
      <c r="GO38" s="70"/>
      <c r="GP38" s="70"/>
      <c r="GQ38" s="70"/>
      <c r="GR38" s="70"/>
      <c r="GS38" s="70"/>
      <c r="GT38" s="70"/>
      <c r="GU38" s="70"/>
      <c r="GV38" s="70"/>
      <c r="GW38" s="70"/>
      <c r="GX38" s="70"/>
      <c r="GY38" s="70"/>
      <c r="GZ38" s="70"/>
      <c r="HA38" s="70"/>
      <c r="HB38" s="70"/>
      <c r="HC38" s="70"/>
      <c r="HD38" s="70"/>
      <c r="HE38" s="70"/>
      <c r="HF38" s="70"/>
      <c r="HG38" s="70"/>
      <c r="HH38" s="70"/>
      <c r="HI38" s="70"/>
      <c r="HJ38" s="70"/>
      <c r="HK38" s="70"/>
      <c r="HL38" s="70"/>
      <c r="HM38" s="70"/>
      <c r="HN38" s="70"/>
      <c r="HO38" s="70"/>
      <c r="HP38" s="70"/>
      <c r="HQ38" s="70"/>
      <c r="HR38" s="70"/>
      <c r="HS38" s="70"/>
      <c r="HT38" s="70"/>
      <c r="HU38" s="70"/>
      <c r="HV38" s="70"/>
      <c r="HW38" s="70"/>
      <c r="HX38" s="70"/>
      <c r="HY38" s="70"/>
      <c r="HZ38" s="70"/>
      <c r="IA38" s="70"/>
      <c r="IB38" s="70"/>
      <c r="IC38" s="70"/>
      <c r="ID38" s="70"/>
      <c r="IE38" s="70"/>
      <c r="IF38" s="70"/>
      <c r="IG38" s="70"/>
      <c r="IH38" s="70"/>
      <c r="II38" s="70"/>
      <c r="IJ38" s="70"/>
      <c r="IK38" s="70"/>
      <c r="IL38" s="70"/>
      <c r="IM38" s="70"/>
      <c r="IN38" s="70"/>
      <c r="IO38" s="70"/>
      <c r="IP38" s="70"/>
      <c r="IQ38" s="70"/>
      <c r="IR38" s="70"/>
      <c r="IS38" s="70"/>
      <c r="IT38" s="70"/>
      <c r="IU38" s="70"/>
    </row>
    <row r="39" spans="1:255" s="51" customFormat="1" ht="15.75" customHeight="1" thickBot="1" x14ac:dyDescent="0.3">
      <c r="A39" s="71"/>
      <c r="B39" s="18"/>
      <c r="C39" s="20"/>
      <c r="D39" s="2"/>
      <c r="G39" s="281"/>
      <c r="I39" s="88"/>
      <c r="J39" s="114"/>
      <c r="K39" s="89"/>
      <c r="L39" s="113"/>
      <c r="M39" s="112"/>
      <c r="N39" s="111"/>
      <c r="O39" s="103"/>
      <c r="T39" s="102"/>
      <c r="W39" s="282">
        <v>300</v>
      </c>
      <c r="X39" s="38"/>
      <c r="Z39" s="102"/>
      <c r="AA39" s="2"/>
      <c r="AC39" s="3"/>
      <c r="AD39" s="3"/>
      <c r="AF39" s="102"/>
      <c r="AG39" s="3"/>
      <c r="AH39" s="3"/>
      <c r="AI39" s="3"/>
      <c r="AJ39" s="3"/>
      <c r="AL39" s="102"/>
      <c r="AM39" s="3"/>
      <c r="AN39" s="3"/>
      <c r="AO39" s="3"/>
      <c r="AP39" s="3"/>
      <c r="AR39" s="102"/>
      <c r="AS39" s="3"/>
      <c r="AT39" s="3"/>
      <c r="AU39" s="3"/>
      <c r="AV39" s="3"/>
      <c r="AX39" s="102"/>
      <c r="AY39" s="3"/>
      <c r="AZ39" s="3"/>
      <c r="BA39" s="3"/>
      <c r="BB39" s="3"/>
      <c r="BD39" s="102"/>
      <c r="BE39" s="3"/>
      <c r="BF39" s="3"/>
      <c r="BG39" s="3"/>
      <c r="BH39" s="3"/>
      <c r="BJ39" s="102"/>
      <c r="BK39" s="3"/>
      <c r="BM39" s="102"/>
      <c r="BR39" s="281">
        <v>575</v>
      </c>
      <c r="BU39" s="19"/>
      <c r="BV39" s="68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Q39" s="70"/>
      <c r="CR39" s="70"/>
      <c r="CS39" s="70"/>
      <c r="CT39" s="70"/>
      <c r="CU39" s="70"/>
      <c r="CV39" s="70"/>
      <c r="CW39" s="70"/>
      <c r="CX39" s="70"/>
      <c r="CY39" s="70"/>
      <c r="CZ39" s="70"/>
      <c r="DA39" s="70"/>
      <c r="DB39" s="70"/>
      <c r="DC39" s="70"/>
      <c r="DD39" s="70"/>
      <c r="DE39" s="70"/>
      <c r="DF39" s="70"/>
      <c r="DG39" s="70"/>
      <c r="DH39" s="70"/>
      <c r="DI39" s="70"/>
      <c r="DJ39" s="70"/>
      <c r="DK39" s="70"/>
      <c r="DL39" s="70"/>
      <c r="DM39" s="70"/>
      <c r="DN39" s="70"/>
      <c r="DO39" s="70"/>
      <c r="DP39" s="70"/>
      <c r="DQ39" s="70"/>
      <c r="DR39" s="70"/>
      <c r="DS39" s="70"/>
      <c r="DT39" s="70"/>
      <c r="DU39" s="70"/>
      <c r="DV39" s="70"/>
      <c r="DW39" s="70"/>
      <c r="DX39" s="70"/>
      <c r="DY39" s="70"/>
      <c r="DZ39" s="70"/>
      <c r="EA39" s="70"/>
      <c r="EB39" s="70"/>
      <c r="EC39" s="70"/>
      <c r="ED39" s="70"/>
      <c r="EE39" s="70"/>
      <c r="EF39" s="70"/>
      <c r="EG39" s="70"/>
      <c r="EH39" s="70"/>
      <c r="EI39" s="70"/>
      <c r="EJ39" s="70"/>
      <c r="EK39" s="70"/>
      <c r="EL39" s="70"/>
      <c r="EM39" s="70"/>
      <c r="EN39" s="70"/>
      <c r="EO39" s="70"/>
      <c r="EP39" s="70"/>
      <c r="EQ39" s="70"/>
      <c r="ER39" s="70"/>
      <c r="ES39" s="70"/>
      <c r="ET39" s="70"/>
      <c r="EU39" s="70"/>
      <c r="EV39" s="70"/>
      <c r="EW39" s="70"/>
      <c r="EX39" s="70"/>
      <c r="EY39" s="70"/>
      <c r="EZ39" s="70"/>
      <c r="FA39" s="70"/>
      <c r="FB39" s="70"/>
      <c r="FC39" s="70"/>
      <c r="FD39" s="70"/>
      <c r="FE39" s="70"/>
      <c r="FF39" s="70"/>
      <c r="FG39" s="70"/>
      <c r="FH39" s="70"/>
      <c r="FI39" s="70"/>
      <c r="FJ39" s="70"/>
      <c r="FK39" s="70"/>
      <c r="FL39" s="70"/>
      <c r="FM39" s="70"/>
      <c r="FN39" s="70"/>
      <c r="FO39" s="70"/>
      <c r="FP39" s="70"/>
      <c r="FQ39" s="70"/>
      <c r="FR39" s="70"/>
      <c r="FS39" s="70"/>
      <c r="FT39" s="70"/>
      <c r="FU39" s="70"/>
      <c r="FV39" s="70"/>
      <c r="FW39" s="70"/>
      <c r="FX39" s="70"/>
      <c r="FY39" s="70"/>
      <c r="FZ39" s="70"/>
      <c r="GA39" s="70"/>
      <c r="GB39" s="70"/>
      <c r="GC39" s="70"/>
      <c r="GD39" s="70"/>
      <c r="GE39" s="70"/>
      <c r="GF39" s="70"/>
      <c r="GG39" s="70"/>
      <c r="GH39" s="70"/>
      <c r="GI39" s="70"/>
      <c r="GJ39" s="70"/>
      <c r="GK39" s="70"/>
      <c r="GL39" s="70"/>
      <c r="GM39" s="70"/>
      <c r="GN39" s="70"/>
      <c r="GO39" s="70"/>
      <c r="GP39" s="70"/>
      <c r="GQ39" s="70"/>
      <c r="GR39" s="70"/>
      <c r="GS39" s="70"/>
      <c r="GT39" s="70"/>
      <c r="GU39" s="70"/>
      <c r="GV39" s="70"/>
      <c r="GW39" s="70"/>
      <c r="GX39" s="70"/>
      <c r="GY39" s="70"/>
      <c r="GZ39" s="70"/>
      <c r="HA39" s="70"/>
      <c r="HB39" s="70"/>
      <c r="HC39" s="70"/>
      <c r="HD39" s="70"/>
      <c r="HE39" s="70"/>
      <c r="HF39" s="70"/>
      <c r="HG39" s="70"/>
      <c r="HH39" s="70"/>
      <c r="HI39" s="70"/>
      <c r="HJ39" s="70"/>
      <c r="HK39" s="70"/>
      <c r="HL39" s="70"/>
      <c r="HM39" s="70"/>
      <c r="HN39" s="70"/>
      <c r="HO39" s="70"/>
      <c r="HP39" s="70"/>
      <c r="HQ39" s="70"/>
      <c r="HR39" s="70"/>
      <c r="HS39" s="70"/>
      <c r="HT39" s="70"/>
      <c r="HU39" s="70"/>
      <c r="HV39" s="70"/>
      <c r="HW39" s="70"/>
      <c r="HX39" s="70"/>
      <c r="HY39" s="70"/>
      <c r="HZ39" s="70"/>
      <c r="IA39" s="70"/>
      <c r="IB39" s="70"/>
      <c r="IC39" s="70"/>
      <c r="ID39" s="70"/>
      <c r="IE39" s="70"/>
      <c r="IF39" s="70"/>
      <c r="IG39" s="70"/>
      <c r="IH39" s="70"/>
      <c r="II39" s="70"/>
      <c r="IJ39" s="70"/>
      <c r="IK39" s="70"/>
      <c r="IL39" s="70"/>
      <c r="IM39" s="70"/>
      <c r="IN39" s="70"/>
      <c r="IO39" s="70"/>
      <c r="IP39" s="70"/>
      <c r="IQ39" s="70"/>
      <c r="IR39" s="70"/>
      <c r="IS39" s="70"/>
      <c r="IT39" s="70"/>
      <c r="IU39" s="70"/>
    </row>
    <row r="40" spans="1:255" s="51" customFormat="1" ht="22.5" customHeight="1" thickTop="1" thickBot="1" x14ac:dyDescent="0.3">
      <c r="A40" s="71"/>
      <c r="B40" s="18"/>
      <c r="C40" s="20"/>
      <c r="D40" s="16"/>
      <c r="E40" s="80"/>
      <c r="G40" s="281"/>
      <c r="I40" s="79"/>
      <c r="J40" s="79"/>
      <c r="K40" s="79"/>
      <c r="L40" s="16"/>
      <c r="M40" s="16"/>
      <c r="N40" s="110"/>
      <c r="O40" s="109"/>
      <c r="R40" s="108"/>
      <c r="S40" s="298"/>
      <c r="T40" s="105"/>
      <c r="U40" s="103"/>
      <c r="W40" s="282"/>
      <c r="X40" s="107"/>
      <c r="Y40" s="286"/>
      <c r="Z40" s="106"/>
      <c r="AA40" s="67"/>
      <c r="AC40" s="3"/>
      <c r="AD40" s="92"/>
      <c r="AE40" s="286"/>
      <c r="AF40" s="105"/>
      <c r="AG40" s="103"/>
      <c r="AH40" s="3"/>
      <c r="AI40" s="3"/>
      <c r="AJ40" s="92"/>
      <c r="AK40" s="286"/>
      <c r="AL40" s="105"/>
      <c r="AM40" s="103"/>
      <c r="AN40" s="3"/>
      <c r="AO40" s="3"/>
      <c r="AP40" s="92"/>
      <c r="AQ40" s="286"/>
      <c r="AR40" s="105"/>
      <c r="AS40" s="103"/>
      <c r="AT40" s="3"/>
      <c r="AU40" s="3"/>
      <c r="AV40" s="92"/>
      <c r="AW40" s="286"/>
      <c r="AX40" s="105"/>
      <c r="AY40" s="103"/>
      <c r="AZ40" s="3"/>
      <c r="BA40" s="3"/>
      <c r="BB40" s="92"/>
      <c r="BC40" s="286"/>
      <c r="BD40" s="104"/>
      <c r="BE40" s="103"/>
      <c r="BF40" s="3"/>
      <c r="BG40" s="3"/>
      <c r="BH40" s="3"/>
      <c r="BI40" s="87"/>
      <c r="BJ40" s="102"/>
      <c r="BM40" s="102"/>
      <c r="BQ40" s="33"/>
      <c r="BR40" s="281"/>
      <c r="BU40" s="19"/>
      <c r="BV40" s="68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Q40" s="70"/>
      <c r="CR40" s="70"/>
      <c r="CS40" s="70"/>
      <c r="CT40" s="70"/>
      <c r="CU40" s="70"/>
      <c r="CV40" s="70"/>
      <c r="CW40" s="70"/>
      <c r="CX40" s="70"/>
      <c r="CY40" s="70"/>
      <c r="CZ40" s="70"/>
      <c r="DA40" s="70"/>
      <c r="DB40" s="70"/>
      <c r="DC40" s="70"/>
      <c r="DD40" s="70"/>
      <c r="DE40" s="70"/>
      <c r="DF40" s="70"/>
      <c r="DG40" s="70"/>
      <c r="DH40" s="70"/>
      <c r="DI40" s="70"/>
      <c r="DJ40" s="70"/>
      <c r="DK40" s="70"/>
      <c r="DL40" s="70"/>
      <c r="DM40" s="70"/>
      <c r="DN40" s="70"/>
      <c r="DO40" s="70"/>
      <c r="DP40" s="70"/>
      <c r="DQ40" s="70"/>
      <c r="DR40" s="70"/>
      <c r="DS40" s="70"/>
      <c r="DT40" s="70"/>
      <c r="DU40" s="70"/>
      <c r="DV40" s="70"/>
      <c r="DW40" s="70"/>
      <c r="DX40" s="70"/>
      <c r="DY40" s="70"/>
      <c r="DZ40" s="70"/>
      <c r="EA40" s="70"/>
      <c r="EB40" s="70"/>
      <c r="EC40" s="70"/>
      <c r="ED40" s="70"/>
      <c r="EE40" s="70"/>
      <c r="EF40" s="70"/>
      <c r="EG40" s="70"/>
      <c r="EH40" s="70"/>
      <c r="EI40" s="70"/>
      <c r="EJ40" s="70"/>
      <c r="EK40" s="70"/>
      <c r="EL40" s="70"/>
      <c r="EM40" s="70"/>
      <c r="EN40" s="70"/>
      <c r="EO40" s="70"/>
      <c r="EP40" s="70"/>
      <c r="EQ40" s="70"/>
      <c r="ER40" s="70"/>
      <c r="ES40" s="70"/>
      <c r="ET40" s="70"/>
      <c r="EU40" s="70"/>
      <c r="EV40" s="70"/>
      <c r="EW40" s="70"/>
      <c r="EX40" s="70"/>
      <c r="EY40" s="70"/>
      <c r="EZ40" s="70"/>
      <c r="FA40" s="70"/>
      <c r="FB40" s="70"/>
      <c r="FC40" s="70"/>
      <c r="FD40" s="70"/>
      <c r="FE40" s="70"/>
      <c r="FF40" s="70"/>
      <c r="FG40" s="70"/>
      <c r="FH40" s="70"/>
      <c r="FI40" s="70"/>
      <c r="FJ40" s="70"/>
      <c r="FK40" s="70"/>
      <c r="FL40" s="70"/>
      <c r="FM40" s="70"/>
      <c r="FN40" s="70"/>
      <c r="FO40" s="70"/>
      <c r="FP40" s="70"/>
      <c r="FQ40" s="70"/>
      <c r="FR40" s="70"/>
      <c r="FS40" s="70"/>
      <c r="FT40" s="70"/>
      <c r="FU40" s="70"/>
      <c r="FV40" s="70"/>
      <c r="FW40" s="70"/>
      <c r="FX40" s="70"/>
      <c r="FY40" s="70"/>
      <c r="FZ40" s="70"/>
      <c r="GA40" s="70"/>
      <c r="GB40" s="70"/>
      <c r="GC40" s="70"/>
      <c r="GD40" s="70"/>
      <c r="GE40" s="70"/>
      <c r="GF40" s="70"/>
      <c r="GG40" s="70"/>
      <c r="GH40" s="70"/>
      <c r="GI40" s="70"/>
      <c r="GJ40" s="70"/>
      <c r="GK40" s="70"/>
      <c r="GL40" s="70"/>
      <c r="GM40" s="70"/>
      <c r="GN40" s="70"/>
      <c r="GO40" s="70"/>
      <c r="GP40" s="70"/>
      <c r="GQ40" s="70"/>
      <c r="GR40" s="70"/>
      <c r="GS40" s="70"/>
      <c r="GT40" s="70"/>
      <c r="GU40" s="70"/>
      <c r="GV40" s="70"/>
      <c r="GW40" s="70"/>
      <c r="GX40" s="70"/>
      <c r="GY40" s="70"/>
      <c r="GZ40" s="70"/>
      <c r="HA40" s="70"/>
      <c r="HB40" s="70"/>
      <c r="HC40" s="70"/>
      <c r="HD40" s="70"/>
      <c r="HE40" s="70"/>
      <c r="HF40" s="70"/>
      <c r="HG40" s="70"/>
      <c r="HH40" s="70"/>
      <c r="HI40" s="70"/>
      <c r="HJ40" s="70"/>
      <c r="HK40" s="70"/>
      <c r="HL40" s="70"/>
      <c r="HM40" s="70"/>
      <c r="HN40" s="70"/>
      <c r="HO40" s="70"/>
      <c r="HP40" s="70"/>
      <c r="HQ40" s="70"/>
      <c r="HR40" s="70"/>
      <c r="HS40" s="70"/>
      <c r="HT40" s="70"/>
      <c r="HU40" s="70"/>
      <c r="HV40" s="70"/>
      <c r="HW40" s="70"/>
      <c r="HX40" s="70"/>
      <c r="HY40" s="70"/>
      <c r="HZ40" s="70"/>
      <c r="IA40" s="70"/>
      <c r="IB40" s="70"/>
      <c r="IC40" s="70"/>
      <c r="ID40" s="70"/>
      <c r="IE40" s="70"/>
      <c r="IF40" s="70"/>
      <c r="IG40" s="70"/>
      <c r="IH40" s="70"/>
      <c r="II40" s="70"/>
      <c r="IJ40" s="70"/>
      <c r="IK40" s="70"/>
      <c r="IL40" s="70"/>
      <c r="IM40" s="70"/>
      <c r="IN40" s="70"/>
      <c r="IO40" s="70"/>
      <c r="IP40" s="70"/>
      <c r="IQ40" s="70"/>
      <c r="IR40" s="70"/>
      <c r="IS40" s="70"/>
      <c r="IT40" s="70"/>
      <c r="IU40" s="70"/>
    </row>
    <row r="41" spans="1:255" s="51" customFormat="1" ht="16.5" thickTop="1" thickBot="1" x14ac:dyDescent="0.3">
      <c r="A41" s="71"/>
      <c r="B41" s="18"/>
      <c r="C41" s="52"/>
      <c r="E41" s="285">
        <v>100</v>
      </c>
      <c r="F41" s="285"/>
      <c r="G41" s="27"/>
      <c r="H41" s="51" t="s">
        <v>6</v>
      </c>
      <c r="I41" s="101"/>
      <c r="J41" s="77"/>
      <c r="K41" s="76"/>
      <c r="L41" s="43"/>
      <c r="M41" s="43"/>
      <c r="N41" s="100"/>
      <c r="O41" s="67"/>
      <c r="P41" s="2"/>
      <c r="R41" s="99"/>
      <c r="S41" s="298"/>
      <c r="T41" s="81"/>
      <c r="U41" s="67"/>
      <c r="V41" s="98"/>
      <c r="W41" s="97"/>
      <c r="X41" s="96"/>
      <c r="Y41" s="286"/>
      <c r="Z41" s="81"/>
      <c r="AA41" s="67"/>
      <c r="AB41" s="95"/>
      <c r="AC41" s="94"/>
      <c r="AD41" s="93"/>
      <c r="AE41" s="286"/>
      <c r="AF41" s="81"/>
      <c r="AG41" s="67"/>
      <c r="AH41" s="3"/>
      <c r="AI41" s="3"/>
      <c r="AJ41" s="92"/>
      <c r="AK41" s="286"/>
      <c r="AL41" s="81"/>
      <c r="AM41" s="67"/>
      <c r="AN41" s="3"/>
      <c r="AO41" s="3"/>
      <c r="AP41" s="92"/>
      <c r="AQ41" s="286"/>
      <c r="AR41" s="81"/>
      <c r="AS41" s="67"/>
      <c r="AT41" s="3"/>
      <c r="AU41" s="3"/>
      <c r="AV41" s="92"/>
      <c r="AW41" s="286"/>
      <c r="AX41" s="81"/>
      <c r="AY41" s="67"/>
      <c r="AZ41" s="3"/>
      <c r="BA41" s="3"/>
      <c r="BB41" s="92"/>
      <c r="BC41" s="286"/>
      <c r="BD41" s="91"/>
      <c r="BE41" s="67"/>
      <c r="BF41" s="3"/>
      <c r="BG41" s="3"/>
      <c r="BH41" s="3"/>
      <c r="BI41" s="295"/>
      <c r="BJ41" s="90"/>
      <c r="BK41" s="3"/>
      <c r="BM41" s="89"/>
      <c r="BN41" s="88"/>
      <c r="BO41" s="88"/>
      <c r="BQ41" s="33"/>
      <c r="BR41" s="281"/>
      <c r="BS41" s="2"/>
      <c r="BT41" s="2"/>
      <c r="BU41" s="19"/>
      <c r="BV41" s="68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Q41" s="70"/>
      <c r="CR41" s="70"/>
      <c r="CS41" s="70"/>
      <c r="CT41" s="70"/>
      <c r="CU41" s="70"/>
      <c r="CV41" s="70"/>
      <c r="CW41" s="70"/>
      <c r="CX41" s="70"/>
      <c r="CY41" s="70"/>
      <c r="CZ41" s="70"/>
      <c r="DA41" s="70"/>
      <c r="DB41" s="70"/>
      <c r="DC41" s="70"/>
      <c r="DD41" s="70"/>
      <c r="DE41" s="70"/>
      <c r="DF41" s="70"/>
      <c r="DG41" s="70"/>
      <c r="DH41" s="70"/>
      <c r="DI41" s="70"/>
      <c r="DJ41" s="70"/>
      <c r="DK41" s="70"/>
      <c r="DL41" s="70"/>
      <c r="DM41" s="70"/>
      <c r="DN41" s="70"/>
      <c r="DO41" s="70"/>
      <c r="DP41" s="70"/>
      <c r="DQ41" s="70"/>
      <c r="DR41" s="70"/>
      <c r="DS41" s="70"/>
      <c r="DT41" s="70"/>
      <c r="DU41" s="70"/>
      <c r="DV41" s="70"/>
      <c r="DW41" s="70"/>
      <c r="DX41" s="70"/>
      <c r="DY41" s="70"/>
      <c r="DZ41" s="70"/>
      <c r="EA41" s="70"/>
      <c r="EB41" s="70"/>
      <c r="EC41" s="70"/>
      <c r="ED41" s="70"/>
      <c r="EE41" s="70"/>
      <c r="EF41" s="70"/>
      <c r="EG41" s="70"/>
      <c r="EH41" s="70"/>
      <c r="EI41" s="70"/>
      <c r="EJ41" s="70"/>
      <c r="EK41" s="70"/>
      <c r="EL41" s="70"/>
      <c r="EM41" s="70"/>
      <c r="EN41" s="70"/>
      <c r="EO41" s="70"/>
      <c r="EP41" s="70"/>
      <c r="EQ41" s="70"/>
      <c r="ER41" s="70"/>
      <c r="ES41" s="70"/>
      <c r="ET41" s="70"/>
      <c r="EU41" s="70"/>
      <c r="EV41" s="70"/>
      <c r="EW41" s="70"/>
      <c r="EX41" s="70"/>
      <c r="EY41" s="70"/>
      <c r="EZ41" s="70"/>
      <c r="FA41" s="70"/>
      <c r="FB41" s="70"/>
      <c r="FC41" s="70"/>
      <c r="FD41" s="70"/>
      <c r="FE41" s="70"/>
      <c r="FF41" s="70"/>
      <c r="FG41" s="70"/>
      <c r="FH41" s="70"/>
      <c r="FI41" s="70"/>
      <c r="FJ41" s="70"/>
      <c r="FK41" s="70"/>
      <c r="FL41" s="70"/>
      <c r="FM41" s="70"/>
      <c r="FN41" s="70"/>
      <c r="FO41" s="70"/>
      <c r="FP41" s="70"/>
      <c r="FQ41" s="70"/>
      <c r="FR41" s="70"/>
      <c r="FS41" s="70"/>
      <c r="FT41" s="70"/>
      <c r="FU41" s="70"/>
      <c r="FV41" s="70"/>
      <c r="FW41" s="70"/>
      <c r="FX41" s="70"/>
      <c r="FY41" s="70"/>
      <c r="FZ41" s="70"/>
      <c r="GA41" s="70"/>
      <c r="GB41" s="70"/>
      <c r="GC41" s="70"/>
      <c r="GD41" s="70"/>
      <c r="GE41" s="70"/>
      <c r="GF41" s="70"/>
      <c r="GG41" s="70"/>
      <c r="GH41" s="70"/>
      <c r="GI41" s="70"/>
      <c r="GJ41" s="70"/>
      <c r="GK41" s="70"/>
      <c r="GL41" s="70"/>
      <c r="GM41" s="70"/>
      <c r="GN41" s="70"/>
      <c r="GO41" s="70"/>
      <c r="GP41" s="70"/>
      <c r="GQ41" s="70"/>
      <c r="GR41" s="70"/>
      <c r="GS41" s="70"/>
      <c r="GT41" s="70"/>
      <c r="GU41" s="70"/>
      <c r="GV41" s="70"/>
      <c r="GW41" s="70"/>
      <c r="GX41" s="70"/>
      <c r="GY41" s="70"/>
      <c r="GZ41" s="70"/>
      <c r="HA41" s="70"/>
      <c r="HB41" s="70"/>
      <c r="HC41" s="70"/>
      <c r="HD41" s="70"/>
      <c r="HE41" s="70"/>
      <c r="HF41" s="70"/>
      <c r="HG41" s="70"/>
      <c r="HH41" s="70"/>
      <c r="HI41" s="70"/>
      <c r="HJ41" s="70"/>
      <c r="HK41" s="70"/>
      <c r="HL41" s="70"/>
      <c r="HM41" s="70"/>
      <c r="HN41" s="70"/>
      <c r="HO41" s="70"/>
      <c r="HP41" s="70"/>
      <c r="HQ41" s="70"/>
      <c r="HR41" s="70"/>
      <c r="HS41" s="70"/>
      <c r="HT41" s="70"/>
      <c r="HU41" s="70"/>
      <c r="HV41" s="70"/>
      <c r="HW41" s="70"/>
      <c r="HX41" s="70"/>
      <c r="HY41" s="70"/>
      <c r="HZ41" s="70"/>
      <c r="IA41" s="70"/>
      <c r="IB41" s="70"/>
      <c r="IC41" s="70"/>
      <c r="ID41" s="70"/>
      <c r="IE41" s="70"/>
      <c r="IF41" s="70"/>
      <c r="IG41" s="70"/>
      <c r="IH41" s="70"/>
      <c r="II41" s="70"/>
      <c r="IJ41" s="70"/>
      <c r="IK41" s="70"/>
      <c r="IL41" s="70"/>
      <c r="IM41" s="70"/>
      <c r="IN41" s="70"/>
      <c r="IO41" s="70"/>
      <c r="IP41" s="70"/>
      <c r="IQ41" s="70"/>
      <c r="IR41" s="70"/>
      <c r="IS41" s="70"/>
      <c r="IT41" s="70"/>
      <c r="IU41" s="70"/>
    </row>
    <row r="42" spans="1:255" s="51" customFormat="1" ht="22.5" customHeight="1" thickTop="1" thickBot="1" x14ac:dyDescent="0.3">
      <c r="A42" s="71"/>
      <c r="B42" s="18"/>
      <c r="C42" s="52"/>
      <c r="E42" s="285">
        <v>150</v>
      </c>
      <c r="F42" s="285"/>
      <c r="G42" s="25"/>
      <c r="I42" s="87"/>
      <c r="J42" s="74"/>
      <c r="K42" s="26"/>
      <c r="L42" s="73"/>
      <c r="M42" s="72"/>
      <c r="N42" s="62"/>
      <c r="O42" s="67"/>
      <c r="P42" s="86"/>
      <c r="Q42" s="86"/>
      <c r="R42" s="85"/>
      <c r="S42" s="298"/>
      <c r="T42" s="82"/>
      <c r="U42" s="67"/>
      <c r="V42" s="65"/>
      <c r="W42" s="65"/>
      <c r="X42" s="84"/>
      <c r="Y42" s="286"/>
      <c r="Z42" s="82"/>
      <c r="AA42" s="67"/>
      <c r="AB42" s="66"/>
      <c r="AC42" s="54"/>
      <c r="AD42" s="83"/>
      <c r="AE42" s="286"/>
      <c r="AF42" s="82"/>
      <c r="AG42" s="67"/>
      <c r="AH42" s="54"/>
      <c r="AI42" s="54"/>
      <c r="AJ42" s="83"/>
      <c r="AK42" s="286"/>
      <c r="AL42" s="82"/>
      <c r="AM42" s="67"/>
      <c r="AN42" s="54"/>
      <c r="AO42" s="54"/>
      <c r="AP42" s="83"/>
      <c r="AQ42" s="286"/>
      <c r="AR42" s="82"/>
      <c r="AS42" s="67"/>
      <c r="AT42" s="54"/>
      <c r="AU42" s="54"/>
      <c r="AV42" s="83"/>
      <c r="AW42" s="286"/>
      <c r="AX42" s="82"/>
      <c r="AY42" s="67"/>
      <c r="AZ42" s="54"/>
      <c r="BA42" s="54"/>
      <c r="BB42" s="83"/>
      <c r="BC42" s="286"/>
      <c r="BD42" s="82"/>
      <c r="BE42" s="67"/>
      <c r="BF42" s="54"/>
      <c r="BG42" s="54"/>
      <c r="BH42" s="54"/>
      <c r="BI42" s="295"/>
      <c r="BJ42" s="81"/>
      <c r="BK42" s="15"/>
      <c r="BL42" s="80"/>
      <c r="BM42" s="79"/>
      <c r="BN42" s="79"/>
      <c r="BO42" s="79"/>
      <c r="BQ42" s="33"/>
      <c r="BR42" s="270"/>
      <c r="BT42" s="33"/>
      <c r="BU42" s="19"/>
      <c r="BV42" s="68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Q42" s="70"/>
      <c r="CR42" s="70"/>
      <c r="CS42" s="70"/>
      <c r="CT42" s="70"/>
      <c r="CU42" s="70"/>
      <c r="CV42" s="70"/>
      <c r="CW42" s="70"/>
      <c r="CX42" s="70"/>
      <c r="CY42" s="70"/>
      <c r="CZ42" s="70"/>
      <c r="DA42" s="70"/>
      <c r="DB42" s="70"/>
      <c r="DC42" s="70"/>
      <c r="DD42" s="70"/>
      <c r="DE42" s="70"/>
      <c r="DF42" s="70"/>
      <c r="DG42" s="70"/>
      <c r="DH42" s="70"/>
      <c r="DI42" s="70"/>
      <c r="DJ42" s="70"/>
      <c r="DK42" s="70"/>
      <c r="DL42" s="70"/>
      <c r="DM42" s="70"/>
      <c r="DN42" s="70"/>
      <c r="DO42" s="70"/>
      <c r="DP42" s="70"/>
      <c r="DQ42" s="70"/>
      <c r="DR42" s="70"/>
      <c r="DS42" s="70"/>
      <c r="DT42" s="70"/>
      <c r="DU42" s="70"/>
      <c r="DV42" s="70"/>
      <c r="DW42" s="70"/>
      <c r="DX42" s="70"/>
      <c r="DY42" s="70"/>
      <c r="DZ42" s="70"/>
      <c r="EA42" s="70"/>
      <c r="EB42" s="70"/>
      <c r="EC42" s="70"/>
      <c r="ED42" s="70"/>
      <c r="EE42" s="70"/>
      <c r="EF42" s="70"/>
      <c r="EG42" s="70"/>
      <c r="EH42" s="70"/>
      <c r="EI42" s="70"/>
      <c r="EJ42" s="70"/>
      <c r="EK42" s="70"/>
      <c r="EL42" s="70"/>
      <c r="EM42" s="70"/>
      <c r="EN42" s="70"/>
      <c r="EO42" s="70"/>
      <c r="EP42" s="70"/>
      <c r="EQ42" s="70"/>
      <c r="ER42" s="70"/>
      <c r="ES42" s="70"/>
      <c r="ET42" s="70"/>
      <c r="EU42" s="70"/>
      <c r="EV42" s="70"/>
      <c r="EW42" s="70"/>
      <c r="EX42" s="70"/>
      <c r="EY42" s="70"/>
      <c r="EZ42" s="70"/>
      <c r="FA42" s="70"/>
      <c r="FB42" s="70"/>
      <c r="FC42" s="70"/>
      <c r="FD42" s="70"/>
      <c r="FE42" s="70"/>
      <c r="FF42" s="70"/>
      <c r="FG42" s="70"/>
      <c r="FH42" s="70"/>
      <c r="FI42" s="70"/>
      <c r="FJ42" s="70"/>
      <c r="FK42" s="70"/>
      <c r="FL42" s="70"/>
      <c r="FM42" s="70"/>
      <c r="FN42" s="70"/>
      <c r="FO42" s="70"/>
      <c r="FP42" s="70"/>
      <c r="FQ42" s="70"/>
      <c r="FR42" s="70"/>
      <c r="FS42" s="70"/>
      <c r="FT42" s="70"/>
      <c r="FU42" s="70"/>
      <c r="FV42" s="70"/>
      <c r="FW42" s="70"/>
      <c r="FX42" s="70"/>
      <c r="FY42" s="70"/>
      <c r="FZ42" s="70"/>
      <c r="GA42" s="70"/>
      <c r="GB42" s="70"/>
      <c r="GC42" s="70"/>
      <c r="GD42" s="70"/>
      <c r="GE42" s="70"/>
      <c r="GF42" s="70"/>
      <c r="GG42" s="70"/>
      <c r="GH42" s="70"/>
      <c r="GI42" s="70"/>
      <c r="GJ42" s="70"/>
      <c r="GK42" s="70"/>
      <c r="GL42" s="70"/>
      <c r="GM42" s="70"/>
      <c r="GN42" s="70"/>
      <c r="GO42" s="70"/>
      <c r="GP42" s="70"/>
      <c r="GQ42" s="70"/>
      <c r="GR42" s="70"/>
      <c r="GS42" s="70"/>
      <c r="GT42" s="70"/>
      <c r="GU42" s="70"/>
      <c r="GV42" s="70"/>
      <c r="GW42" s="70"/>
      <c r="GX42" s="70"/>
      <c r="GY42" s="70"/>
      <c r="GZ42" s="70"/>
      <c r="HA42" s="70"/>
      <c r="HB42" s="70"/>
      <c r="HC42" s="70"/>
      <c r="HD42" s="70"/>
      <c r="HE42" s="70"/>
      <c r="HF42" s="70"/>
      <c r="HG42" s="70"/>
      <c r="HH42" s="70"/>
      <c r="HI42" s="70"/>
      <c r="HJ42" s="70"/>
      <c r="HK42" s="70"/>
      <c r="HL42" s="70"/>
      <c r="HM42" s="70"/>
      <c r="HN42" s="70"/>
      <c r="HO42" s="70"/>
      <c r="HP42" s="70"/>
      <c r="HQ42" s="70"/>
      <c r="HR42" s="70"/>
      <c r="HS42" s="70"/>
      <c r="HT42" s="70"/>
      <c r="HU42" s="70"/>
      <c r="HV42" s="70"/>
      <c r="HW42" s="70"/>
      <c r="HX42" s="70"/>
      <c r="HY42" s="70"/>
      <c r="HZ42" s="70"/>
      <c r="IA42" s="70"/>
      <c r="IB42" s="70"/>
      <c r="IC42" s="70"/>
      <c r="ID42" s="70"/>
      <c r="IE42" s="70"/>
      <c r="IF42" s="70"/>
      <c r="IG42" s="70"/>
      <c r="IH42" s="70"/>
      <c r="II42" s="70"/>
      <c r="IJ42" s="70"/>
      <c r="IK42" s="70"/>
      <c r="IL42" s="70"/>
      <c r="IM42" s="70"/>
      <c r="IN42" s="70"/>
      <c r="IO42" s="70"/>
      <c r="IP42" s="70"/>
      <c r="IQ42" s="70"/>
      <c r="IR42" s="70"/>
      <c r="IS42" s="70"/>
      <c r="IT42" s="70"/>
      <c r="IU42" s="70"/>
    </row>
    <row r="43" spans="1:255" s="51" customFormat="1" ht="15.75" thickTop="1" x14ac:dyDescent="0.25">
      <c r="A43" s="71"/>
      <c r="B43" s="18"/>
      <c r="C43" s="52"/>
      <c r="J43" s="24"/>
      <c r="K43" s="24"/>
      <c r="L43" s="24"/>
      <c r="M43" s="24"/>
      <c r="N43" s="62"/>
      <c r="O43" s="67"/>
      <c r="P43" s="66"/>
      <c r="Q43" s="66"/>
      <c r="R43" s="66"/>
      <c r="S43" s="53"/>
      <c r="T43" s="63"/>
      <c r="U43" s="67"/>
      <c r="V43" s="65"/>
      <c r="W43" s="65"/>
      <c r="X43" s="64"/>
      <c r="Y43" s="53"/>
      <c r="Z43" s="63"/>
      <c r="AA43" s="67"/>
      <c r="AB43" s="66"/>
      <c r="AC43" s="54"/>
      <c r="AD43" s="54"/>
      <c r="AE43" s="53"/>
      <c r="AF43" s="63"/>
      <c r="AG43" s="67"/>
      <c r="AH43" s="54"/>
      <c r="AI43" s="54"/>
      <c r="AJ43" s="54"/>
      <c r="AK43" s="53"/>
      <c r="AL43" s="63"/>
      <c r="AM43" s="67"/>
      <c r="AN43" s="54"/>
      <c r="AO43" s="54"/>
      <c r="AP43" s="54"/>
      <c r="AQ43" s="53"/>
      <c r="AR43" s="63"/>
      <c r="AS43" s="67"/>
      <c r="AT43" s="54"/>
      <c r="AU43" s="54"/>
      <c r="AV43" s="54"/>
      <c r="AW43" s="53"/>
      <c r="AX43" s="63"/>
      <c r="AY43" s="67"/>
      <c r="AZ43" s="54"/>
      <c r="BA43" s="54"/>
      <c r="BB43" s="54"/>
      <c r="BC43" s="53"/>
      <c r="BD43" s="62"/>
      <c r="BE43" s="67"/>
      <c r="BF43" s="54"/>
      <c r="BG43" s="54"/>
      <c r="BH43" s="54"/>
      <c r="BI43" s="295"/>
      <c r="BJ43" s="78"/>
      <c r="BK43" s="77"/>
      <c r="BL43" s="76"/>
      <c r="BM43" s="43"/>
      <c r="BN43" s="75"/>
      <c r="BQ43" s="33"/>
      <c r="BR43" s="3"/>
      <c r="BS43" s="33"/>
      <c r="BT43" s="33"/>
      <c r="BU43" s="19"/>
      <c r="BV43" s="68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Q43" s="70"/>
      <c r="CR43" s="70"/>
      <c r="CS43" s="70"/>
      <c r="CT43" s="70"/>
      <c r="CU43" s="70"/>
      <c r="CV43" s="70"/>
      <c r="CW43" s="70"/>
      <c r="CX43" s="70"/>
      <c r="CY43" s="70"/>
      <c r="CZ43" s="70"/>
      <c r="DA43" s="70"/>
      <c r="DB43" s="70"/>
      <c r="DC43" s="70"/>
      <c r="DD43" s="70"/>
      <c r="DE43" s="70"/>
      <c r="DF43" s="70"/>
      <c r="DG43" s="70"/>
      <c r="DH43" s="70"/>
      <c r="DI43" s="70"/>
      <c r="DJ43" s="70"/>
      <c r="DK43" s="70"/>
      <c r="DL43" s="70"/>
      <c r="DM43" s="70"/>
      <c r="DN43" s="70"/>
      <c r="DO43" s="70"/>
      <c r="DP43" s="70"/>
      <c r="DQ43" s="70"/>
      <c r="DR43" s="70"/>
      <c r="DS43" s="70"/>
      <c r="DT43" s="70"/>
      <c r="DU43" s="70"/>
      <c r="DV43" s="70"/>
      <c r="DW43" s="70"/>
      <c r="DX43" s="70"/>
      <c r="DY43" s="70"/>
      <c r="DZ43" s="70"/>
      <c r="EA43" s="70"/>
      <c r="EB43" s="70"/>
      <c r="EC43" s="70"/>
      <c r="ED43" s="70"/>
      <c r="EE43" s="70"/>
      <c r="EF43" s="70"/>
      <c r="EG43" s="70"/>
      <c r="EH43" s="70"/>
      <c r="EI43" s="70"/>
      <c r="EJ43" s="70"/>
      <c r="EK43" s="70"/>
      <c r="EL43" s="70"/>
      <c r="EM43" s="70"/>
      <c r="EN43" s="70"/>
      <c r="EO43" s="70"/>
      <c r="EP43" s="70"/>
      <c r="EQ43" s="70"/>
      <c r="ER43" s="70"/>
      <c r="ES43" s="70"/>
      <c r="ET43" s="70"/>
      <c r="EU43" s="70"/>
      <c r="EV43" s="70"/>
      <c r="EW43" s="70"/>
      <c r="EX43" s="70"/>
      <c r="EY43" s="70"/>
      <c r="EZ43" s="70"/>
      <c r="FA43" s="70"/>
      <c r="FB43" s="70"/>
      <c r="FC43" s="70"/>
      <c r="FD43" s="70"/>
      <c r="FE43" s="70"/>
      <c r="FF43" s="70"/>
      <c r="FG43" s="70"/>
      <c r="FH43" s="70"/>
      <c r="FI43" s="70"/>
      <c r="FJ43" s="70"/>
      <c r="FK43" s="70"/>
      <c r="FL43" s="70"/>
      <c r="FM43" s="70"/>
      <c r="FN43" s="70"/>
      <c r="FO43" s="70"/>
      <c r="FP43" s="70"/>
      <c r="FQ43" s="70"/>
      <c r="FR43" s="70"/>
      <c r="FS43" s="70"/>
      <c r="FT43" s="70"/>
      <c r="FU43" s="70"/>
      <c r="FV43" s="70"/>
      <c r="FW43" s="70"/>
      <c r="FX43" s="70"/>
      <c r="FY43" s="70"/>
      <c r="FZ43" s="70"/>
      <c r="GA43" s="70"/>
      <c r="GB43" s="70"/>
      <c r="GC43" s="70"/>
      <c r="GD43" s="70"/>
      <c r="GE43" s="70"/>
      <c r="GF43" s="70"/>
      <c r="GG43" s="70"/>
      <c r="GH43" s="70"/>
      <c r="GI43" s="70"/>
      <c r="GJ43" s="70"/>
      <c r="GK43" s="70"/>
      <c r="GL43" s="70"/>
      <c r="GM43" s="70"/>
      <c r="GN43" s="70"/>
      <c r="GO43" s="70"/>
      <c r="GP43" s="70"/>
      <c r="GQ43" s="70"/>
      <c r="GR43" s="70"/>
      <c r="GS43" s="70"/>
      <c r="GT43" s="70"/>
      <c r="GU43" s="70"/>
      <c r="GV43" s="70"/>
      <c r="GW43" s="70"/>
      <c r="GX43" s="70"/>
      <c r="GY43" s="70"/>
      <c r="GZ43" s="70"/>
      <c r="HA43" s="70"/>
      <c r="HB43" s="70"/>
      <c r="HC43" s="70"/>
      <c r="HD43" s="70"/>
      <c r="HE43" s="70"/>
      <c r="HF43" s="70"/>
      <c r="HG43" s="70"/>
      <c r="HH43" s="70"/>
      <c r="HI43" s="70"/>
      <c r="HJ43" s="70"/>
      <c r="HK43" s="70"/>
      <c r="HL43" s="70"/>
      <c r="HM43" s="70"/>
      <c r="HN43" s="70"/>
      <c r="HO43" s="70"/>
      <c r="HP43" s="70"/>
      <c r="HQ43" s="70"/>
      <c r="HR43" s="70"/>
      <c r="HS43" s="70"/>
      <c r="HT43" s="70"/>
      <c r="HU43" s="70"/>
      <c r="HV43" s="70"/>
      <c r="HW43" s="70"/>
      <c r="HX43" s="70"/>
      <c r="HY43" s="70"/>
      <c r="HZ43" s="70"/>
      <c r="IA43" s="70"/>
      <c r="IB43" s="70"/>
      <c r="IC43" s="70"/>
      <c r="ID43" s="70"/>
      <c r="IE43" s="70"/>
      <c r="IF43" s="70"/>
      <c r="IG43" s="70"/>
      <c r="IH43" s="70"/>
      <c r="II43" s="70"/>
      <c r="IJ43" s="70"/>
      <c r="IK43" s="70"/>
      <c r="IL43" s="70"/>
      <c r="IM43" s="70"/>
      <c r="IN43" s="70"/>
      <c r="IO43" s="70"/>
      <c r="IP43" s="70"/>
      <c r="IQ43" s="70"/>
      <c r="IR43" s="70"/>
      <c r="IS43" s="70"/>
      <c r="IT43" s="70"/>
      <c r="IU43" s="70"/>
    </row>
    <row r="44" spans="1:255" s="51" customFormat="1" ht="15" customHeight="1" x14ac:dyDescent="0.25">
      <c r="A44" s="71"/>
      <c r="B44" s="18"/>
      <c r="C44" s="52"/>
      <c r="D44" s="281">
        <v>1925</v>
      </c>
      <c r="J44" s="2"/>
      <c r="K44" s="2"/>
      <c r="L44" s="69"/>
      <c r="N44" s="62"/>
      <c r="O44" s="67"/>
      <c r="P44" s="66"/>
      <c r="Q44" s="66"/>
      <c r="R44" s="66"/>
      <c r="S44" s="53"/>
      <c r="T44" s="63"/>
      <c r="U44" s="67"/>
      <c r="V44" s="65"/>
      <c r="W44" s="65"/>
      <c r="X44" s="64"/>
      <c r="Y44" s="53"/>
      <c r="Z44" s="63"/>
      <c r="AA44" s="67"/>
      <c r="AB44" s="66"/>
      <c r="AC44" s="54"/>
      <c r="AD44" s="54"/>
      <c r="AE44" s="53"/>
      <c r="AF44" s="63"/>
      <c r="AG44" s="67"/>
      <c r="AH44" s="54"/>
      <c r="AI44" s="54"/>
      <c r="AJ44" s="54"/>
      <c r="AK44" s="53"/>
      <c r="AL44" s="63"/>
      <c r="AM44" s="67"/>
      <c r="AN44" s="54"/>
      <c r="AO44" s="54"/>
      <c r="AP44" s="54"/>
      <c r="AQ44" s="53"/>
      <c r="AR44" s="63"/>
      <c r="AS44" s="67"/>
      <c r="AT44" s="54"/>
      <c r="AU44" s="54"/>
      <c r="AV44" s="54"/>
      <c r="AW44" s="53"/>
      <c r="AX44" s="63"/>
      <c r="AY44" s="67"/>
      <c r="AZ44" s="54"/>
      <c r="BA44" s="54"/>
      <c r="BB44" s="54"/>
      <c r="BC44" s="53"/>
      <c r="BD44" s="62"/>
      <c r="BE44" s="67"/>
      <c r="BF44" s="54"/>
      <c r="BG44" s="54"/>
      <c r="BH44" s="54"/>
      <c r="BI44" s="53"/>
      <c r="BJ44" s="39"/>
      <c r="BK44" s="74"/>
      <c r="BL44" s="26"/>
      <c r="BM44" s="73"/>
      <c r="BN44" s="72"/>
      <c r="BQ44" s="33"/>
      <c r="BR44" s="3"/>
      <c r="BS44" s="290">
        <v>2525</v>
      </c>
      <c r="BT44" s="282"/>
      <c r="BU44" s="19"/>
      <c r="BV44" s="68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Q44" s="70"/>
      <c r="CR44" s="70"/>
      <c r="CS44" s="70"/>
      <c r="CT44" s="70"/>
      <c r="CU44" s="70"/>
      <c r="CV44" s="70"/>
      <c r="CW44" s="70"/>
      <c r="CX44" s="70"/>
      <c r="CY44" s="70"/>
      <c r="CZ44" s="70"/>
      <c r="DA44" s="70"/>
      <c r="DB44" s="70"/>
      <c r="DC44" s="70"/>
      <c r="DD44" s="70"/>
      <c r="DE44" s="70"/>
      <c r="DF44" s="70"/>
      <c r="DG44" s="70"/>
      <c r="DH44" s="70"/>
      <c r="DI44" s="70"/>
      <c r="DJ44" s="70"/>
      <c r="DK44" s="70"/>
      <c r="DL44" s="70"/>
      <c r="DM44" s="70"/>
      <c r="DN44" s="70"/>
      <c r="DO44" s="70"/>
      <c r="DP44" s="70"/>
      <c r="DQ44" s="70"/>
      <c r="DR44" s="70"/>
      <c r="DS44" s="70"/>
      <c r="DT44" s="70"/>
      <c r="DU44" s="70"/>
      <c r="DV44" s="70"/>
      <c r="DW44" s="70"/>
      <c r="DX44" s="70"/>
      <c r="DY44" s="70"/>
      <c r="DZ44" s="70"/>
      <c r="EA44" s="70"/>
      <c r="EB44" s="70"/>
      <c r="EC44" s="70"/>
      <c r="ED44" s="70"/>
      <c r="EE44" s="70"/>
      <c r="EF44" s="70"/>
      <c r="EG44" s="70"/>
      <c r="EH44" s="70"/>
      <c r="EI44" s="70"/>
      <c r="EJ44" s="70"/>
      <c r="EK44" s="70"/>
      <c r="EL44" s="70"/>
      <c r="EM44" s="70"/>
      <c r="EN44" s="70"/>
      <c r="EO44" s="70"/>
      <c r="EP44" s="70"/>
      <c r="EQ44" s="70"/>
      <c r="ER44" s="70"/>
      <c r="ES44" s="70"/>
      <c r="ET44" s="70"/>
      <c r="EU44" s="70"/>
      <c r="EV44" s="70"/>
      <c r="EW44" s="70"/>
      <c r="EX44" s="70"/>
      <c r="EY44" s="70"/>
      <c r="EZ44" s="70"/>
      <c r="FA44" s="70"/>
      <c r="FB44" s="70"/>
      <c r="FC44" s="70"/>
      <c r="FD44" s="70"/>
      <c r="FE44" s="70"/>
      <c r="FF44" s="70"/>
      <c r="FG44" s="70"/>
      <c r="FH44" s="70"/>
      <c r="FI44" s="70"/>
      <c r="FJ44" s="70"/>
      <c r="FK44" s="70"/>
      <c r="FL44" s="70"/>
      <c r="FM44" s="70"/>
      <c r="FN44" s="70"/>
      <c r="FO44" s="70"/>
      <c r="FP44" s="70"/>
      <c r="FQ44" s="70"/>
      <c r="FR44" s="70"/>
      <c r="FS44" s="70"/>
      <c r="FT44" s="70"/>
      <c r="FU44" s="70"/>
      <c r="FV44" s="70"/>
      <c r="FW44" s="70"/>
      <c r="FX44" s="70"/>
      <c r="FY44" s="70"/>
      <c r="FZ44" s="70"/>
      <c r="GA44" s="70"/>
      <c r="GB44" s="70"/>
      <c r="GC44" s="70"/>
      <c r="GD44" s="70"/>
      <c r="GE44" s="70"/>
      <c r="GF44" s="70"/>
      <c r="GG44" s="70"/>
      <c r="GH44" s="70"/>
      <c r="GI44" s="70"/>
      <c r="GJ44" s="70"/>
      <c r="GK44" s="70"/>
      <c r="GL44" s="70"/>
      <c r="GM44" s="70"/>
      <c r="GN44" s="70"/>
      <c r="GO44" s="70"/>
      <c r="GP44" s="70"/>
      <c r="GQ44" s="70"/>
      <c r="GR44" s="70"/>
      <c r="GS44" s="70"/>
      <c r="GT44" s="70"/>
      <c r="GU44" s="70"/>
      <c r="GV44" s="70"/>
      <c r="GW44" s="70"/>
      <c r="GX44" s="70"/>
      <c r="GY44" s="70"/>
      <c r="GZ44" s="70"/>
      <c r="HA44" s="70"/>
      <c r="HB44" s="70"/>
      <c r="HC44" s="70"/>
      <c r="HD44" s="70"/>
      <c r="HE44" s="70"/>
      <c r="HF44" s="70"/>
      <c r="HG44" s="70"/>
      <c r="HH44" s="70"/>
      <c r="HI44" s="70"/>
      <c r="HJ44" s="70"/>
      <c r="HK44" s="70"/>
      <c r="HL44" s="70"/>
      <c r="HM44" s="70"/>
      <c r="HN44" s="70"/>
      <c r="HO44" s="70"/>
      <c r="HP44" s="70"/>
      <c r="HQ44" s="70"/>
      <c r="HR44" s="70"/>
      <c r="HS44" s="70"/>
      <c r="HT44" s="70"/>
      <c r="HU44" s="70"/>
      <c r="HV44" s="70"/>
      <c r="HW44" s="70"/>
      <c r="HX44" s="70"/>
      <c r="HY44" s="70"/>
      <c r="HZ44" s="70"/>
      <c r="IA44" s="70"/>
      <c r="IB44" s="70"/>
      <c r="IC44" s="70"/>
      <c r="ID44" s="70"/>
      <c r="IE44" s="70"/>
      <c r="IF44" s="70"/>
      <c r="IG44" s="70"/>
      <c r="IH44" s="70"/>
      <c r="II44" s="70"/>
      <c r="IJ44" s="70"/>
      <c r="IK44" s="70"/>
      <c r="IL44" s="70"/>
      <c r="IM44" s="70"/>
      <c r="IN44" s="70"/>
      <c r="IO44" s="70"/>
      <c r="IP44" s="70"/>
      <c r="IQ44" s="70"/>
      <c r="IR44" s="70"/>
      <c r="IS44" s="70"/>
      <c r="IT44" s="70"/>
      <c r="IU44" s="70"/>
    </row>
    <row r="45" spans="1:255" s="51" customFormat="1" ht="15" customHeight="1" x14ac:dyDescent="0.25">
      <c r="A45" s="71"/>
      <c r="B45" s="18"/>
      <c r="C45" s="52"/>
      <c r="D45" s="281"/>
      <c r="J45" s="2"/>
      <c r="K45" s="2"/>
      <c r="L45" s="69"/>
      <c r="N45" s="62"/>
      <c r="O45" s="67"/>
      <c r="P45" s="66"/>
      <c r="Q45" s="66"/>
      <c r="R45" s="66"/>
      <c r="S45" s="53"/>
      <c r="T45" s="63"/>
      <c r="U45" s="67"/>
      <c r="V45" s="65"/>
      <c r="W45" s="65"/>
      <c r="X45" s="64"/>
      <c r="Y45" s="53"/>
      <c r="Z45" s="63"/>
      <c r="AA45" s="67"/>
      <c r="AB45" s="66"/>
      <c r="AC45" s="54"/>
      <c r="AD45" s="54"/>
      <c r="AE45" s="53"/>
      <c r="AF45" s="63"/>
      <c r="AG45" s="67"/>
      <c r="AH45" s="54"/>
      <c r="AI45" s="54"/>
      <c r="AJ45" s="54"/>
      <c r="AK45" s="53"/>
      <c r="AL45" s="63"/>
      <c r="AM45" s="67"/>
      <c r="AN45" s="54"/>
      <c r="AO45" s="54"/>
      <c r="AP45" s="54"/>
      <c r="AQ45" s="53"/>
      <c r="AR45" s="63"/>
      <c r="AS45" s="67"/>
      <c r="AT45" s="54"/>
      <c r="AU45" s="54"/>
      <c r="AV45" s="54"/>
      <c r="AW45" s="53"/>
      <c r="AX45" s="63"/>
      <c r="AY45" s="67"/>
      <c r="AZ45" s="54"/>
      <c r="BA45" s="54"/>
      <c r="BB45" s="54"/>
      <c r="BC45" s="53"/>
      <c r="BD45" s="62"/>
      <c r="BE45" s="67"/>
      <c r="BF45" s="54"/>
      <c r="BG45" s="54"/>
      <c r="BH45" s="54"/>
      <c r="BI45" s="53"/>
      <c r="BJ45" s="39"/>
      <c r="BK45" s="24"/>
      <c r="BL45" s="24"/>
      <c r="BM45" s="24"/>
      <c r="BN45" s="24"/>
      <c r="BO45" s="3"/>
      <c r="BQ45" s="33"/>
      <c r="BR45" s="281">
        <v>1800</v>
      </c>
      <c r="BS45" s="282"/>
      <c r="BT45" s="282"/>
      <c r="BU45" s="19"/>
      <c r="BV45" s="68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Q45" s="70"/>
      <c r="CR45" s="70"/>
      <c r="CS45" s="70"/>
      <c r="CT45" s="70"/>
      <c r="CU45" s="70"/>
      <c r="CV45" s="70"/>
      <c r="CW45" s="70"/>
      <c r="CX45" s="70"/>
      <c r="CY45" s="70"/>
      <c r="CZ45" s="70"/>
      <c r="DA45" s="70"/>
      <c r="DB45" s="70"/>
      <c r="DC45" s="70"/>
      <c r="DD45" s="70"/>
      <c r="DE45" s="70"/>
      <c r="DF45" s="70"/>
      <c r="DG45" s="70"/>
      <c r="DH45" s="70"/>
      <c r="DI45" s="70"/>
      <c r="DJ45" s="70"/>
      <c r="DK45" s="70"/>
      <c r="DL45" s="70"/>
      <c r="DM45" s="70"/>
      <c r="DN45" s="70"/>
      <c r="DO45" s="70"/>
      <c r="DP45" s="70"/>
      <c r="DQ45" s="70"/>
      <c r="DR45" s="70"/>
      <c r="DS45" s="70"/>
      <c r="DT45" s="70"/>
      <c r="DU45" s="70"/>
      <c r="DV45" s="70"/>
      <c r="DW45" s="70"/>
      <c r="DX45" s="70"/>
      <c r="DY45" s="70"/>
      <c r="DZ45" s="70"/>
      <c r="EA45" s="70"/>
      <c r="EB45" s="70"/>
      <c r="EC45" s="70"/>
      <c r="ED45" s="70"/>
      <c r="EE45" s="70"/>
      <c r="EF45" s="70"/>
      <c r="EG45" s="70"/>
      <c r="EH45" s="70"/>
      <c r="EI45" s="70"/>
      <c r="EJ45" s="70"/>
      <c r="EK45" s="70"/>
      <c r="EL45" s="70"/>
      <c r="EM45" s="70"/>
      <c r="EN45" s="70"/>
      <c r="EO45" s="70"/>
      <c r="EP45" s="70"/>
      <c r="EQ45" s="70"/>
      <c r="ER45" s="70"/>
      <c r="ES45" s="70"/>
      <c r="ET45" s="70"/>
      <c r="EU45" s="70"/>
      <c r="EV45" s="70"/>
      <c r="EW45" s="70"/>
      <c r="EX45" s="70"/>
      <c r="EY45" s="70"/>
      <c r="EZ45" s="70"/>
      <c r="FA45" s="70"/>
      <c r="FB45" s="70"/>
      <c r="FC45" s="70"/>
      <c r="FD45" s="70"/>
      <c r="FE45" s="70"/>
      <c r="FF45" s="70"/>
      <c r="FG45" s="70"/>
      <c r="FH45" s="70"/>
      <c r="FI45" s="70"/>
      <c r="FJ45" s="70"/>
      <c r="FK45" s="70"/>
      <c r="FL45" s="70"/>
      <c r="FM45" s="70"/>
      <c r="FN45" s="70"/>
      <c r="FO45" s="70"/>
      <c r="FP45" s="70"/>
      <c r="FQ45" s="70"/>
      <c r="FR45" s="70"/>
      <c r="FS45" s="70"/>
      <c r="FT45" s="70"/>
      <c r="FU45" s="70"/>
      <c r="FV45" s="70"/>
      <c r="FW45" s="70"/>
      <c r="FX45" s="70"/>
      <c r="FY45" s="70"/>
      <c r="FZ45" s="70"/>
      <c r="GA45" s="70"/>
      <c r="GB45" s="70"/>
      <c r="GC45" s="70"/>
      <c r="GD45" s="70"/>
      <c r="GE45" s="70"/>
      <c r="GF45" s="70"/>
      <c r="GG45" s="70"/>
      <c r="GH45" s="70"/>
      <c r="GI45" s="70"/>
      <c r="GJ45" s="70"/>
      <c r="GK45" s="70"/>
      <c r="GL45" s="70"/>
      <c r="GM45" s="70"/>
      <c r="GN45" s="70"/>
      <c r="GO45" s="70"/>
      <c r="GP45" s="70"/>
      <c r="GQ45" s="70"/>
      <c r="GR45" s="70"/>
      <c r="GS45" s="70"/>
      <c r="GT45" s="70"/>
      <c r="GU45" s="70"/>
      <c r="GV45" s="70"/>
      <c r="GW45" s="70"/>
      <c r="GX45" s="70"/>
      <c r="GY45" s="70"/>
      <c r="GZ45" s="70"/>
      <c r="HA45" s="70"/>
      <c r="HB45" s="70"/>
      <c r="HC45" s="70"/>
      <c r="HD45" s="70"/>
      <c r="HE45" s="70"/>
      <c r="HF45" s="70"/>
      <c r="HG45" s="70"/>
      <c r="HH45" s="70"/>
      <c r="HI45" s="70"/>
      <c r="HJ45" s="70"/>
      <c r="HK45" s="70"/>
      <c r="HL45" s="70"/>
      <c r="HM45" s="70"/>
      <c r="HN45" s="70"/>
      <c r="HO45" s="70"/>
      <c r="HP45" s="70"/>
      <c r="HQ45" s="70"/>
      <c r="HR45" s="70"/>
      <c r="HS45" s="70"/>
      <c r="HT45" s="70"/>
      <c r="HU45" s="70"/>
      <c r="HV45" s="70"/>
      <c r="HW45" s="70"/>
      <c r="HX45" s="70"/>
      <c r="HY45" s="70"/>
      <c r="HZ45" s="70"/>
      <c r="IA45" s="70"/>
      <c r="IB45" s="70"/>
      <c r="IC45" s="70"/>
      <c r="ID45" s="70"/>
      <c r="IE45" s="70"/>
      <c r="IF45" s="70"/>
      <c r="IG45" s="70"/>
      <c r="IH45" s="70"/>
      <c r="II45" s="70"/>
      <c r="IJ45" s="70"/>
      <c r="IK45" s="70"/>
      <c r="IL45" s="70"/>
      <c r="IM45" s="70"/>
      <c r="IN45" s="70"/>
      <c r="IO45" s="70"/>
      <c r="IP45" s="70"/>
      <c r="IQ45" s="70"/>
      <c r="IR45" s="70"/>
      <c r="IS45" s="70"/>
      <c r="IT45" s="70"/>
      <c r="IU45" s="70"/>
    </row>
    <row r="46" spans="1:255" ht="15" customHeight="1" x14ac:dyDescent="0.25">
      <c r="B46" s="18"/>
      <c r="C46" s="52"/>
      <c r="D46" s="281"/>
      <c r="L46" s="69"/>
      <c r="M46" s="51"/>
      <c r="N46" s="62"/>
      <c r="O46" s="67"/>
      <c r="P46" s="66"/>
      <c r="Q46" s="66"/>
      <c r="R46" s="66"/>
      <c r="S46" s="53"/>
      <c r="T46" s="63"/>
      <c r="U46" s="67"/>
      <c r="V46" s="65"/>
      <c r="W46" s="65"/>
      <c r="X46" s="64"/>
      <c r="Y46" s="53"/>
      <c r="Z46" s="63"/>
      <c r="AA46" s="67"/>
      <c r="AB46" s="66"/>
      <c r="AC46" s="54"/>
      <c r="AD46" s="54"/>
      <c r="AE46" s="53"/>
      <c r="AF46" s="63"/>
      <c r="AG46" s="67"/>
      <c r="AH46" s="54"/>
      <c r="AI46" s="54"/>
      <c r="AJ46" s="54"/>
      <c r="AK46" s="53"/>
      <c r="AL46" s="63"/>
      <c r="AM46" s="67"/>
      <c r="AN46" s="54"/>
      <c r="AO46" s="54"/>
      <c r="AP46" s="54"/>
      <c r="AQ46" s="53"/>
      <c r="AR46" s="63"/>
      <c r="AS46" s="67"/>
      <c r="AT46" s="54"/>
      <c r="AU46" s="54"/>
      <c r="AV46" s="54"/>
      <c r="AW46" s="53"/>
      <c r="AX46" s="63"/>
      <c r="AY46" s="67"/>
      <c r="AZ46" s="54"/>
      <c r="BA46" s="54"/>
      <c r="BB46" s="54"/>
      <c r="BC46" s="53"/>
      <c r="BD46" s="62"/>
      <c r="BE46" s="67"/>
      <c r="BF46" s="54"/>
      <c r="BG46" s="54"/>
      <c r="BH46" s="54"/>
      <c r="BI46" s="53"/>
      <c r="BJ46" s="39"/>
      <c r="BL46" s="51"/>
      <c r="BM46" s="51"/>
      <c r="BN46" s="33"/>
      <c r="BO46" s="33"/>
      <c r="BQ46" s="33"/>
      <c r="BR46" s="281"/>
      <c r="BS46" s="282"/>
      <c r="BT46" s="282"/>
      <c r="BU46" s="19"/>
      <c r="BV46" s="68"/>
    </row>
    <row r="47" spans="1:255" ht="15" customHeight="1" x14ac:dyDescent="0.25">
      <c r="B47" s="18"/>
      <c r="C47" s="52"/>
      <c r="D47" s="281"/>
      <c r="M47" s="51"/>
      <c r="N47" s="62"/>
      <c r="O47" s="67"/>
      <c r="P47" s="66"/>
      <c r="Q47" s="66" t="s">
        <v>5</v>
      </c>
      <c r="R47" s="66"/>
      <c r="S47" s="53"/>
      <c r="T47" s="63"/>
      <c r="U47" s="67"/>
      <c r="V47" s="65"/>
      <c r="W47" s="65"/>
      <c r="X47" s="64"/>
      <c r="Y47" s="53"/>
      <c r="Z47" s="63"/>
      <c r="AA47" s="67"/>
      <c r="AB47" s="56"/>
      <c r="AC47" s="54"/>
      <c r="AD47" s="54"/>
      <c r="AE47" s="53"/>
      <c r="AF47" s="63"/>
      <c r="AG47" s="67"/>
      <c r="AH47" s="54"/>
      <c r="AI47" s="54"/>
      <c r="AJ47" s="54"/>
      <c r="AK47" s="53"/>
      <c r="AL47" s="63"/>
      <c r="AM47" s="67"/>
      <c r="AN47" s="54"/>
      <c r="AO47" s="54"/>
      <c r="AP47" s="54"/>
      <c r="AQ47" s="53"/>
      <c r="AR47" s="63"/>
      <c r="AS47" s="67"/>
      <c r="AT47" s="54"/>
      <c r="AU47" s="54"/>
      <c r="AV47" s="54"/>
      <c r="AW47" s="53"/>
      <c r="AX47" s="63"/>
      <c r="AY47" s="67"/>
      <c r="AZ47" s="54"/>
      <c r="BA47" s="54"/>
      <c r="BB47" s="54"/>
      <c r="BC47" s="53"/>
      <c r="BD47" s="62"/>
      <c r="BE47" s="67"/>
      <c r="BF47" s="54"/>
      <c r="BG47" s="54"/>
      <c r="BH47" s="54"/>
      <c r="BI47" s="53"/>
      <c r="BJ47" s="39"/>
      <c r="BQ47" s="33"/>
      <c r="BR47" s="281"/>
      <c r="BS47" s="38"/>
      <c r="BT47" s="38"/>
      <c r="BU47" s="19"/>
      <c r="BV47" s="13"/>
    </row>
    <row r="48" spans="1:255" s="2" customFormat="1" x14ac:dyDescent="0.25">
      <c r="A48" s="1"/>
      <c r="B48" s="18"/>
      <c r="C48" s="52"/>
      <c r="F48" s="296" t="s">
        <v>4</v>
      </c>
      <c r="G48" s="296"/>
      <c r="H48" s="296"/>
      <c r="I48" s="296"/>
      <c r="J48" s="296"/>
      <c r="K48" s="297"/>
      <c r="M48" s="51"/>
      <c r="N48" s="62"/>
      <c r="O48" s="67"/>
      <c r="P48" s="66"/>
      <c r="Q48" s="66"/>
      <c r="R48" s="66"/>
      <c r="S48" s="53"/>
      <c r="T48" s="63"/>
      <c r="U48" s="67"/>
      <c r="V48" s="65"/>
      <c r="W48" s="65"/>
      <c r="X48" s="64"/>
      <c r="Y48" s="53"/>
      <c r="Z48" s="63"/>
      <c r="AA48" s="67"/>
      <c r="AB48" s="56"/>
      <c r="AC48" s="54"/>
      <c r="AD48" s="54"/>
      <c r="AE48" s="53"/>
      <c r="AF48" s="63"/>
      <c r="AG48" s="67"/>
      <c r="AH48" s="54"/>
      <c r="AI48" s="54"/>
      <c r="AJ48" s="54"/>
      <c r="AK48" s="53"/>
      <c r="AL48" s="63"/>
      <c r="AM48" s="67"/>
      <c r="AN48" s="54"/>
      <c r="AO48" s="54"/>
      <c r="AP48" s="54"/>
      <c r="AQ48" s="53"/>
      <c r="AR48" s="63"/>
      <c r="AS48" s="67"/>
      <c r="AT48" s="54"/>
      <c r="AU48" s="54"/>
      <c r="AV48" s="54"/>
      <c r="AW48" s="53"/>
      <c r="AX48" s="63"/>
      <c r="AY48" s="67"/>
      <c r="AZ48" s="54"/>
      <c r="BA48" s="54"/>
      <c r="BB48" s="54"/>
      <c r="BC48" s="53"/>
      <c r="BD48" s="62"/>
      <c r="BE48" s="67"/>
      <c r="BF48" s="54"/>
      <c r="BG48" s="54"/>
      <c r="BH48" s="54"/>
      <c r="BI48" s="53"/>
      <c r="BJ48" s="39"/>
      <c r="BK48" s="3"/>
      <c r="BL48" s="3"/>
      <c r="BM48" s="3"/>
      <c r="BQ48" s="33"/>
      <c r="BR48" s="281"/>
      <c r="BS48" s="38"/>
      <c r="BT48" s="38"/>
      <c r="BU48" s="19"/>
      <c r="BV48" s="13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</row>
    <row r="49" spans="1:255" s="2" customFormat="1" x14ac:dyDescent="0.25">
      <c r="A49" s="1"/>
      <c r="B49" s="18"/>
      <c r="C49" s="52"/>
      <c r="D49" s="51"/>
      <c r="G49" s="283">
        <v>75</v>
      </c>
      <c r="H49" s="283"/>
      <c r="I49" s="283"/>
      <c r="J49" s="283"/>
      <c r="K49" s="284"/>
      <c r="N49" s="62"/>
      <c r="O49" s="61"/>
      <c r="P49" s="66"/>
      <c r="Q49" s="66"/>
      <c r="R49" s="66"/>
      <c r="S49" s="53"/>
      <c r="T49" s="63"/>
      <c r="U49" s="61"/>
      <c r="V49" s="65"/>
      <c r="W49" s="64"/>
      <c r="X49" s="64"/>
      <c r="Y49" s="53"/>
      <c r="Z49" s="63"/>
      <c r="AA49" s="61"/>
      <c r="AB49" s="56"/>
      <c r="AC49" s="54"/>
      <c r="AD49" s="54"/>
      <c r="AE49" s="53"/>
      <c r="AF49" s="63"/>
      <c r="AG49" s="61"/>
      <c r="AH49" s="54"/>
      <c r="AI49" s="54"/>
      <c r="AJ49" s="54"/>
      <c r="AK49" s="53"/>
      <c r="AL49" s="63"/>
      <c r="AM49" s="61"/>
      <c r="AN49" s="54"/>
      <c r="AO49" s="54"/>
      <c r="AP49" s="54"/>
      <c r="AQ49" s="53"/>
      <c r="AR49" s="63"/>
      <c r="AS49" s="61"/>
      <c r="AT49" s="54"/>
      <c r="AU49" s="54"/>
      <c r="AV49" s="54"/>
      <c r="AW49" s="53"/>
      <c r="AX49" s="63"/>
      <c r="AY49" s="61"/>
      <c r="AZ49" s="54"/>
      <c r="BA49" s="54"/>
      <c r="BB49" s="54"/>
      <c r="BC49" s="53"/>
      <c r="BD49" s="62"/>
      <c r="BE49" s="61"/>
      <c r="BF49" s="54"/>
      <c r="BG49" s="54"/>
      <c r="BH49" s="54"/>
      <c r="BI49" s="53"/>
      <c r="BJ49" s="39"/>
      <c r="BK49" s="3"/>
      <c r="BN49" s="33"/>
      <c r="BO49" s="33"/>
      <c r="BR49" s="3"/>
      <c r="BS49" s="38"/>
      <c r="BT49" s="38"/>
      <c r="BU49" s="19"/>
      <c r="BV49" s="13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</row>
    <row r="50" spans="1:255" ht="15" customHeight="1" x14ac:dyDescent="0.25">
      <c r="B50" s="18"/>
      <c r="C50" s="52"/>
      <c r="D50" s="51"/>
      <c r="L50" s="288">
        <v>150</v>
      </c>
      <c r="M50" s="289"/>
      <c r="N50" s="49"/>
      <c r="O50" s="60"/>
      <c r="P50" s="299" t="s">
        <v>3</v>
      </c>
      <c r="Q50" s="299"/>
      <c r="R50" s="299"/>
      <c r="S50" s="58"/>
      <c r="T50" s="39"/>
      <c r="U50" s="60"/>
      <c r="V50" s="300">
        <v>200</v>
      </c>
      <c r="W50" s="59"/>
      <c r="X50" s="59"/>
      <c r="Y50" s="58"/>
      <c r="Z50" s="39"/>
      <c r="AA50" s="57"/>
      <c r="AB50" s="56"/>
      <c r="AC50" s="54"/>
      <c r="AD50" s="54"/>
      <c r="AE50" s="53"/>
      <c r="AF50" s="39"/>
      <c r="AG50" s="55"/>
      <c r="AH50" s="54"/>
      <c r="AI50" s="54"/>
      <c r="AJ50" s="54"/>
      <c r="AK50" s="53"/>
      <c r="AL50" s="39"/>
      <c r="AM50" s="55"/>
      <c r="AN50" s="54"/>
      <c r="AO50" s="54"/>
      <c r="AP50" s="54"/>
      <c r="AQ50" s="53"/>
      <c r="AR50" s="39"/>
      <c r="AS50" s="55"/>
      <c r="AT50" s="54"/>
      <c r="AU50" s="54"/>
      <c r="AV50" s="54"/>
      <c r="AW50" s="53"/>
      <c r="AX50" s="39"/>
      <c r="AY50" s="55"/>
      <c r="AZ50" s="54"/>
      <c r="BA50" s="54"/>
      <c r="BB50" s="54"/>
      <c r="BC50" s="53"/>
      <c r="BD50" s="39"/>
      <c r="BE50" s="55"/>
      <c r="BF50" s="54"/>
      <c r="BG50" s="54"/>
      <c r="BH50" s="54"/>
      <c r="BI50" s="53"/>
      <c r="BJ50" s="39"/>
      <c r="BN50" s="33"/>
      <c r="BO50" s="33"/>
      <c r="BS50" s="38"/>
      <c r="BT50" s="38"/>
      <c r="BU50" s="19"/>
      <c r="BV50" s="13"/>
      <c r="BW50" s="4"/>
      <c r="BX50" s="4"/>
      <c r="BY50" s="4"/>
    </row>
    <row r="51" spans="1:255" x14ac:dyDescent="0.25">
      <c r="B51" s="18"/>
      <c r="C51" s="52"/>
      <c r="D51" s="51"/>
      <c r="L51" s="51"/>
      <c r="M51" s="50"/>
      <c r="N51" s="49"/>
      <c r="O51" s="47"/>
      <c r="P51" s="48"/>
      <c r="Q51" s="48"/>
      <c r="R51" s="48"/>
      <c r="S51" s="40"/>
      <c r="T51" s="43"/>
      <c r="U51" s="47"/>
      <c r="V51" s="301"/>
      <c r="W51" s="46"/>
      <c r="X51" s="46"/>
      <c r="Y51" s="40"/>
      <c r="Z51" s="43"/>
      <c r="AA51" s="45"/>
      <c r="AB51" s="44"/>
      <c r="AC51" s="41"/>
      <c r="AD51" s="41"/>
      <c r="AE51" s="40"/>
      <c r="AF51" s="43"/>
      <c r="AG51" s="42"/>
      <c r="AH51" s="41"/>
      <c r="AI51" s="41"/>
      <c r="AJ51" s="41"/>
      <c r="AK51" s="40"/>
      <c r="AL51" s="43"/>
      <c r="AM51" s="42"/>
      <c r="AN51" s="41"/>
      <c r="AO51" s="41"/>
      <c r="AP51" s="41"/>
      <c r="AQ51" s="40"/>
      <c r="AR51" s="43"/>
      <c r="AS51" s="42"/>
      <c r="AT51" s="41"/>
      <c r="AU51" s="41"/>
      <c r="AV51" s="41"/>
      <c r="AW51" s="40"/>
      <c r="AX51" s="43"/>
      <c r="AY51" s="42"/>
      <c r="AZ51" s="41"/>
      <c r="BA51" s="41"/>
      <c r="BB51" s="41"/>
      <c r="BC51" s="40"/>
      <c r="BD51" s="43"/>
      <c r="BE51" s="42"/>
      <c r="BF51" s="41"/>
      <c r="BG51" s="41"/>
      <c r="BH51" s="41"/>
      <c r="BI51" s="40"/>
      <c r="BJ51" s="39"/>
      <c r="BN51" s="33"/>
      <c r="BO51" s="33"/>
      <c r="BR51" s="15"/>
      <c r="BS51" s="38"/>
      <c r="BT51" s="38"/>
      <c r="BU51" s="19"/>
      <c r="BV51" s="13"/>
      <c r="BW51" s="4"/>
      <c r="BX51" s="4"/>
      <c r="BY51" s="4"/>
    </row>
    <row r="52" spans="1:255" ht="27" customHeight="1" x14ac:dyDescent="0.25">
      <c r="B52" s="18"/>
      <c r="C52" s="20"/>
      <c r="D52" s="37"/>
      <c r="E52" s="37"/>
      <c r="M52" s="36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4"/>
      <c r="BN52" s="33"/>
      <c r="BO52" s="33"/>
      <c r="BP52" s="285">
        <v>150</v>
      </c>
      <c r="BQ52" s="285"/>
      <c r="BR52" s="27"/>
      <c r="BS52" s="32"/>
      <c r="BT52" s="32"/>
      <c r="BU52" s="19"/>
      <c r="BV52" s="31"/>
    </row>
    <row r="53" spans="1:255" s="2" customFormat="1" x14ac:dyDescent="0.25">
      <c r="A53" s="1"/>
      <c r="B53" s="18"/>
      <c r="C53" s="20"/>
      <c r="M53" s="30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8"/>
      <c r="BL53" s="3"/>
      <c r="BM53" s="3"/>
      <c r="BN53" s="3"/>
      <c r="BO53" s="3"/>
      <c r="BP53" s="285">
        <v>100</v>
      </c>
      <c r="BQ53" s="285"/>
      <c r="BR53" s="27"/>
      <c r="BS53" s="3"/>
      <c r="BT53" s="3"/>
      <c r="BU53" s="19"/>
      <c r="BV53" s="13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</row>
    <row r="54" spans="1:255" s="2" customFormat="1" ht="20.25" customHeight="1" x14ac:dyDescent="0.25">
      <c r="A54" s="1"/>
      <c r="B54" s="18"/>
      <c r="C54" s="20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3"/>
      <c r="BM54" s="3"/>
      <c r="BN54" s="3"/>
      <c r="BO54" s="3"/>
      <c r="BP54" s="285">
        <v>150</v>
      </c>
      <c r="BQ54" s="285"/>
      <c r="BR54" s="25"/>
      <c r="BS54" s="3"/>
      <c r="BT54" s="3"/>
      <c r="BU54" s="19"/>
      <c r="BV54" s="13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</row>
    <row r="55" spans="1:255" s="2" customFormat="1" x14ac:dyDescent="0.25">
      <c r="A55" s="1"/>
      <c r="B55" s="18"/>
      <c r="C55" s="20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  <c r="BL55" s="3"/>
      <c r="BM55" s="3"/>
      <c r="BN55" s="3"/>
      <c r="BO55" s="3"/>
      <c r="BP55" s="3"/>
      <c r="BQ55" s="3"/>
      <c r="BR55" s="3"/>
      <c r="BS55" s="3"/>
      <c r="BT55" s="3"/>
      <c r="BU55" s="19"/>
      <c r="BV55" s="13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</row>
    <row r="56" spans="1:255" s="2" customFormat="1" x14ac:dyDescent="0.25">
      <c r="A56" s="1"/>
      <c r="B56" s="18"/>
      <c r="C56" s="20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19"/>
      <c r="BV56" s="13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</row>
    <row r="57" spans="1:255" s="2" customFormat="1" x14ac:dyDescent="0.25">
      <c r="A57" s="1"/>
      <c r="B57" s="18"/>
      <c r="C57" s="20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21" t="s">
        <v>2</v>
      </c>
      <c r="BH57" s="21"/>
      <c r="BI57" s="21"/>
      <c r="BJ57" s="21"/>
      <c r="BK57" s="21"/>
      <c r="BL57" s="21"/>
      <c r="BM57" s="3"/>
      <c r="BN57" s="3"/>
      <c r="BO57" s="3"/>
      <c r="BP57" s="3"/>
      <c r="BQ57" s="3"/>
      <c r="BR57" s="3"/>
      <c r="BS57" s="3"/>
      <c r="BT57" s="3"/>
      <c r="BU57" s="19"/>
      <c r="BV57" s="13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</row>
    <row r="58" spans="1:255" s="2" customFormat="1" x14ac:dyDescent="0.2">
      <c r="A58" s="1"/>
      <c r="B58" s="18"/>
      <c r="C58" s="20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21" t="str">
        <f>[2]Input!C8</f>
        <v>Dry Edge Brick Soling</v>
      </c>
      <c r="BH58" s="21"/>
      <c r="BI58" s="21"/>
      <c r="BJ58" s="21"/>
      <c r="BK58" s="21"/>
      <c r="BL58" s="23"/>
      <c r="BM58" s="23"/>
      <c r="BN58" s="23"/>
      <c r="BO58" s="22"/>
      <c r="BP58" s="22"/>
      <c r="BQ58" s="22"/>
      <c r="BR58" s="3"/>
      <c r="BS58" s="3"/>
      <c r="BT58" s="3"/>
      <c r="BU58" s="19"/>
      <c r="BV58" s="13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</row>
    <row r="59" spans="1:255" s="2" customFormat="1" x14ac:dyDescent="0.25">
      <c r="A59" s="1"/>
      <c r="B59" s="18"/>
      <c r="C59" s="20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21" t="s">
        <v>1</v>
      </c>
      <c r="BH59" s="21"/>
      <c r="BI59" s="21"/>
      <c r="BJ59" s="21"/>
      <c r="BK59" s="21"/>
      <c r="BL59" s="21"/>
      <c r="BM59" s="3"/>
      <c r="BN59" s="3"/>
      <c r="BO59" s="3"/>
      <c r="BP59" s="3"/>
      <c r="BQ59" s="3"/>
      <c r="BR59" s="3"/>
      <c r="BS59" s="3"/>
      <c r="BT59" s="3"/>
      <c r="BU59" s="19"/>
      <c r="BV59" s="13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</row>
    <row r="60" spans="1:255" s="2" customFormat="1" ht="18.75" x14ac:dyDescent="0.25">
      <c r="A60" s="1"/>
      <c r="B60" s="18"/>
      <c r="C60" s="20"/>
      <c r="M60" s="294" t="s">
        <v>0</v>
      </c>
      <c r="N60" s="294"/>
      <c r="O60" s="294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4"/>
      <c r="AC60" s="294"/>
      <c r="AD60" s="294"/>
      <c r="AE60" s="294"/>
      <c r="AF60" s="294"/>
      <c r="AG60" s="294"/>
      <c r="AH60" s="294"/>
      <c r="AI60" s="294"/>
      <c r="AJ60" s="294"/>
      <c r="AK60" s="294"/>
      <c r="AL60" s="294"/>
      <c r="AM60" s="294"/>
      <c r="AN60" s="294"/>
      <c r="AO60" s="294"/>
      <c r="AP60" s="294"/>
      <c r="AQ60" s="294"/>
      <c r="AR60" s="294"/>
      <c r="AS60" s="294"/>
      <c r="AT60" s="294"/>
      <c r="AU60" s="294"/>
      <c r="AV60" s="294"/>
      <c r="AW60" s="294"/>
      <c r="AX60" s="294"/>
      <c r="AY60" s="294"/>
      <c r="AZ60" s="294"/>
      <c r="BA60" s="294"/>
      <c r="BB60" s="294"/>
      <c r="BC60" s="294"/>
      <c r="BD60" s="294"/>
      <c r="BE60" s="294"/>
      <c r="BF60" s="294"/>
      <c r="BG60" s="294"/>
      <c r="BH60" s="294"/>
      <c r="BI60" s="294"/>
      <c r="BJ60" s="294"/>
      <c r="BK60" s="294"/>
      <c r="BL60" s="3"/>
      <c r="BM60" s="3"/>
      <c r="BN60" s="3"/>
      <c r="BO60" s="3"/>
      <c r="BP60" s="3"/>
      <c r="BQ60" s="3"/>
      <c r="BR60" s="3"/>
      <c r="BS60" s="3"/>
      <c r="BT60" s="3"/>
      <c r="BU60" s="19"/>
      <c r="BV60" s="13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</row>
    <row r="61" spans="1:255" s="2" customFormat="1" x14ac:dyDescent="0.25">
      <c r="A61" s="1"/>
      <c r="B61" s="18"/>
      <c r="C61" s="17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4"/>
      <c r="BV61" s="13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</row>
    <row r="62" spans="1:255" s="2" customFormat="1" ht="5.0999999999999996" customHeight="1" thickBot="1" x14ac:dyDescent="0.3">
      <c r="A62" s="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9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</row>
    <row r="63" spans="1:255" s="7" customFormat="1" ht="18.75" x14ac:dyDescent="0.25">
      <c r="A63" s="8"/>
    </row>
    <row r="64" spans="1:255" s="5" customFormat="1" ht="15.75" x14ac:dyDescent="0.25">
      <c r="A64" s="6"/>
    </row>
    <row r="65" spans="1:992 1055:1813" s="5" customFormat="1" ht="15.75" x14ac:dyDescent="0.25">
      <c r="A65" s="6"/>
    </row>
    <row r="66" spans="1:992 1055:1813" s="5" customFormat="1" ht="15.75" x14ac:dyDescent="0.25">
      <c r="A66" s="6"/>
    </row>
    <row r="67" spans="1:992 1055:1813" s="5" customFormat="1" ht="15.75" x14ac:dyDescent="0.25">
      <c r="A67" s="6"/>
    </row>
    <row r="68" spans="1:992 1055:1813" s="5" customFormat="1" ht="16.5" customHeight="1" x14ac:dyDescent="0.25">
      <c r="A68" s="6"/>
    </row>
    <row r="69" spans="1:992 1055:1813" s="5" customFormat="1" ht="15.75" x14ac:dyDescent="0.25">
      <c r="A69" s="6"/>
    </row>
    <row r="70" spans="1:992 1055:1813" s="5" customFormat="1" ht="15.75" x14ac:dyDescent="0.25">
      <c r="A70" s="6"/>
      <c r="HR70" s="5" t="s">
        <v>12</v>
      </c>
      <c r="LB70" s="5">
        <v>7630</v>
      </c>
      <c r="NY70" s="5">
        <v>350</v>
      </c>
      <c r="OE70" s="5">
        <v>110</v>
      </c>
      <c r="OK70" s="5">
        <v>110</v>
      </c>
      <c r="OQ70" s="5">
        <v>110</v>
      </c>
      <c r="OW70" s="5">
        <v>110</v>
      </c>
      <c r="PC70" s="5">
        <v>110</v>
      </c>
      <c r="PI70" s="5">
        <v>110</v>
      </c>
      <c r="PO70" s="5">
        <v>110</v>
      </c>
      <c r="PU70" s="5">
        <v>350</v>
      </c>
      <c r="QX70" s="5">
        <v>4584</v>
      </c>
      <c r="RD70" s="5">
        <v>4584</v>
      </c>
      <c r="RJ70" s="5">
        <v>4584</v>
      </c>
      <c r="RP70" s="5">
        <v>4584</v>
      </c>
      <c r="RV70" s="5">
        <v>4584</v>
      </c>
      <c r="SB70" s="5">
        <v>4584</v>
      </c>
      <c r="SH70" s="5">
        <v>4584</v>
      </c>
      <c r="SN70" s="5">
        <v>4584</v>
      </c>
      <c r="TF70" s="5" t="s">
        <v>14</v>
      </c>
      <c r="ZJ70" s="5">
        <v>230</v>
      </c>
      <c r="ABO70" s="5">
        <v>230</v>
      </c>
      <c r="ACH70" s="5">
        <v>450</v>
      </c>
      <c r="AKQ70" s="5">
        <v>230</v>
      </c>
      <c r="ALD70" s="5">
        <v>600</v>
      </c>
      <c r="ANO70" s="5">
        <v>450</v>
      </c>
      <c r="ANQ70" s="5" t="s">
        <v>11</v>
      </c>
      <c r="APZ70" s="5">
        <v>1500</v>
      </c>
      <c r="AQB70" s="5">
        <v>1960</v>
      </c>
      <c r="AQD70" s="5" t="s">
        <v>11</v>
      </c>
      <c r="AWE70" s="5">
        <v>230</v>
      </c>
      <c r="BKE70" s="5">
        <v>230</v>
      </c>
      <c r="BQS70" s="5" t="s">
        <v>10</v>
      </c>
    </row>
    <row r="71" spans="1:992 1055:1813" s="5" customFormat="1" ht="15.75" x14ac:dyDescent="0.25">
      <c r="A71" s="6"/>
    </row>
    <row r="72" spans="1:992 1055:1813" s="5" customFormat="1" ht="15.75" x14ac:dyDescent="0.25">
      <c r="A72" s="6"/>
    </row>
    <row r="73" spans="1:992 1055:1813" s="5" customFormat="1" ht="15.75" x14ac:dyDescent="0.25">
      <c r="A73" s="6"/>
    </row>
    <row r="74" spans="1:992 1055:1813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1"/>
    </row>
    <row r="75" spans="1:992 1055:1813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1"/>
    </row>
    <row r="76" spans="1:992 1055:1813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1"/>
    </row>
    <row r="77" spans="1:992 1055:1813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1"/>
    </row>
    <row r="78" spans="1:992 1055:1813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1"/>
    </row>
    <row r="79" spans="1:992 1055:1813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1"/>
    </row>
    <row r="80" spans="1:992 1055:1813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1"/>
    </row>
    <row r="81" spans="29:73" s="1" customFormat="1" x14ac:dyDescent="0.25"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</row>
    <row r="82" spans="29:73" s="1" customFormat="1" x14ac:dyDescent="0.25"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</row>
    <row r="83" spans="29:73" s="1" customFormat="1" x14ac:dyDescent="0.25"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</row>
    <row r="84" spans="29:73" s="1" customFormat="1" x14ac:dyDescent="0.25"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</row>
    <row r="85" spans="29:73" s="1" customFormat="1" x14ac:dyDescent="0.25"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</row>
    <row r="86" spans="29:73" s="1" customFormat="1" x14ac:dyDescent="0.25"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</row>
    <row r="87" spans="29:73" s="1" customFormat="1" x14ac:dyDescent="0.25"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</row>
    <row r="88" spans="29:73" s="1" customFormat="1" x14ac:dyDescent="0.25"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</row>
    <row r="89" spans="29:73" s="1" customFormat="1" x14ac:dyDescent="0.25"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</row>
    <row r="90" spans="29:73" s="1" customFormat="1" x14ac:dyDescent="0.25"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</row>
    <row r="91" spans="29:73" s="1" customFormat="1" x14ac:dyDescent="0.25"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</row>
    <row r="92" spans="29:73" s="1" customFormat="1" x14ac:dyDescent="0.25"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</row>
    <row r="93" spans="29:73" s="1" customFormat="1" x14ac:dyDescent="0.25"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</row>
    <row r="94" spans="29:73" s="1" customFormat="1" x14ac:dyDescent="0.25"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</row>
    <row r="95" spans="29:73" s="1" customFormat="1" x14ac:dyDescent="0.25"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</row>
    <row r="96" spans="29:73" s="1" customFormat="1" x14ac:dyDescent="0.25"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</row>
    <row r="97" spans="29:73" s="1" customFormat="1" x14ac:dyDescent="0.25"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</row>
    <row r="98" spans="29:73" s="1" customFormat="1" x14ac:dyDescent="0.25"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</row>
    <row r="99" spans="29:73" s="1" customFormat="1" x14ac:dyDescent="0.25"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</row>
    <row r="100" spans="29:73" s="1" customFormat="1" x14ac:dyDescent="0.25"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</row>
    <row r="101" spans="29:73" s="1" customFormat="1" x14ac:dyDescent="0.25"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</row>
    <row r="102" spans="29:73" s="1" customFormat="1" x14ac:dyDescent="0.25"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</row>
    <row r="103" spans="29:73" s="1" customFormat="1" x14ac:dyDescent="0.25"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</row>
    <row r="104" spans="29:73" s="1" customFormat="1" x14ac:dyDescent="0.25"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</row>
    <row r="105" spans="29:73" s="1" customFormat="1" x14ac:dyDescent="0.25"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</row>
    <row r="106" spans="29:73" s="1" customFormat="1" x14ac:dyDescent="0.25"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</row>
    <row r="107" spans="29:73" s="1" customFormat="1" x14ac:dyDescent="0.25"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</row>
    <row r="108" spans="29:73" s="1" customFormat="1" x14ac:dyDescent="0.25"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</row>
    <row r="109" spans="29:73" s="1" customFormat="1" x14ac:dyDescent="0.25"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</row>
    <row r="110" spans="29:73" s="1" customFormat="1" x14ac:dyDescent="0.25"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</row>
    <row r="111" spans="29:73" s="1" customFormat="1" x14ac:dyDescent="0.25"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</row>
    <row r="112" spans="29:73" s="1" customFormat="1" x14ac:dyDescent="0.25"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</row>
    <row r="113" spans="29:73" s="1" customFormat="1" x14ac:dyDescent="0.25"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</row>
    <row r="114" spans="29:73" s="1" customFormat="1" x14ac:dyDescent="0.25"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</row>
    <row r="115" spans="29:73" s="1" customFormat="1" x14ac:dyDescent="0.25"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</row>
    <row r="116" spans="29:73" s="1" customFormat="1" x14ac:dyDescent="0.25"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</row>
    <row r="117" spans="29:73" s="1" customFormat="1" x14ac:dyDescent="0.25"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</row>
    <row r="118" spans="29:73" s="1" customFormat="1" x14ac:dyDescent="0.25"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</row>
    <row r="119" spans="29:73" s="1" customFormat="1" x14ac:dyDescent="0.25"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</row>
    <row r="120" spans="29:73" s="1" customFormat="1" x14ac:dyDescent="0.25"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</row>
    <row r="121" spans="29:73" s="1" customFormat="1" x14ac:dyDescent="0.25"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</row>
    <row r="122" spans="29:73" s="1" customFormat="1" x14ac:dyDescent="0.25"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</row>
    <row r="123" spans="29:73" s="1" customFormat="1" x14ac:dyDescent="0.25"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</row>
    <row r="124" spans="29:73" s="1" customFormat="1" x14ac:dyDescent="0.25"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</row>
    <row r="125" spans="29:73" s="1" customFormat="1" x14ac:dyDescent="0.25"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</row>
    <row r="126" spans="29:73" s="1" customFormat="1" x14ac:dyDescent="0.25"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</row>
    <row r="127" spans="29:73" s="1" customFormat="1" x14ac:dyDescent="0.25"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</row>
    <row r="128" spans="29:73" s="1" customFormat="1" x14ac:dyDescent="0.25"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</row>
    <row r="129" spans="29:73" s="1" customFormat="1" x14ac:dyDescent="0.25"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</row>
    <row r="130" spans="29:73" s="1" customFormat="1" x14ac:dyDescent="0.25"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</row>
    <row r="131" spans="29:73" s="1" customFormat="1" x14ac:dyDescent="0.25"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</row>
    <row r="132" spans="29:73" s="1" customFormat="1" x14ac:dyDescent="0.25"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</row>
    <row r="133" spans="29:73" s="1" customFormat="1" x14ac:dyDescent="0.25"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</row>
    <row r="134" spans="29:73" s="1" customFormat="1" x14ac:dyDescent="0.25"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</row>
    <row r="135" spans="29:73" s="1" customFormat="1" x14ac:dyDescent="0.25"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</row>
    <row r="136" spans="29:73" s="1" customFormat="1" x14ac:dyDescent="0.25"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</row>
    <row r="137" spans="29:73" s="1" customFormat="1" x14ac:dyDescent="0.25"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</row>
    <row r="138" spans="29:73" s="1" customFormat="1" x14ac:dyDescent="0.25"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</row>
    <row r="139" spans="29:73" s="1" customFormat="1" x14ac:dyDescent="0.25"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</row>
    <row r="140" spans="29:73" s="1" customFormat="1" x14ac:dyDescent="0.25"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</row>
    <row r="141" spans="29:73" s="1" customFormat="1" x14ac:dyDescent="0.25"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</row>
    <row r="142" spans="29:73" s="1" customFormat="1" x14ac:dyDescent="0.25"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</row>
    <row r="143" spans="29:73" s="1" customFormat="1" x14ac:dyDescent="0.25"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</row>
    <row r="144" spans="29:73" s="1" customFormat="1" x14ac:dyDescent="0.25"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</row>
    <row r="145" spans="29:73" s="1" customFormat="1" x14ac:dyDescent="0.25"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</row>
    <row r="146" spans="29:73" s="1" customFormat="1" x14ac:dyDescent="0.25"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</row>
    <row r="147" spans="29:73" s="1" customFormat="1" x14ac:dyDescent="0.25"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</row>
    <row r="148" spans="29:73" s="1" customFormat="1" x14ac:dyDescent="0.25"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</row>
    <row r="149" spans="29:73" s="1" customFormat="1" x14ac:dyDescent="0.25"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</row>
    <row r="150" spans="29:73" s="1" customFormat="1" x14ac:dyDescent="0.25"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</row>
    <row r="151" spans="29:73" s="1" customFormat="1" x14ac:dyDescent="0.25"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</row>
    <row r="152" spans="29:73" s="1" customFormat="1" x14ac:dyDescent="0.25"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</row>
    <row r="153" spans="29:73" s="1" customFormat="1" x14ac:dyDescent="0.25"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</row>
    <row r="154" spans="29:73" s="1" customFormat="1" x14ac:dyDescent="0.25"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</row>
    <row r="155" spans="29:73" s="1" customFormat="1" x14ac:dyDescent="0.25"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</row>
    <row r="156" spans="29:73" s="1" customFormat="1" x14ac:dyDescent="0.25"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</row>
    <row r="157" spans="29:73" s="1" customFormat="1" x14ac:dyDescent="0.25"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</row>
    <row r="158" spans="29:73" s="1" customFormat="1" x14ac:dyDescent="0.25"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</row>
    <row r="159" spans="29:73" s="1" customFormat="1" x14ac:dyDescent="0.25"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</row>
    <row r="160" spans="29:73" s="1" customFormat="1" x14ac:dyDescent="0.25"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</row>
    <row r="161" spans="29:73" s="1" customFormat="1" x14ac:dyDescent="0.25"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</row>
    <row r="162" spans="29:73" s="1" customFormat="1" x14ac:dyDescent="0.25"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</row>
    <row r="163" spans="29:73" s="1" customFormat="1" x14ac:dyDescent="0.25"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</row>
    <row r="164" spans="29:73" s="1" customFormat="1" x14ac:dyDescent="0.25"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</row>
    <row r="165" spans="29:73" s="1" customFormat="1" x14ac:dyDescent="0.25"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</row>
    <row r="166" spans="29:73" s="1" customFormat="1" x14ac:dyDescent="0.25"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</row>
    <row r="167" spans="29:73" s="1" customFormat="1" x14ac:dyDescent="0.25"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</row>
    <row r="168" spans="29:73" s="1" customFormat="1" x14ac:dyDescent="0.25"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</row>
    <row r="169" spans="29:73" s="1" customFormat="1" x14ac:dyDescent="0.25"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</row>
    <row r="170" spans="29:73" s="1" customFormat="1" x14ac:dyDescent="0.25"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</row>
    <row r="171" spans="29:73" s="1" customFormat="1" x14ac:dyDescent="0.25"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</row>
    <row r="172" spans="29:73" s="1" customFormat="1" x14ac:dyDescent="0.25"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</row>
    <row r="173" spans="29:73" s="1" customFormat="1" x14ac:dyDescent="0.25"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</row>
    <row r="174" spans="29:73" s="1" customFormat="1" x14ac:dyDescent="0.25"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</row>
    <row r="175" spans="29:73" s="1" customFormat="1" x14ac:dyDescent="0.25"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</row>
    <row r="176" spans="29:73" s="1" customFormat="1" x14ac:dyDescent="0.25"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</row>
    <row r="177" spans="29:73" s="1" customFormat="1" x14ac:dyDescent="0.25"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</row>
    <row r="178" spans="29:73" s="1" customFormat="1" x14ac:dyDescent="0.25"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</row>
    <row r="179" spans="29:73" s="1" customFormat="1" x14ac:dyDescent="0.25"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</row>
    <row r="180" spans="29:73" s="1" customFormat="1" x14ac:dyDescent="0.25"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</row>
    <row r="181" spans="29:73" s="1" customFormat="1" x14ac:dyDescent="0.25"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</row>
    <row r="182" spans="29:73" s="1" customFormat="1" x14ac:dyDescent="0.25"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</row>
    <row r="183" spans="29:73" s="1" customFormat="1" x14ac:dyDescent="0.25"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</row>
    <row r="184" spans="29:73" s="1" customFormat="1" x14ac:dyDescent="0.25"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</row>
    <row r="185" spans="29:73" s="1" customFormat="1" x14ac:dyDescent="0.25"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</row>
    <row r="186" spans="29:73" s="1" customFormat="1" x14ac:dyDescent="0.25"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</row>
    <row r="187" spans="29:73" s="1" customFormat="1" x14ac:dyDescent="0.25"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</row>
    <row r="188" spans="29:73" s="1" customFormat="1" x14ac:dyDescent="0.25"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</row>
    <row r="189" spans="29:73" s="1" customFormat="1" x14ac:dyDescent="0.25"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</row>
    <row r="190" spans="29:73" s="1" customFormat="1" x14ac:dyDescent="0.25"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</row>
    <row r="191" spans="29:73" s="1" customFormat="1" x14ac:dyDescent="0.25"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</row>
    <row r="192" spans="29:73" s="1" customFormat="1" x14ac:dyDescent="0.25"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</row>
    <row r="193" spans="29:73" s="1" customFormat="1" x14ac:dyDescent="0.25"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</row>
    <row r="194" spans="29:73" s="1" customFormat="1" x14ac:dyDescent="0.25"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</row>
    <row r="195" spans="29:73" s="1" customFormat="1" x14ac:dyDescent="0.25"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</row>
    <row r="196" spans="29:73" s="1" customFormat="1" x14ac:dyDescent="0.25"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</row>
    <row r="197" spans="29:73" s="1" customFormat="1" x14ac:dyDescent="0.25"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</row>
    <row r="198" spans="29:73" s="1" customFormat="1" x14ac:dyDescent="0.25"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</row>
    <row r="199" spans="29:73" s="1" customFormat="1" x14ac:dyDescent="0.25"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</row>
    <row r="200" spans="29:73" s="1" customFormat="1" x14ac:dyDescent="0.25"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</row>
    <row r="201" spans="29:73" s="1" customFormat="1" x14ac:dyDescent="0.25"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</row>
    <row r="202" spans="29:73" s="1" customFormat="1" x14ac:dyDescent="0.25"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</row>
    <row r="203" spans="29:73" s="1" customFormat="1" x14ac:dyDescent="0.25"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</row>
    <row r="204" spans="29:73" s="1" customFormat="1" x14ac:dyDescent="0.25"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</row>
    <row r="205" spans="29:73" s="1" customFormat="1" x14ac:dyDescent="0.25"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</row>
    <row r="206" spans="29:73" s="1" customFormat="1" x14ac:dyDescent="0.25"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</row>
    <row r="207" spans="29:73" s="1" customFormat="1" x14ac:dyDescent="0.25"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</row>
    <row r="208" spans="29:73" s="1" customFormat="1" x14ac:dyDescent="0.25"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</row>
    <row r="209" spans="29:73" s="1" customFormat="1" x14ac:dyDescent="0.25"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</row>
    <row r="210" spans="29:73" s="1" customFormat="1" x14ac:dyDescent="0.25"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</row>
    <row r="211" spans="29:73" s="1" customFormat="1" x14ac:dyDescent="0.25"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</row>
    <row r="212" spans="29:73" s="1" customFormat="1" x14ac:dyDescent="0.25"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</row>
    <row r="213" spans="29:73" s="1" customFormat="1" x14ac:dyDescent="0.25"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</row>
    <row r="214" spans="29:73" s="1" customFormat="1" x14ac:dyDescent="0.25"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</row>
    <row r="215" spans="29:73" s="1" customFormat="1" x14ac:dyDescent="0.25"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</row>
    <row r="216" spans="29:73" s="1" customFormat="1" x14ac:dyDescent="0.25"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</row>
    <row r="217" spans="29:73" s="1" customFormat="1" x14ac:dyDescent="0.25"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</row>
    <row r="218" spans="29:73" s="1" customFormat="1" x14ac:dyDescent="0.25"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</row>
    <row r="219" spans="29:73" s="1" customFormat="1" x14ac:dyDescent="0.25"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</row>
    <row r="220" spans="29:73" s="1" customFormat="1" x14ac:dyDescent="0.25"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</row>
    <row r="221" spans="29:73" s="1" customFormat="1" x14ac:dyDescent="0.25"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</row>
    <row r="222" spans="29:73" s="1" customFormat="1" x14ac:dyDescent="0.25"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</row>
    <row r="223" spans="29:73" s="1" customFormat="1" x14ac:dyDescent="0.25"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</row>
    <row r="224" spans="29:73" s="1" customFormat="1" x14ac:dyDescent="0.25"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</row>
    <row r="225" spans="29:73" s="1" customFormat="1" x14ac:dyDescent="0.25"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</row>
    <row r="226" spans="29:73" s="1" customFormat="1" x14ac:dyDescent="0.25"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</row>
    <row r="227" spans="29:73" s="1" customFormat="1" x14ac:dyDescent="0.25"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</row>
    <row r="228" spans="29:73" s="1" customFormat="1" x14ac:dyDescent="0.25"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</row>
    <row r="229" spans="29:73" s="1" customFormat="1" x14ac:dyDescent="0.25"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</row>
    <row r="230" spans="29:73" s="1" customFormat="1" x14ac:dyDescent="0.25"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</row>
    <row r="231" spans="29:73" s="1" customFormat="1" x14ac:dyDescent="0.25"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</row>
    <row r="232" spans="29:73" s="1" customFormat="1" x14ac:dyDescent="0.25"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</row>
    <row r="233" spans="29:73" s="1" customFormat="1" x14ac:dyDescent="0.25"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</row>
    <row r="234" spans="29:73" s="1" customFormat="1" x14ac:dyDescent="0.25"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</row>
    <row r="235" spans="29:73" s="1" customFormat="1" x14ac:dyDescent="0.25"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</row>
    <row r="236" spans="29:73" s="1" customFormat="1" x14ac:dyDescent="0.25"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</row>
    <row r="237" spans="29:73" s="1" customFormat="1" x14ac:dyDescent="0.25"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</row>
    <row r="238" spans="29:73" s="1" customFormat="1" x14ac:dyDescent="0.25"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</row>
    <row r="239" spans="29:73" s="1" customFormat="1" x14ac:dyDescent="0.25"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</row>
    <row r="240" spans="29:73" s="1" customFormat="1" x14ac:dyDescent="0.25"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</row>
    <row r="241" spans="29:73" s="1" customFormat="1" x14ac:dyDescent="0.25"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</row>
    <row r="242" spans="29:73" s="1" customFormat="1" x14ac:dyDescent="0.25"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</row>
    <row r="243" spans="29:73" s="1" customFormat="1" x14ac:dyDescent="0.25"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</row>
    <row r="244" spans="29:73" s="1" customFormat="1" x14ac:dyDescent="0.25"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</row>
    <row r="245" spans="29:73" s="1" customFormat="1" x14ac:dyDescent="0.25"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</row>
    <row r="246" spans="29:73" s="1" customFormat="1" x14ac:dyDescent="0.25"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</row>
    <row r="247" spans="29:73" s="1" customFormat="1" x14ac:dyDescent="0.25"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</row>
    <row r="248" spans="29:73" s="1" customFormat="1" x14ac:dyDescent="0.25"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</row>
    <row r="249" spans="29:73" s="1" customFormat="1" x14ac:dyDescent="0.25"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</row>
    <row r="250" spans="29:73" s="1" customFormat="1" x14ac:dyDescent="0.25"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</row>
    <row r="251" spans="29:73" s="1" customFormat="1" x14ac:dyDescent="0.25"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</row>
    <row r="252" spans="29:73" s="1" customFormat="1" x14ac:dyDescent="0.25"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</row>
    <row r="253" spans="29:73" s="1" customFormat="1" x14ac:dyDescent="0.25"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</row>
    <row r="254" spans="29:73" s="1" customFormat="1" x14ac:dyDescent="0.25"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</row>
    <row r="255" spans="29:73" s="1" customFormat="1" x14ac:dyDescent="0.25"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</row>
    <row r="256" spans="29:73" s="1" customFormat="1" x14ac:dyDescent="0.25"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</row>
    <row r="257" spans="29:73" s="1" customFormat="1" x14ac:dyDescent="0.25"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</row>
    <row r="258" spans="29:73" s="1" customFormat="1" x14ac:dyDescent="0.25"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</row>
    <row r="259" spans="29:73" s="1" customFormat="1" x14ac:dyDescent="0.25"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</row>
    <row r="260" spans="29:73" s="1" customFormat="1" x14ac:dyDescent="0.25"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</row>
    <row r="261" spans="29:73" s="1" customFormat="1" x14ac:dyDescent="0.25"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</row>
    <row r="262" spans="29:73" s="1" customFormat="1" x14ac:dyDescent="0.25"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</row>
    <row r="263" spans="29:73" s="1" customFormat="1" x14ac:dyDescent="0.25"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</row>
    <row r="264" spans="29:73" s="1" customFormat="1" x14ac:dyDescent="0.25"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</row>
    <row r="265" spans="29:73" s="1" customFormat="1" x14ac:dyDescent="0.25"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</row>
    <row r="266" spans="29:73" s="1" customFormat="1" x14ac:dyDescent="0.25"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</row>
    <row r="267" spans="29:73" s="1" customFormat="1" x14ac:dyDescent="0.25"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</row>
    <row r="268" spans="29:73" s="1" customFormat="1" x14ac:dyDescent="0.25"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</row>
    <row r="269" spans="29:73" s="1" customFormat="1" x14ac:dyDescent="0.25"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</row>
    <row r="270" spans="29:73" s="1" customFormat="1" x14ac:dyDescent="0.25"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</row>
    <row r="271" spans="29:73" s="1" customFormat="1" x14ac:dyDescent="0.25"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</row>
    <row r="272" spans="29:73" s="1" customFormat="1" x14ac:dyDescent="0.25"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</row>
    <row r="273" spans="29:73" s="1" customFormat="1" x14ac:dyDescent="0.25"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</row>
    <row r="274" spans="29:73" s="1" customFormat="1" x14ac:dyDescent="0.25"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</row>
    <row r="275" spans="29:73" s="1" customFormat="1" x14ac:dyDescent="0.25"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</row>
    <row r="276" spans="29:73" s="1" customFormat="1" x14ac:dyDescent="0.25"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</row>
    <row r="277" spans="29:73" s="1" customFormat="1" x14ac:dyDescent="0.25"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</row>
    <row r="278" spans="29:73" s="1" customFormat="1" x14ac:dyDescent="0.25"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</row>
    <row r="279" spans="29:73" s="1" customFormat="1" x14ac:dyDescent="0.25"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</row>
    <row r="280" spans="29:73" s="1" customFormat="1" x14ac:dyDescent="0.25"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</row>
    <row r="281" spans="29:73" s="1" customFormat="1" x14ac:dyDescent="0.25"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</row>
    <row r="282" spans="29:73" s="1" customFormat="1" x14ac:dyDescent="0.25"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</row>
    <row r="283" spans="29:73" s="1" customFormat="1" x14ac:dyDescent="0.25"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</row>
    <row r="284" spans="29:73" s="1" customFormat="1" x14ac:dyDescent="0.25"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</row>
    <row r="285" spans="29:73" s="1" customFormat="1" x14ac:dyDescent="0.25"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</row>
    <row r="286" spans="29:73" s="1" customFormat="1" x14ac:dyDescent="0.25"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</row>
    <row r="287" spans="29:73" s="1" customFormat="1" x14ac:dyDescent="0.25"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</row>
    <row r="288" spans="29:73" s="1" customFormat="1" x14ac:dyDescent="0.25"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</row>
    <row r="289" spans="29:73" s="1" customFormat="1" x14ac:dyDescent="0.25"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</row>
    <row r="290" spans="29:73" s="1" customFormat="1" x14ac:dyDescent="0.25"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</row>
    <row r="291" spans="29:73" s="1" customFormat="1" x14ac:dyDescent="0.25"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</row>
    <row r="292" spans="29:73" s="1" customFormat="1" x14ac:dyDescent="0.25"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</row>
    <row r="293" spans="29:73" s="1" customFormat="1" x14ac:dyDescent="0.25"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</row>
    <row r="294" spans="29:73" s="1" customFormat="1" x14ac:dyDescent="0.25"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</row>
    <row r="295" spans="29:73" s="1" customFormat="1" x14ac:dyDescent="0.25"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</row>
    <row r="296" spans="29:73" s="1" customFormat="1" x14ac:dyDescent="0.25"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</row>
    <row r="297" spans="29:73" s="1" customFormat="1" x14ac:dyDescent="0.25"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</row>
    <row r="298" spans="29:73" s="1" customFormat="1" x14ac:dyDescent="0.25"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</row>
    <row r="299" spans="29:73" s="1" customFormat="1" x14ac:dyDescent="0.25"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</row>
    <row r="300" spans="29:73" s="1" customFormat="1" x14ac:dyDescent="0.25"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</row>
    <row r="301" spans="29:73" s="1" customFormat="1" x14ac:dyDescent="0.25"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</row>
    <row r="302" spans="29:73" s="1" customFormat="1" x14ac:dyDescent="0.25"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</row>
    <row r="303" spans="29:73" s="1" customFormat="1" x14ac:dyDescent="0.25"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</row>
    <row r="304" spans="29:73" s="1" customFormat="1" x14ac:dyDescent="0.25"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</row>
    <row r="305" spans="29:73" s="1" customFormat="1" x14ac:dyDescent="0.25"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</row>
    <row r="306" spans="29:73" s="1" customFormat="1" x14ac:dyDescent="0.25"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</row>
    <row r="307" spans="29:73" s="1" customFormat="1" x14ac:dyDescent="0.25"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</row>
    <row r="308" spans="29:73" s="1" customFormat="1" x14ac:dyDescent="0.25"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</row>
    <row r="309" spans="29:73" s="1" customFormat="1" x14ac:dyDescent="0.25"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</row>
    <row r="310" spans="29:73" s="1" customFormat="1" x14ac:dyDescent="0.25"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</row>
    <row r="311" spans="29:73" s="1" customFormat="1" x14ac:dyDescent="0.25"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</row>
    <row r="312" spans="29:73" s="1" customFormat="1" x14ac:dyDescent="0.25"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</row>
    <row r="313" spans="29:73" s="1" customFormat="1" x14ac:dyDescent="0.25"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</row>
    <row r="314" spans="29:73" s="1" customFormat="1" x14ac:dyDescent="0.25"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</row>
    <row r="315" spans="29:73" s="1" customFormat="1" x14ac:dyDescent="0.25"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</row>
    <row r="316" spans="29:73" s="1" customFormat="1" x14ac:dyDescent="0.25"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</row>
    <row r="317" spans="29:73" s="1" customFormat="1" x14ac:dyDescent="0.25"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</row>
    <row r="318" spans="29:73" s="1" customFormat="1" x14ac:dyDescent="0.25"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</row>
    <row r="319" spans="29:73" s="1" customFormat="1" x14ac:dyDescent="0.25"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</row>
    <row r="320" spans="29:73" s="1" customFormat="1" x14ac:dyDescent="0.25"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</row>
    <row r="321" spans="29:73" s="1" customFormat="1" x14ac:dyDescent="0.25"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</row>
    <row r="322" spans="29:73" s="1" customFormat="1" x14ac:dyDescent="0.25"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</row>
    <row r="323" spans="29:73" s="1" customFormat="1" x14ac:dyDescent="0.25"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</row>
    <row r="324" spans="29:73" s="1" customFormat="1" x14ac:dyDescent="0.25"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</row>
    <row r="325" spans="29:73" s="1" customFormat="1" x14ac:dyDescent="0.25"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</row>
    <row r="326" spans="29:73" s="1" customFormat="1" x14ac:dyDescent="0.25"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</row>
    <row r="327" spans="29:73" s="1" customFormat="1" x14ac:dyDescent="0.25"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</row>
    <row r="328" spans="29:73" s="1" customFormat="1" x14ac:dyDescent="0.25"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</row>
    <row r="329" spans="29:73" s="1" customFormat="1" x14ac:dyDescent="0.25"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</row>
    <row r="330" spans="29:73" s="1" customFormat="1" x14ac:dyDescent="0.25"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</row>
    <row r="331" spans="29:73" s="1" customFormat="1" x14ac:dyDescent="0.25"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</row>
    <row r="332" spans="29:73" s="1" customFormat="1" x14ac:dyDescent="0.25"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</row>
    <row r="333" spans="29:73" s="1" customFormat="1" x14ac:dyDescent="0.25"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</row>
    <row r="334" spans="29:73" s="1" customFormat="1" x14ac:dyDescent="0.25"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</row>
    <row r="335" spans="29:73" s="1" customFormat="1" x14ac:dyDescent="0.25"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</row>
    <row r="336" spans="29:73" s="1" customFormat="1" x14ac:dyDescent="0.25"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</row>
    <row r="337" spans="29:73" s="1" customFormat="1" x14ac:dyDescent="0.25"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</row>
    <row r="338" spans="29:73" s="1" customFormat="1" x14ac:dyDescent="0.25"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</row>
    <row r="339" spans="29:73" s="1" customFormat="1" x14ac:dyDescent="0.25"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</row>
    <row r="340" spans="29:73" s="1" customFormat="1" x14ac:dyDescent="0.25"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</row>
    <row r="341" spans="29:73" s="1" customFormat="1" x14ac:dyDescent="0.25"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</row>
    <row r="342" spans="29:73" s="1" customFormat="1" x14ac:dyDescent="0.25"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</row>
    <row r="343" spans="29:73" s="1" customFormat="1" x14ac:dyDescent="0.25"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</row>
    <row r="344" spans="29:73" s="1" customFormat="1" x14ac:dyDescent="0.25"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</row>
    <row r="345" spans="29:73" s="1" customFormat="1" x14ac:dyDescent="0.25"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</row>
    <row r="346" spans="29:73" s="1" customFormat="1" x14ac:dyDescent="0.25"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</row>
    <row r="347" spans="29:73" s="1" customFormat="1" x14ac:dyDescent="0.25"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</row>
    <row r="348" spans="29:73" s="1" customFormat="1" x14ac:dyDescent="0.25"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</row>
    <row r="349" spans="29:73" s="1" customFormat="1" x14ac:dyDescent="0.25"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</row>
    <row r="350" spans="29:73" s="1" customFormat="1" x14ac:dyDescent="0.25"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</row>
    <row r="351" spans="29:73" s="1" customFormat="1" x14ac:dyDescent="0.25"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</row>
    <row r="352" spans="29:73" s="1" customFormat="1" x14ac:dyDescent="0.25"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</row>
    <row r="353" spans="29:73" s="1" customFormat="1" x14ac:dyDescent="0.25"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</row>
    <row r="354" spans="29:73" s="1" customFormat="1" x14ac:dyDescent="0.25"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</row>
    <row r="355" spans="29:73" s="1" customFormat="1" x14ac:dyDescent="0.25"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</row>
    <row r="356" spans="29:73" s="1" customFormat="1" x14ac:dyDescent="0.25"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</row>
    <row r="357" spans="29:73" s="1" customFormat="1" x14ac:dyDescent="0.25"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</row>
    <row r="358" spans="29:73" s="1" customFormat="1" x14ac:dyDescent="0.25"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</row>
    <row r="359" spans="29:73" s="1" customFormat="1" x14ac:dyDescent="0.25"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</row>
    <row r="360" spans="29:73" s="1" customFormat="1" x14ac:dyDescent="0.25"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</row>
    <row r="361" spans="29:73" s="1" customFormat="1" x14ac:dyDescent="0.25"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</row>
    <row r="362" spans="29:73" s="1" customFormat="1" x14ac:dyDescent="0.25"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</row>
    <row r="363" spans="29:73" s="1" customFormat="1" x14ac:dyDescent="0.25"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</row>
    <row r="364" spans="29:73" s="1" customFormat="1" x14ac:dyDescent="0.25"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</row>
    <row r="365" spans="29:73" s="1" customFormat="1" x14ac:dyDescent="0.25"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</row>
    <row r="366" spans="29:73" s="1" customFormat="1" x14ac:dyDescent="0.25"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</row>
    <row r="367" spans="29:73" s="1" customFormat="1" x14ac:dyDescent="0.25"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</row>
    <row r="368" spans="29:73" s="1" customFormat="1" x14ac:dyDescent="0.25"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</row>
    <row r="369" spans="29:73" s="1" customFormat="1" x14ac:dyDescent="0.25"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</row>
    <row r="370" spans="29:73" s="1" customFormat="1" x14ac:dyDescent="0.25"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</row>
    <row r="371" spans="29:73" s="1" customFormat="1" x14ac:dyDescent="0.25"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</row>
    <row r="372" spans="29:73" s="1" customFormat="1" x14ac:dyDescent="0.25"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</row>
    <row r="373" spans="29:73" s="1" customFormat="1" x14ac:dyDescent="0.25"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</row>
    <row r="374" spans="29:73" s="1" customFormat="1" x14ac:dyDescent="0.25"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</row>
    <row r="375" spans="29:73" s="1" customFormat="1" x14ac:dyDescent="0.25"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</row>
    <row r="376" spans="29:73" s="1" customFormat="1" x14ac:dyDescent="0.25"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</row>
    <row r="377" spans="29:73" s="1" customFormat="1" x14ac:dyDescent="0.25"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</row>
    <row r="378" spans="29:73" s="1" customFormat="1" x14ac:dyDescent="0.25"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</row>
    <row r="379" spans="29:73" s="1" customFormat="1" x14ac:dyDescent="0.25"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</row>
    <row r="380" spans="29:73" s="1" customFormat="1" x14ac:dyDescent="0.25"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</row>
    <row r="381" spans="29:73" s="1" customFormat="1" x14ac:dyDescent="0.25"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</row>
    <row r="382" spans="29:73" s="1" customFormat="1" x14ac:dyDescent="0.25"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</row>
    <row r="383" spans="29:73" s="1" customFormat="1" x14ac:dyDescent="0.25"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</row>
    <row r="384" spans="29:73" s="1" customFormat="1" x14ac:dyDescent="0.25"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</row>
    <row r="385" spans="29:73" s="1" customFormat="1" x14ac:dyDescent="0.25"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</row>
    <row r="386" spans="29:73" s="1" customFormat="1" x14ac:dyDescent="0.25"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</row>
    <row r="387" spans="29:73" s="1" customFormat="1" x14ac:dyDescent="0.25"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</row>
    <row r="388" spans="29:73" s="1" customFormat="1" x14ac:dyDescent="0.25"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</row>
    <row r="389" spans="29:73" s="1" customFormat="1" x14ac:dyDescent="0.25"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</row>
    <row r="390" spans="29:73" s="1" customFormat="1" x14ac:dyDescent="0.25"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</row>
    <row r="391" spans="29:73" s="1" customFormat="1" x14ac:dyDescent="0.25"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</row>
    <row r="392" spans="29:73" s="1" customFormat="1" x14ac:dyDescent="0.25"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</row>
    <row r="393" spans="29:73" s="1" customFormat="1" x14ac:dyDescent="0.25"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</row>
    <row r="394" spans="29:73" s="1" customFormat="1" x14ac:dyDescent="0.25"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</row>
    <row r="395" spans="29:73" s="1" customFormat="1" x14ac:dyDescent="0.25"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</row>
    <row r="396" spans="29:73" s="1" customFormat="1" x14ac:dyDescent="0.25"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</row>
    <row r="397" spans="29:73" s="1" customFormat="1" x14ac:dyDescent="0.25"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</row>
    <row r="398" spans="29:73" s="1" customFormat="1" x14ac:dyDescent="0.25"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</row>
    <row r="399" spans="29:73" s="1" customFormat="1" x14ac:dyDescent="0.25"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</row>
    <row r="400" spans="29:73" s="1" customFormat="1" x14ac:dyDescent="0.25"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</row>
    <row r="401" spans="29:73" s="1" customFormat="1" x14ac:dyDescent="0.25"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</row>
    <row r="402" spans="29:73" s="1" customFormat="1" x14ac:dyDescent="0.25"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</row>
    <row r="403" spans="29:73" s="1" customFormat="1" x14ac:dyDescent="0.25"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</row>
    <row r="404" spans="29:73" s="1" customFormat="1" x14ac:dyDescent="0.25"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</row>
    <row r="405" spans="29:73" s="1" customFormat="1" x14ac:dyDescent="0.25"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</row>
    <row r="406" spans="29:73" s="1" customFormat="1" x14ac:dyDescent="0.25"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</row>
    <row r="407" spans="29:73" s="1" customFormat="1" x14ac:dyDescent="0.25"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</row>
    <row r="408" spans="29:73" s="1" customFormat="1" x14ac:dyDescent="0.25"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</row>
    <row r="409" spans="29:73" s="1" customFormat="1" x14ac:dyDescent="0.25"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</row>
    <row r="410" spans="29:73" s="1" customFormat="1" x14ac:dyDescent="0.25"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</row>
    <row r="411" spans="29:73" s="1" customFormat="1" x14ac:dyDescent="0.25"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</row>
    <row r="412" spans="29:73" s="1" customFormat="1" x14ac:dyDescent="0.25"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</row>
    <row r="413" spans="29:73" s="1" customFormat="1" x14ac:dyDescent="0.25"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</row>
    <row r="414" spans="29:73" s="1" customFormat="1" x14ac:dyDescent="0.25"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</row>
    <row r="415" spans="29:73" s="1" customFormat="1" x14ac:dyDescent="0.25"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</row>
    <row r="416" spans="29:73" s="1" customFormat="1" x14ac:dyDescent="0.25"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</row>
    <row r="417" spans="29:73" s="1" customFormat="1" x14ac:dyDescent="0.25"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</row>
    <row r="418" spans="29:73" s="1" customFormat="1" x14ac:dyDescent="0.25"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</row>
    <row r="419" spans="29:73" s="1" customFormat="1" x14ac:dyDescent="0.25"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</row>
    <row r="420" spans="29:73" s="1" customFormat="1" x14ac:dyDescent="0.25"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</row>
    <row r="421" spans="29:73" s="1" customFormat="1" x14ac:dyDescent="0.25"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</row>
    <row r="422" spans="29:73" s="1" customFormat="1" x14ac:dyDescent="0.25"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</row>
    <row r="423" spans="29:73" s="1" customFormat="1" x14ac:dyDescent="0.25"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</row>
    <row r="424" spans="29:73" s="1" customFormat="1" x14ac:dyDescent="0.25"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</row>
    <row r="425" spans="29:73" s="1" customFormat="1" x14ac:dyDescent="0.25"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</row>
    <row r="426" spans="29:73" s="1" customFormat="1" x14ac:dyDescent="0.25"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</row>
    <row r="427" spans="29:73" s="1" customFormat="1" x14ac:dyDescent="0.25"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</row>
    <row r="428" spans="29:73" s="1" customFormat="1" x14ac:dyDescent="0.25"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</row>
    <row r="429" spans="29:73" s="1" customFormat="1" x14ac:dyDescent="0.25"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</row>
    <row r="430" spans="29:73" s="1" customFormat="1" x14ac:dyDescent="0.25"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</row>
    <row r="431" spans="29:73" s="1" customFormat="1" x14ac:dyDescent="0.25"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</row>
    <row r="432" spans="29:73" s="1" customFormat="1" x14ac:dyDescent="0.25"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</row>
    <row r="433" spans="29:73" s="1" customFormat="1" x14ac:dyDescent="0.25"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</row>
    <row r="434" spans="29:73" s="1" customFormat="1" x14ac:dyDescent="0.25"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</row>
    <row r="435" spans="29:73" s="1" customFormat="1" x14ac:dyDescent="0.25"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</row>
    <row r="436" spans="29:73" s="1" customFormat="1" x14ac:dyDescent="0.25"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</row>
    <row r="437" spans="29:73" s="1" customFormat="1" x14ac:dyDescent="0.25"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</row>
    <row r="438" spans="29:73" s="1" customFormat="1" x14ac:dyDescent="0.25"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</row>
    <row r="439" spans="29:73" s="1" customFormat="1" x14ac:dyDescent="0.25"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</row>
    <row r="440" spans="29:73" s="1" customFormat="1" x14ac:dyDescent="0.25"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</row>
    <row r="441" spans="29:73" s="1" customFormat="1" x14ac:dyDescent="0.25"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</row>
    <row r="442" spans="29:73" s="1" customFormat="1" x14ac:dyDescent="0.25"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</row>
    <row r="443" spans="29:73" s="1" customFormat="1" x14ac:dyDescent="0.25"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</row>
    <row r="444" spans="29:73" s="1" customFormat="1" x14ac:dyDescent="0.25"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</row>
    <row r="445" spans="29:73" s="1" customFormat="1" x14ac:dyDescent="0.25"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</row>
    <row r="446" spans="29:73" s="1" customFormat="1" x14ac:dyDescent="0.25"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</row>
    <row r="447" spans="29:73" s="1" customFormat="1" x14ac:dyDescent="0.25"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</row>
    <row r="448" spans="29:73" s="1" customFormat="1" x14ac:dyDescent="0.25"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</row>
    <row r="449" spans="29:73" s="1" customFormat="1" x14ac:dyDescent="0.25"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</row>
    <row r="450" spans="29:73" s="1" customFormat="1" x14ac:dyDescent="0.25"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</row>
    <row r="451" spans="29:73" s="1" customFormat="1" x14ac:dyDescent="0.25"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</row>
    <row r="452" spans="29:73" s="1" customFormat="1" x14ac:dyDescent="0.25"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</row>
    <row r="453" spans="29:73" s="1" customFormat="1" x14ac:dyDescent="0.25"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</row>
    <row r="454" spans="29:73" s="1" customFormat="1" x14ac:dyDescent="0.25"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</row>
    <row r="455" spans="29:73" s="1" customFormat="1" x14ac:dyDescent="0.25"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</row>
    <row r="456" spans="29:73" s="1" customFormat="1" x14ac:dyDescent="0.25"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</row>
    <row r="457" spans="29:73" s="1" customFormat="1" x14ac:dyDescent="0.25"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</row>
    <row r="458" spans="29:73" s="1" customFormat="1" x14ac:dyDescent="0.25"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</row>
    <row r="459" spans="29:73" s="1" customFormat="1" x14ac:dyDescent="0.25"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</row>
    <row r="460" spans="29:73" s="1" customFormat="1" x14ac:dyDescent="0.25"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</row>
    <row r="461" spans="29:73" s="1" customFormat="1" x14ac:dyDescent="0.25"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</row>
    <row r="462" spans="29:73" s="1" customFormat="1" x14ac:dyDescent="0.25"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</row>
    <row r="463" spans="29:73" s="1" customFormat="1" x14ac:dyDescent="0.25"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</row>
    <row r="464" spans="29:73" s="1" customFormat="1" x14ac:dyDescent="0.25"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</row>
    <row r="465" spans="29:73" s="1" customFormat="1" x14ac:dyDescent="0.25"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</row>
    <row r="466" spans="29:73" s="1" customFormat="1" x14ac:dyDescent="0.25"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</row>
    <row r="467" spans="29:73" s="1" customFormat="1" x14ac:dyDescent="0.25"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</row>
    <row r="468" spans="29:73" s="1" customFormat="1" x14ac:dyDescent="0.25"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</row>
    <row r="469" spans="29:73" s="1" customFormat="1" x14ac:dyDescent="0.25"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</row>
    <row r="470" spans="29:73" s="1" customFormat="1" x14ac:dyDescent="0.25"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</row>
    <row r="471" spans="29:73" s="1" customFormat="1" x14ac:dyDescent="0.25"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</row>
    <row r="472" spans="29:73" s="1" customFormat="1" x14ac:dyDescent="0.25"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</row>
    <row r="473" spans="29:73" s="1" customFormat="1" x14ac:dyDescent="0.25"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</row>
    <row r="474" spans="29:73" s="1" customFormat="1" x14ac:dyDescent="0.25"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</row>
    <row r="475" spans="29:73" s="1" customFormat="1" x14ac:dyDescent="0.25"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</row>
    <row r="476" spans="29:73" s="1" customFormat="1" x14ac:dyDescent="0.25"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</row>
    <row r="477" spans="29:73" s="1" customFormat="1" x14ac:dyDescent="0.25"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</row>
    <row r="478" spans="29:73" s="1" customFormat="1" x14ac:dyDescent="0.25"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</row>
    <row r="479" spans="29:73" s="1" customFormat="1" x14ac:dyDescent="0.25"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</row>
    <row r="480" spans="29:73" s="1" customFormat="1" x14ac:dyDescent="0.25"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</row>
    <row r="481" spans="29:73" s="1" customFormat="1" x14ac:dyDescent="0.25"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</row>
    <row r="482" spans="29:73" s="1" customFormat="1" x14ac:dyDescent="0.25"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</row>
    <row r="483" spans="29:73" s="1" customFormat="1" x14ac:dyDescent="0.25"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</row>
    <row r="484" spans="29:73" s="1" customFormat="1" x14ac:dyDescent="0.25"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</row>
    <row r="485" spans="29:73" s="1" customFormat="1" x14ac:dyDescent="0.25"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</row>
    <row r="486" spans="29:73" s="1" customFormat="1" x14ac:dyDescent="0.25"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</row>
    <row r="487" spans="29:73" s="1" customFormat="1" x14ac:dyDescent="0.25"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</row>
    <row r="488" spans="29:73" s="1" customFormat="1" x14ac:dyDescent="0.25"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</row>
    <row r="489" spans="29:73" s="1" customFormat="1" x14ac:dyDescent="0.25"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</row>
    <row r="490" spans="29:73" s="1" customFormat="1" x14ac:dyDescent="0.25"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</row>
    <row r="491" spans="29:73" s="1" customFormat="1" x14ac:dyDescent="0.25"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</row>
    <row r="492" spans="29:73" s="1" customFormat="1" x14ac:dyDescent="0.25"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</row>
    <row r="493" spans="29:73" s="1" customFormat="1" x14ac:dyDescent="0.25"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</row>
    <row r="494" spans="29:73" s="1" customFormat="1" x14ac:dyDescent="0.25"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</row>
    <row r="495" spans="29:73" s="1" customFormat="1" x14ac:dyDescent="0.25"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</row>
    <row r="496" spans="29:73" s="1" customFormat="1" x14ac:dyDescent="0.25"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</row>
    <row r="497" spans="29:73" s="1" customFormat="1" x14ac:dyDescent="0.25"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</row>
    <row r="498" spans="29:73" s="1" customFormat="1" x14ac:dyDescent="0.25"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</row>
    <row r="499" spans="29:73" s="1" customFormat="1" x14ac:dyDescent="0.25"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</row>
    <row r="500" spans="29:73" s="1" customFormat="1" x14ac:dyDescent="0.25"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</row>
    <row r="501" spans="29:73" s="1" customFormat="1" x14ac:dyDescent="0.25"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</row>
    <row r="502" spans="29:73" s="1" customFormat="1" x14ac:dyDescent="0.25"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</row>
    <row r="503" spans="29:73" s="1" customFormat="1" x14ac:dyDescent="0.25"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</row>
    <row r="504" spans="29:73" s="1" customFormat="1" x14ac:dyDescent="0.25"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</row>
    <row r="505" spans="29:73" s="1" customFormat="1" x14ac:dyDescent="0.25"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</row>
    <row r="506" spans="29:73" s="1" customFormat="1" x14ac:dyDescent="0.25"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</row>
    <row r="507" spans="29:73" s="1" customFormat="1" x14ac:dyDescent="0.25"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</row>
    <row r="508" spans="29:73" s="1" customFormat="1" x14ac:dyDescent="0.25"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</row>
    <row r="509" spans="29:73" s="1" customFormat="1" x14ac:dyDescent="0.25"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</row>
    <row r="510" spans="29:73" s="1" customFormat="1" x14ac:dyDescent="0.25"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</row>
    <row r="511" spans="29:73" s="1" customFormat="1" x14ac:dyDescent="0.25"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</row>
    <row r="512" spans="29:73" s="1" customFormat="1" x14ac:dyDescent="0.25"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</row>
    <row r="513" spans="29:73" s="1" customFormat="1" x14ac:dyDescent="0.25"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</row>
    <row r="514" spans="29:73" s="1" customFormat="1" x14ac:dyDescent="0.25"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</row>
    <row r="515" spans="29:73" s="1" customFormat="1" x14ac:dyDescent="0.25"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</row>
    <row r="516" spans="29:73" s="1" customFormat="1" x14ac:dyDescent="0.25"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</row>
    <row r="517" spans="29:73" s="1" customFormat="1" x14ac:dyDescent="0.25"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</row>
    <row r="518" spans="29:73" s="1" customFormat="1" x14ac:dyDescent="0.25"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</row>
    <row r="519" spans="29:73" s="1" customFormat="1" x14ac:dyDescent="0.25"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</row>
    <row r="520" spans="29:73" s="1" customFormat="1" x14ac:dyDescent="0.25"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</row>
    <row r="521" spans="29:73" s="1" customFormat="1" x14ac:dyDescent="0.25"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</row>
    <row r="522" spans="29:73" s="1" customFormat="1" x14ac:dyDescent="0.25"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4"/>
      <c r="BQ522" s="4"/>
      <c r="BR522" s="4"/>
      <c r="BS522" s="4"/>
      <c r="BT522" s="4"/>
      <c r="BU522" s="4"/>
    </row>
    <row r="523" spans="29:73" s="1" customFormat="1" x14ac:dyDescent="0.25"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4"/>
      <c r="BM523" s="4"/>
      <c r="BN523" s="4"/>
      <c r="BO523" s="4"/>
      <c r="BP523" s="4"/>
      <c r="BQ523" s="4"/>
      <c r="BR523" s="4"/>
      <c r="BS523" s="4"/>
      <c r="BT523" s="4"/>
      <c r="BU523" s="4"/>
    </row>
    <row r="524" spans="29:73" s="1" customFormat="1" x14ac:dyDescent="0.25"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</row>
    <row r="525" spans="29:73" s="1" customFormat="1" x14ac:dyDescent="0.25"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/>
      <c r="BI525" s="4"/>
      <c r="BJ525" s="4"/>
      <c r="BK525" s="4"/>
      <c r="BL525" s="4"/>
      <c r="BM525" s="4"/>
      <c r="BN525" s="4"/>
      <c r="BO525" s="4"/>
      <c r="BP525" s="4"/>
      <c r="BQ525" s="4"/>
      <c r="BR525" s="4"/>
      <c r="BS525" s="4"/>
      <c r="BT525" s="4"/>
      <c r="BU525" s="4"/>
    </row>
    <row r="526" spans="29:73" s="1" customFormat="1" x14ac:dyDescent="0.25"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</row>
    <row r="527" spans="29:73" s="1" customFormat="1" x14ac:dyDescent="0.25"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</row>
    <row r="528" spans="29:73" s="1" customFormat="1" x14ac:dyDescent="0.25"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4"/>
      <c r="BP528" s="4"/>
      <c r="BQ528" s="4"/>
      <c r="BR528" s="4"/>
      <c r="BS528" s="4"/>
      <c r="BT528" s="4"/>
      <c r="BU528" s="4"/>
    </row>
    <row r="529" spans="29:73" s="1" customFormat="1" x14ac:dyDescent="0.25"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4"/>
      <c r="BQ529" s="4"/>
      <c r="BR529" s="4"/>
      <c r="BS529" s="4"/>
      <c r="BT529" s="4"/>
      <c r="BU529" s="4"/>
    </row>
    <row r="530" spans="29:73" s="1" customFormat="1" x14ac:dyDescent="0.25"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4"/>
    </row>
    <row r="531" spans="29:73" s="1" customFormat="1" x14ac:dyDescent="0.25"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4"/>
    </row>
    <row r="532" spans="29:73" s="1" customFormat="1" x14ac:dyDescent="0.25"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4"/>
      <c r="BQ532" s="4"/>
      <c r="BR532" s="4"/>
      <c r="BS532" s="4"/>
      <c r="BT532" s="4"/>
      <c r="BU532" s="4"/>
    </row>
    <row r="533" spans="29:73" s="1" customFormat="1" x14ac:dyDescent="0.25"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4"/>
      <c r="BN533" s="4"/>
      <c r="BO533" s="4"/>
      <c r="BP533" s="4"/>
      <c r="BQ533" s="4"/>
      <c r="BR533" s="4"/>
      <c r="BS533" s="4"/>
      <c r="BT533" s="4"/>
      <c r="BU533" s="4"/>
    </row>
    <row r="534" spans="29:73" s="1" customFormat="1" x14ac:dyDescent="0.25"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4"/>
    </row>
    <row r="535" spans="29:73" s="1" customFormat="1" x14ac:dyDescent="0.25"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4"/>
      <c r="BQ535" s="4"/>
      <c r="BR535" s="4"/>
      <c r="BS535" s="4"/>
      <c r="BT535" s="4"/>
      <c r="BU535" s="4"/>
    </row>
    <row r="536" spans="29:73" s="1" customFormat="1" x14ac:dyDescent="0.25"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4"/>
      <c r="BM536" s="4"/>
      <c r="BN536" s="4"/>
      <c r="BO536" s="4"/>
      <c r="BP536" s="4"/>
      <c r="BQ536" s="4"/>
      <c r="BR536" s="4"/>
      <c r="BS536" s="4"/>
      <c r="BT536" s="4"/>
      <c r="BU536" s="4"/>
    </row>
    <row r="537" spans="29:73" s="1" customFormat="1" x14ac:dyDescent="0.25"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4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</row>
    <row r="538" spans="29:73" s="1" customFormat="1" x14ac:dyDescent="0.25"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4"/>
      <c r="BQ538" s="4"/>
      <c r="BR538" s="4"/>
      <c r="BS538" s="4"/>
      <c r="BT538" s="4"/>
      <c r="BU538" s="4"/>
    </row>
    <row r="539" spans="29:73" s="1" customFormat="1" x14ac:dyDescent="0.25"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4"/>
      <c r="BN539" s="4"/>
      <c r="BO539" s="4"/>
      <c r="BP539" s="4"/>
      <c r="BQ539" s="4"/>
      <c r="BR539" s="4"/>
      <c r="BS539" s="4"/>
      <c r="BT539" s="4"/>
      <c r="BU539" s="4"/>
    </row>
    <row r="540" spans="29:73" s="1" customFormat="1" x14ac:dyDescent="0.25"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</row>
    <row r="541" spans="29:73" s="1" customFormat="1" x14ac:dyDescent="0.25"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/>
      <c r="BI541" s="4"/>
      <c r="BJ541" s="4"/>
      <c r="BK541" s="4"/>
      <c r="BL541" s="4"/>
      <c r="BM541" s="4"/>
      <c r="BN541" s="4"/>
      <c r="BO541" s="4"/>
      <c r="BP541" s="4"/>
      <c r="BQ541" s="4"/>
      <c r="BR541" s="4"/>
      <c r="BS541" s="4"/>
      <c r="BT541" s="4"/>
      <c r="BU541" s="4"/>
    </row>
    <row r="542" spans="29:73" s="1" customFormat="1" x14ac:dyDescent="0.25"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4"/>
      <c r="BU542" s="4"/>
    </row>
    <row r="543" spans="29:73" s="1" customFormat="1" x14ac:dyDescent="0.25"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4"/>
      <c r="BM543" s="4"/>
      <c r="BN543" s="4"/>
      <c r="BO543" s="4"/>
      <c r="BP543" s="4"/>
      <c r="BQ543" s="4"/>
      <c r="BR543" s="4"/>
      <c r="BS543" s="4"/>
      <c r="BT543" s="4"/>
      <c r="BU543" s="4"/>
    </row>
    <row r="544" spans="29:73" s="1" customFormat="1" x14ac:dyDescent="0.25"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4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</row>
    <row r="545" spans="29:73" s="1" customFormat="1" x14ac:dyDescent="0.25"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4"/>
      <c r="BQ545" s="4"/>
      <c r="BR545" s="4"/>
      <c r="BS545" s="4"/>
      <c r="BT545" s="4"/>
      <c r="BU545" s="4"/>
    </row>
    <row r="546" spans="29:73" s="1" customFormat="1" x14ac:dyDescent="0.25"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4"/>
      <c r="BN546" s="4"/>
      <c r="BO546" s="4"/>
      <c r="BP546" s="4"/>
      <c r="BQ546" s="4"/>
      <c r="BR546" s="4"/>
      <c r="BS546" s="4"/>
      <c r="BT546" s="4"/>
      <c r="BU546" s="4"/>
    </row>
    <row r="547" spans="29:73" s="1" customFormat="1" x14ac:dyDescent="0.25"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</row>
    <row r="548" spans="29:73" s="1" customFormat="1" x14ac:dyDescent="0.25"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  <c r="BG548" s="4"/>
      <c r="BH548" s="4"/>
      <c r="BI548" s="4"/>
      <c r="BJ548" s="4"/>
      <c r="BK548" s="4"/>
      <c r="BL548" s="4"/>
      <c r="BM548" s="4"/>
      <c r="BN548" s="4"/>
      <c r="BO548" s="4"/>
      <c r="BP548" s="4"/>
      <c r="BQ548" s="4"/>
      <c r="BR548" s="4"/>
      <c r="BS548" s="4"/>
      <c r="BT548" s="4"/>
      <c r="BU548" s="4"/>
    </row>
    <row r="549" spans="29:73" s="1" customFormat="1" x14ac:dyDescent="0.25"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4"/>
      <c r="BM549" s="4"/>
      <c r="BN549" s="4"/>
      <c r="BO549" s="4"/>
      <c r="BP549" s="4"/>
      <c r="BQ549" s="4"/>
      <c r="BR549" s="4"/>
      <c r="BS549" s="4"/>
      <c r="BT549" s="4"/>
      <c r="BU549" s="4"/>
    </row>
    <row r="550" spans="29:73" s="1" customFormat="1" x14ac:dyDescent="0.25"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4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</row>
    <row r="551" spans="29:73" s="1" customFormat="1" x14ac:dyDescent="0.25"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4"/>
      <c r="BQ551" s="4"/>
      <c r="BR551" s="4"/>
      <c r="BS551" s="4"/>
      <c r="BT551" s="4"/>
      <c r="BU551" s="4"/>
    </row>
    <row r="552" spans="29:73" s="1" customFormat="1" x14ac:dyDescent="0.25"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4"/>
      <c r="BN552" s="4"/>
      <c r="BO552" s="4"/>
      <c r="BP552" s="4"/>
      <c r="BQ552" s="4"/>
      <c r="BR552" s="4"/>
      <c r="BS552" s="4"/>
      <c r="BT552" s="4"/>
      <c r="BU552" s="4"/>
    </row>
    <row r="553" spans="29:73" s="1" customFormat="1" x14ac:dyDescent="0.25"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</row>
    <row r="554" spans="29:73" s="1" customFormat="1" x14ac:dyDescent="0.25"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  <c r="BG554" s="4"/>
      <c r="BH554" s="4"/>
      <c r="BI554" s="4"/>
      <c r="BJ554" s="4"/>
      <c r="BK554" s="4"/>
      <c r="BL554" s="4"/>
      <c r="BM554" s="4"/>
      <c r="BN554" s="4"/>
      <c r="BO554" s="4"/>
      <c r="BP554" s="4"/>
      <c r="BQ554" s="4"/>
      <c r="BR554" s="4"/>
      <c r="BS554" s="4"/>
      <c r="BT554" s="4"/>
      <c r="BU554" s="4"/>
    </row>
    <row r="555" spans="29:73" s="1" customFormat="1" x14ac:dyDescent="0.25"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4"/>
      <c r="BM555" s="4"/>
      <c r="BN555" s="4"/>
      <c r="BO555" s="4"/>
      <c r="BP555" s="4"/>
      <c r="BQ555" s="4"/>
      <c r="BR555" s="4"/>
      <c r="BS555" s="4"/>
      <c r="BT555" s="4"/>
      <c r="BU555" s="4"/>
    </row>
    <row r="556" spans="29:73" s="1" customFormat="1" x14ac:dyDescent="0.25"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4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</row>
    <row r="557" spans="29:73" s="1" customFormat="1" x14ac:dyDescent="0.25"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4"/>
      <c r="BQ557" s="4"/>
      <c r="BR557" s="4"/>
      <c r="BS557" s="4"/>
      <c r="BT557" s="4"/>
      <c r="BU557" s="4"/>
    </row>
    <row r="558" spans="29:73" s="1" customFormat="1" x14ac:dyDescent="0.25"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4"/>
      <c r="BN558" s="4"/>
      <c r="BO558" s="4"/>
      <c r="BP558" s="4"/>
      <c r="BQ558" s="4"/>
      <c r="BR558" s="4"/>
      <c r="BS558" s="4"/>
      <c r="BT558" s="4"/>
      <c r="BU558" s="4"/>
    </row>
    <row r="559" spans="29:73" s="1" customFormat="1" x14ac:dyDescent="0.25"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</row>
    <row r="560" spans="29:73" s="1" customFormat="1" x14ac:dyDescent="0.25"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  <c r="BG560" s="4"/>
      <c r="BH560" s="4"/>
      <c r="BI560" s="4"/>
      <c r="BJ560" s="4"/>
      <c r="BK560" s="4"/>
      <c r="BL560" s="4"/>
      <c r="BM560" s="4"/>
      <c r="BN560" s="4"/>
      <c r="BO560" s="4"/>
      <c r="BP560" s="4"/>
      <c r="BQ560" s="4"/>
      <c r="BR560" s="4"/>
      <c r="BS560" s="4"/>
      <c r="BT560" s="4"/>
      <c r="BU560" s="4"/>
    </row>
    <row r="561" spans="29:73" s="1" customFormat="1" x14ac:dyDescent="0.25"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4"/>
      <c r="BM561" s="4"/>
      <c r="BN561" s="4"/>
      <c r="BO561" s="4"/>
      <c r="BP561" s="4"/>
      <c r="BQ561" s="4"/>
      <c r="BR561" s="4"/>
      <c r="BS561" s="4"/>
      <c r="BT561" s="4"/>
      <c r="BU561" s="4"/>
    </row>
    <row r="562" spans="29:73" s="1" customFormat="1" x14ac:dyDescent="0.25"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4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</row>
    <row r="563" spans="29:73" s="1" customFormat="1" x14ac:dyDescent="0.25"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4"/>
      <c r="BQ563" s="4"/>
      <c r="BR563" s="4"/>
      <c r="BS563" s="4"/>
      <c r="BT563" s="4"/>
      <c r="BU563" s="4"/>
    </row>
    <row r="564" spans="29:73" s="1" customFormat="1" x14ac:dyDescent="0.25"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4"/>
      <c r="BN564" s="4"/>
      <c r="BO564" s="4"/>
      <c r="BP564" s="4"/>
      <c r="BQ564" s="4"/>
      <c r="BR564" s="4"/>
      <c r="BS564" s="4"/>
      <c r="BT564" s="4"/>
      <c r="BU564" s="4"/>
    </row>
    <row r="565" spans="29:73" s="1" customFormat="1" x14ac:dyDescent="0.25"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</row>
    <row r="566" spans="29:73" s="1" customFormat="1" x14ac:dyDescent="0.25"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  <c r="BG566" s="4"/>
      <c r="BH566" s="4"/>
      <c r="BI566" s="4"/>
      <c r="BJ566" s="4"/>
      <c r="BK566" s="4"/>
      <c r="BL566" s="4"/>
      <c r="BM566" s="4"/>
      <c r="BN566" s="4"/>
      <c r="BO566" s="4"/>
      <c r="BP566" s="4"/>
      <c r="BQ566" s="4"/>
      <c r="BR566" s="4"/>
      <c r="BS566" s="4"/>
      <c r="BT566" s="4"/>
      <c r="BU566" s="4"/>
    </row>
    <row r="567" spans="29:73" s="1" customFormat="1" x14ac:dyDescent="0.25"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4"/>
      <c r="BM567" s="4"/>
      <c r="BN567" s="4"/>
      <c r="BO567" s="4"/>
      <c r="BP567" s="4"/>
      <c r="BQ567" s="4"/>
      <c r="BR567" s="4"/>
      <c r="BS567" s="4"/>
      <c r="BT567" s="4"/>
      <c r="BU567" s="4"/>
    </row>
    <row r="568" spans="29:73" s="1" customFormat="1" x14ac:dyDescent="0.25"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4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</row>
    <row r="569" spans="29:73" s="1" customFormat="1" x14ac:dyDescent="0.25"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4"/>
      <c r="BQ569" s="4"/>
      <c r="BR569" s="4"/>
      <c r="BS569" s="4"/>
      <c r="BT569" s="4"/>
      <c r="BU569" s="4"/>
    </row>
    <row r="570" spans="29:73" s="1" customFormat="1" x14ac:dyDescent="0.25"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4"/>
      <c r="BN570" s="4"/>
      <c r="BO570" s="4"/>
      <c r="BP570" s="4"/>
      <c r="BQ570" s="4"/>
      <c r="BR570" s="4"/>
      <c r="BS570" s="4"/>
      <c r="BT570" s="4"/>
      <c r="BU570" s="4"/>
    </row>
    <row r="571" spans="29:73" s="1" customFormat="1" x14ac:dyDescent="0.25"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</row>
    <row r="572" spans="29:73" s="1" customFormat="1" x14ac:dyDescent="0.25"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  <c r="BG572" s="4"/>
      <c r="BH572" s="4"/>
      <c r="BI572" s="4"/>
      <c r="BJ572" s="4"/>
      <c r="BK572" s="4"/>
      <c r="BL572" s="4"/>
      <c r="BM572" s="4"/>
      <c r="BN572" s="4"/>
      <c r="BO572" s="4"/>
      <c r="BP572" s="4"/>
      <c r="BQ572" s="4"/>
      <c r="BR572" s="4"/>
      <c r="BS572" s="4"/>
      <c r="BT572" s="4"/>
      <c r="BU572" s="4"/>
    </row>
    <row r="573" spans="29:73" s="1" customFormat="1" x14ac:dyDescent="0.25"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4"/>
      <c r="BM573" s="4"/>
      <c r="BN573" s="4"/>
      <c r="BO573" s="4"/>
      <c r="BP573" s="4"/>
      <c r="BQ573" s="4"/>
      <c r="BR573" s="4"/>
      <c r="BS573" s="4"/>
      <c r="BT573" s="4"/>
      <c r="BU573" s="4"/>
    </row>
    <row r="574" spans="29:73" s="1" customFormat="1" x14ac:dyDescent="0.25"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4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</row>
    <row r="575" spans="29:73" s="1" customFormat="1" x14ac:dyDescent="0.25"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4"/>
      <c r="BQ575" s="4"/>
      <c r="BR575" s="4"/>
      <c r="BS575" s="4"/>
      <c r="BT575" s="4"/>
      <c r="BU575" s="4"/>
    </row>
    <row r="576" spans="29:73" s="1" customFormat="1" x14ac:dyDescent="0.25"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  <c r="BG576" s="4"/>
      <c r="BH576" s="4"/>
      <c r="BI576" s="4"/>
      <c r="BJ576" s="4"/>
      <c r="BK576" s="4"/>
      <c r="BL576" s="4"/>
      <c r="BM576" s="4"/>
      <c r="BN576" s="4"/>
      <c r="BO576" s="4"/>
      <c r="BP576" s="4"/>
      <c r="BQ576" s="4"/>
      <c r="BR576" s="4"/>
      <c r="BS576" s="4"/>
      <c r="BT576" s="4"/>
      <c r="BU576" s="4"/>
    </row>
    <row r="577" spans="29:73" s="1" customFormat="1" x14ac:dyDescent="0.25"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  <c r="BG577" s="4"/>
      <c r="BH577" s="4"/>
      <c r="BI577" s="4"/>
      <c r="BJ577" s="4"/>
      <c r="BK577" s="4"/>
      <c r="BL577" s="4"/>
      <c r="BM577" s="4"/>
      <c r="BN577" s="4"/>
      <c r="BO577" s="4"/>
      <c r="BP577" s="4"/>
      <c r="BQ577" s="4"/>
      <c r="BR577" s="4"/>
      <c r="BS577" s="4"/>
      <c r="BT577" s="4"/>
      <c r="BU577" s="4"/>
    </row>
    <row r="578" spans="29:73" s="1" customFormat="1" x14ac:dyDescent="0.25"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  <c r="BL578" s="4"/>
      <c r="BM578" s="4"/>
      <c r="BN578" s="4"/>
      <c r="BO578" s="4"/>
      <c r="BP578" s="4"/>
      <c r="BQ578" s="4"/>
      <c r="BR578" s="4"/>
      <c r="BS578" s="4"/>
      <c r="BT578" s="4"/>
      <c r="BU578" s="4"/>
    </row>
    <row r="579" spans="29:73" s="1" customFormat="1" x14ac:dyDescent="0.25"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  <c r="BG579" s="4"/>
      <c r="BH579" s="4"/>
      <c r="BI579" s="4"/>
      <c r="BJ579" s="4"/>
      <c r="BK579" s="4"/>
      <c r="BL579" s="4"/>
      <c r="BM579" s="4"/>
      <c r="BN579" s="4"/>
      <c r="BO579" s="4"/>
      <c r="BP579" s="4"/>
      <c r="BQ579" s="4"/>
      <c r="BR579" s="4"/>
      <c r="BS579" s="4"/>
      <c r="BT579" s="4"/>
      <c r="BU579" s="4"/>
    </row>
    <row r="580" spans="29:73" s="1" customFormat="1" x14ac:dyDescent="0.25"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  <c r="BG580" s="4"/>
      <c r="BH580" s="4"/>
      <c r="BI580" s="4"/>
      <c r="BJ580" s="4"/>
      <c r="BK580" s="4"/>
      <c r="BL580" s="4"/>
      <c r="BM580" s="4"/>
      <c r="BN580" s="4"/>
      <c r="BO580" s="4"/>
      <c r="BP580" s="4"/>
      <c r="BQ580" s="4"/>
      <c r="BR580" s="4"/>
      <c r="BS580" s="4"/>
      <c r="BT580" s="4"/>
      <c r="BU580" s="4"/>
    </row>
    <row r="581" spans="29:73" s="1" customFormat="1" x14ac:dyDescent="0.25"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  <c r="BG581" s="4"/>
      <c r="BH581" s="4"/>
      <c r="BI581" s="4"/>
      <c r="BJ581" s="4"/>
      <c r="BK581" s="4"/>
      <c r="BL581" s="4"/>
      <c r="BM581" s="4"/>
      <c r="BN581" s="4"/>
      <c r="BO581" s="4"/>
      <c r="BP581" s="4"/>
      <c r="BQ581" s="4"/>
      <c r="BR581" s="4"/>
      <c r="BS581" s="4"/>
      <c r="BT581" s="4"/>
      <c r="BU581" s="4"/>
    </row>
    <row r="582" spans="29:73" s="1" customFormat="1" x14ac:dyDescent="0.25"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  <c r="BG582" s="4"/>
      <c r="BH582" s="4"/>
      <c r="BI582" s="4"/>
      <c r="BJ582" s="4"/>
      <c r="BK582" s="4"/>
      <c r="BL582" s="4"/>
      <c r="BM582" s="4"/>
      <c r="BN582" s="4"/>
      <c r="BO582" s="4"/>
      <c r="BP582" s="4"/>
      <c r="BQ582" s="4"/>
      <c r="BR582" s="4"/>
      <c r="BS582" s="4"/>
      <c r="BT582" s="4"/>
      <c r="BU582" s="4"/>
    </row>
    <row r="583" spans="29:73" s="1" customFormat="1" x14ac:dyDescent="0.25"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  <c r="BG583" s="4"/>
      <c r="BH583" s="4"/>
      <c r="BI583" s="4"/>
      <c r="BJ583" s="4"/>
      <c r="BK583" s="4"/>
      <c r="BL583" s="4"/>
      <c r="BM583" s="4"/>
      <c r="BN583" s="4"/>
      <c r="BO583" s="4"/>
      <c r="BP583" s="4"/>
      <c r="BQ583" s="4"/>
      <c r="BR583" s="4"/>
      <c r="BS583" s="4"/>
      <c r="BT583" s="4"/>
      <c r="BU583" s="4"/>
    </row>
    <row r="584" spans="29:73" s="1" customFormat="1" x14ac:dyDescent="0.25"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4"/>
    </row>
    <row r="585" spans="29:73" s="1" customFormat="1" x14ac:dyDescent="0.25"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4"/>
      <c r="BM585" s="4"/>
      <c r="BN585" s="4"/>
      <c r="BO585" s="4"/>
      <c r="BP585" s="4"/>
      <c r="BQ585" s="4"/>
      <c r="BR585" s="4"/>
      <c r="BS585" s="4"/>
      <c r="BT585" s="4"/>
      <c r="BU585" s="4"/>
    </row>
    <row r="586" spans="29:73" s="1" customFormat="1" x14ac:dyDescent="0.25"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4"/>
      <c r="BU586" s="4"/>
    </row>
    <row r="587" spans="29:73" s="1" customFormat="1" x14ac:dyDescent="0.25"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</row>
    <row r="588" spans="29:73" s="1" customFormat="1" x14ac:dyDescent="0.25"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4"/>
      <c r="BH588" s="4"/>
      <c r="BI588" s="4"/>
      <c r="BJ588" s="4"/>
      <c r="BK588" s="4"/>
      <c r="BL588" s="4"/>
      <c r="BM588" s="4"/>
      <c r="BN588" s="4"/>
      <c r="BO588" s="4"/>
      <c r="BP588" s="4"/>
      <c r="BQ588" s="4"/>
      <c r="BR588" s="4"/>
      <c r="BS588" s="4"/>
      <c r="BT588" s="4"/>
      <c r="BU588" s="4"/>
    </row>
    <row r="589" spans="29:73" s="1" customFormat="1" x14ac:dyDescent="0.25"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4"/>
      <c r="BH589" s="4"/>
      <c r="BI589" s="4"/>
      <c r="BJ589" s="4"/>
      <c r="BK589" s="4"/>
      <c r="BL589" s="4"/>
      <c r="BM589" s="4"/>
      <c r="BN589" s="4"/>
      <c r="BO589" s="4"/>
      <c r="BP589" s="4"/>
      <c r="BQ589" s="4"/>
      <c r="BR589" s="4"/>
      <c r="BS589" s="4"/>
      <c r="BT589" s="4"/>
      <c r="BU589" s="4"/>
    </row>
    <row r="590" spans="29:73" s="1" customFormat="1" x14ac:dyDescent="0.25"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</row>
    <row r="591" spans="29:73" s="1" customFormat="1" x14ac:dyDescent="0.25"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4"/>
      <c r="BM591" s="4"/>
      <c r="BN591" s="4"/>
      <c r="BO591" s="4"/>
      <c r="BP591" s="4"/>
      <c r="BQ591" s="4"/>
      <c r="BR591" s="4"/>
      <c r="BS591" s="4"/>
      <c r="BT591" s="4"/>
      <c r="BU591" s="4"/>
    </row>
    <row r="592" spans="29:73" s="1" customFormat="1" x14ac:dyDescent="0.25"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4"/>
      <c r="BM592" s="4"/>
      <c r="BN592" s="4"/>
      <c r="BO592" s="4"/>
      <c r="BP592" s="4"/>
      <c r="BQ592" s="4"/>
      <c r="BR592" s="4"/>
      <c r="BS592" s="4"/>
      <c r="BT592" s="4"/>
      <c r="BU592" s="4"/>
    </row>
    <row r="593" spans="29:73" s="1" customFormat="1" x14ac:dyDescent="0.25"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4"/>
      <c r="BN593" s="4"/>
      <c r="BO593" s="4"/>
      <c r="BP593" s="4"/>
      <c r="BQ593" s="4"/>
      <c r="BR593" s="4"/>
      <c r="BS593" s="4"/>
      <c r="BT593" s="4"/>
      <c r="BU593" s="4"/>
    </row>
    <row r="594" spans="29:73" s="1" customFormat="1" x14ac:dyDescent="0.25"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</row>
    <row r="595" spans="29:73" s="1" customFormat="1" x14ac:dyDescent="0.25"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4"/>
      <c r="BQ595" s="4"/>
      <c r="BR595" s="4"/>
      <c r="BS595" s="4"/>
      <c r="BT595" s="4"/>
      <c r="BU595" s="4"/>
    </row>
    <row r="596" spans="29:73" s="1" customFormat="1" x14ac:dyDescent="0.25"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</row>
    <row r="597" spans="29:73" s="1" customFormat="1" x14ac:dyDescent="0.25"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4"/>
      <c r="BN597" s="4"/>
      <c r="BO597" s="4"/>
      <c r="BP597" s="4"/>
      <c r="BQ597" s="4"/>
      <c r="BR597" s="4"/>
      <c r="BS597" s="4"/>
      <c r="BT597" s="4"/>
      <c r="BU597" s="4"/>
    </row>
    <row r="598" spans="29:73" s="1" customFormat="1" x14ac:dyDescent="0.25"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4"/>
      <c r="BN598" s="4"/>
      <c r="BO598" s="4"/>
      <c r="BP598" s="4"/>
      <c r="BQ598" s="4"/>
      <c r="BR598" s="4"/>
      <c r="BS598" s="4"/>
      <c r="BT598" s="4"/>
      <c r="BU598" s="4"/>
    </row>
    <row r="599" spans="29:73" s="1" customFormat="1" x14ac:dyDescent="0.25"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</row>
    <row r="600" spans="29:73" s="1" customFormat="1" x14ac:dyDescent="0.25"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</row>
    <row r="601" spans="29:73" s="1" customFormat="1" x14ac:dyDescent="0.25"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4"/>
      <c r="BN601" s="4"/>
      <c r="BO601" s="4"/>
      <c r="BP601" s="4"/>
      <c r="BQ601" s="4"/>
      <c r="BR601" s="4"/>
      <c r="BS601" s="4"/>
      <c r="BT601" s="4"/>
      <c r="BU601" s="4"/>
    </row>
    <row r="602" spans="29:73" s="1" customFormat="1" x14ac:dyDescent="0.25"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4"/>
      <c r="BP602" s="4"/>
      <c r="BQ602" s="4"/>
      <c r="BR602" s="4"/>
      <c r="BS602" s="4"/>
      <c r="BT602" s="4"/>
      <c r="BU602" s="4"/>
    </row>
    <row r="603" spans="29:73" s="1" customFormat="1" x14ac:dyDescent="0.25"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  <c r="BG603" s="4"/>
      <c r="BH603" s="4"/>
      <c r="BI603" s="4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</row>
    <row r="604" spans="29:73" s="1" customFormat="1" x14ac:dyDescent="0.25"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4"/>
      <c r="BQ604" s="4"/>
      <c r="BR604" s="4"/>
      <c r="BS604" s="4"/>
      <c r="BT604" s="4"/>
      <c r="BU604" s="4"/>
    </row>
    <row r="605" spans="29:73" s="1" customFormat="1" x14ac:dyDescent="0.25"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4"/>
      <c r="BQ605" s="4"/>
      <c r="BR605" s="4"/>
      <c r="BS605" s="4"/>
      <c r="BT605" s="4"/>
      <c r="BU605" s="4"/>
    </row>
    <row r="606" spans="29:73" s="1" customFormat="1" x14ac:dyDescent="0.25"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4"/>
      <c r="BM606" s="4"/>
      <c r="BN606" s="4"/>
      <c r="BO606" s="4"/>
      <c r="BP606" s="4"/>
      <c r="BQ606" s="4"/>
      <c r="BR606" s="4"/>
      <c r="BS606" s="4"/>
      <c r="BT606" s="4"/>
      <c r="BU606" s="4"/>
    </row>
    <row r="607" spans="29:73" s="1" customFormat="1" x14ac:dyDescent="0.25"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</row>
    <row r="608" spans="29:73" s="1" customFormat="1" x14ac:dyDescent="0.25"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  <c r="BG608" s="4"/>
      <c r="BH608" s="4"/>
      <c r="BI608" s="4"/>
      <c r="BJ608" s="4"/>
      <c r="BK608" s="4"/>
      <c r="BL608" s="4"/>
      <c r="BM608" s="4"/>
      <c r="BN608" s="4"/>
      <c r="BO608" s="4"/>
      <c r="BP608" s="4"/>
      <c r="BQ608" s="4"/>
      <c r="BR608" s="4"/>
      <c r="BS608" s="4"/>
      <c r="BT608" s="4"/>
      <c r="BU608" s="4"/>
    </row>
    <row r="609" spans="29:73" s="1" customFormat="1" x14ac:dyDescent="0.25"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</row>
    <row r="610" spans="29:73" s="1" customFormat="1" x14ac:dyDescent="0.25"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</row>
    <row r="611" spans="29:73" s="1" customFormat="1" x14ac:dyDescent="0.25"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4"/>
      <c r="BP611" s="4"/>
      <c r="BQ611" s="4"/>
      <c r="BR611" s="4"/>
      <c r="BS611" s="4"/>
      <c r="BT611" s="4"/>
      <c r="BU611" s="4"/>
    </row>
    <row r="612" spans="29:73" s="1" customFormat="1" x14ac:dyDescent="0.25"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4"/>
      <c r="BQ612" s="4"/>
      <c r="BR612" s="4"/>
      <c r="BS612" s="4"/>
      <c r="BT612" s="4"/>
      <c r="BU612" s="4"/>
    </row>
    <row r="613" spans="29:73" s="1" customFormat="1" x14ac:dyDescent="0.25"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4"/>
    </row>
    <row r="614" spans="29:73" s="1" customFormat="1" x14ac:dyDescent="0.25"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4"/>
    </row>
    <row r="615" spans="29:73" s="1" customFormat="1" x14ac:dyDescent="0.25"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4"/>
      <c r="BQ615" s="4"/>
      <c r="BR615" s="4"/>
      <c r="BS615" s="4"/>
      <c r="BT615" s="4"/>
      <c r="BU615" s="4"/>
    </row>
    <row r="616" spans="29:73" s="1" customFormat="1" x14ac:dyDescent="0.25"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4"/>
      <c r="BN616" s="4"/>
      <c r="BO616" s="4"/>
      <c r="BP616" s="4"/>
      <c r="BQ616" s="4"/>
      <c r="BR616" s="4"/>
      <c r="BS616" s="4"/>
      <c r="BT616" s="4"/>
      <c r="BU616" s="4"/>
    </row>
    <row r="617" spans="29:73" s="1" customFormat="1" x14ac:dyDescent="0.25"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4"/>
    </row>
    <row r="618" spans="29:73" s="1" customFormat="1" x14ac:dyDescent="0.25"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4"/>
      <c r="BQ618" s="4"/>
      <c r="BR618" s="4"/>
      <c r="BS618" s="4"/>
      <c r="BT618" s="4"/>
      <c r="BU618" s="4"/>
    </row>
    <row r="619" spans="29:73" s="1" customFormat="1" x14ac:dyDescent="0.25"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4"/>
      <c r="BM619" s="4"/>
      <c r="BN619" s="4"/>
      <c r="BO619" s="4"/>
      <c r="BP619" s="4"/>
      <c r="BQ619" s="4"/>
      <c r="BR619" s="4"/>
      <c r="BS619" s="4"/>
      <c r="BT619" s="4"/>
      <c r="BU619" s="4"/>
    </row>
    <row r="620" spans="29:73" s="1" customFormat="1" x14ac:dyDescent="0.25"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4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</row>
    <row r="621" spans="29:73" s="1" customFormat="1" x14ac:dyDescent="0.25"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4"/>
      <c r="BQ621" s="4"/>
      <c r="BR621" s="4"/>
      <c r="BS621" s="4"/>
      <c r="BT621" s="4"/>
      <c r="BU621" s="4"/>
    </row>
    <row r="622" spans="29:73" s="1" customFormat="1" x14ac:dyDescent="0.25"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4"/>
      <c r="BN622" s="4"/>
      <c r="BO622" s="4"/>
      <c r="BP622" s="4"/>
      <c r="BQ622" s="4"/>
      <c r="BR622" s="4"/>
      <c r="BS622" s="4"/>
      <c r="BT622" s="4"/>
      <c r="BU622" s="4"/>
    </row>
    <row r="623" spans="29:73" s="1" customFormat="1" x14ac:dyDescent="0.25"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</row>
    <row r="624" spans="29:73" s="1" customFormat="1" x14ac:dyDescent="0.25"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  <c r="BG624" s="4"/>
      <c r="BH624" s="4"/>
      <c r="BI624" s="4"/>
      <c r="BJ624" s="4"/>
      <c r="BK624" s="4"/>
      <c r="BL624" s="4"/>
      <c r="BM624" s="4"/>
      <c r="BN624" s="4"/>
      <c r="BO624" s="4"/>
      <c r="BP624" s="4"/>
      <c r="BQ624" s="4"/>
      <c r="BR624" s="4"/>
      <c r="BS624" s="4"/>
      <c r="BT624" s="4"/>
      <c r="BU624" s="4"/>
    </row>
    <row r="625" spans="29:73" s="1" customFormat="1" x14ac:dyDescent="0.25"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4"/>
      <c r="BU625" s="4"/>
    </row>
    <row r="626" spans="29:73" s="1" customFormat="1" x14ac:dyDescent="0.25"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4"/>
      <c r="BM626" s="4"/>
      <c r="BN626" s="4"/>
      <c r="BO626" s="4"/>
      <c r="BP626" s="4"/>
      <c r="BQ626" s="4"/>
      <c r="BR626" s="4"/>
      <c r="BS626" s="4"/>
      <c r="BT626" s="4"/>
      <c r="BU626" s="4"/>
    </row>
    <row r="627" spans="29:73" s="1" customFormat="1" x14ac:dyDescent="0.25"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4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</row>
    <row r="628" spans="29:73" s="1" customFormat="1" x14ac:dyDescent="0.25"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4"/>
      <c r="BQ628" s="4"/>
      <c r="BR628" s="4"/>
      <c r="BS628" s="4"/>
      <c r="BT628" s="4"/>
      <c r="BU628" s="4"/>
    </row>
    <row r="629" spans="29:73" s="1" customFormat="1" x14ac:dyDescent="0.25"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4"/>
      <c r="BN629" s="4"/>
      <c r="BO629" s="4"/>
      <c r="BP629" s="4"/>
      <c r="BQ629" s="4"/>
      <c r="BR629" s="4"/>
      <c r="BS629" s="4"/>
      <c r="BT629" s="4"/>
      <c r="BU629" s="4"/>
    </row>
    <row r="630" spans="29:73" s="1" customFormat="1" x14ac:dyDescent="0.25"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</row>
    <row r="631" spans="29:73" s="1" customFormat="1" x14ac:dyDescent="0.25"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  <c r="BG631" s="4"/>
      <c r="BH631" s="4"/>
      <c r="BI631" s="4"/>
      <c r="BJ631" s="4"/>
      <c r="BK631" s="4"/>
      <c r="BL631" s="4"/>
      <c r="BM631" s="4"/>
      <c r="BN631" s="4"/>
      <c r="BO631" s="4"/>
      <c r="BP631" s="4"/>
      <c r="BQ631" s="4"/>
      <c r="BR631" s="4"/>
      <c r="BS631" s="4"/>
      <c r="BT631" s="4"/>
      <c r="BU631" s="4"/>
    </row>
    <row r="632" spans="29:73" s="1" customFormat="1" x14ac:dyDescent="0.25"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4"/>
      <c r="BM632" s="4"/>
      <c r="BN632" s="4"/>
      <c r="BO632" s="4"/>
      <c r="BP632" s="4"/>
      <c r="BQ632" s="4"/>
      <c r="BR632" s="4"/>
      <c r="BS632" s="4"/>
      <c r="BT632" s="4"/>
      <c r="BU632" s="4"/>
    </row>
    <row r="633" spans="29:73" s="1" customFormat="1" x14ac:dyDescent="0.25"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4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</row>
    <row r="634" spans="29:73" s="1" customFormat="1" x14ac:dyDescent="0.25"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4"/>
      <c r="BQ634" s="4"/>
      <c r="BR634" s="4"/>
      <c r="BS634" s="4"/>
      <c r="BT634" s="4"/>
      <c r="BU634" s="4"/>
    </row>
    <row r="635" spans="29:73" s="1" customFormat="1" x14ac:dyDescent="0.25"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4"/>
      <c r="BN635" s="4"/>
      <c r="BO635" s="4"/>
      <c r="BP635" s="4"/>
      <c r="BQ635" s="4"/>
      <c r="BR635" s="4"/>
      <c r="BS635" s="4"/>
      <c r="BT635" s="4"/>
      <c r="BU635" s="4"/>
    </row>
    <row r="636" spans="29:73" s="1" customFormat="1" x14ac:dyDescent="0.25"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</row>
    <row r="637" spans="29:73" s="1" customFormat="1" x14ac:dyDescent="0.25"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  <c r="BG637" s="4"/>
      <c r="BH637" s="4"/>
      <c r="BI637" s="4"/>
      <c r="BJ637" s="4"/>
      <c r="BK637" s="4"/>
      <c r="BL637" s="4"/>
      <c r="BM637" s="4"/>
      <c r="BN637" s="4"/>
      <c r="BO637" s="4"/>
      <c r="BP637" s="4"/>
      <c r="BQ637" s="4"/>
      <c r="BR637" s="4"/>
      <c r="BS637" s="4"/>
      <c r="BT637" s="4"/>
      <c r="BU637" s="4"/>
    </row>
    <row r="638" spans="29:73" s="1" customFormat="1" x14ac:dyDescent="0.25"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4"/>
      <c r="BM638" s="4"/>
      <c r="BN638" s="4"/>
      <c r="BO638" s="4"/>
      <c r="BP638" s="4"/>
      <c r="BQ638" s="4"/>
      <c r="BR638" s="4"/>
      <c r="BS638" s="4"/>
      <c r="BT638" s="4"/>
      <c r="BU638" s="4"/>
    </row>
    <row r="639" spans="29:73" s="1" customFormat="1" x14ac:dyDescent="0.25"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4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</row>
    <row r="640" spans="29:73" s="1" customFormat="1" x14ac:dyDescent="0.25"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4"/>
      <c r="BQ640" s="4"/>
      <c r="BR640" s="4"/>
      <c r="BS640" s="4"/>
      <c r="BT640" s="4"/>
      <c r="BU640" s="4"/>
    </row>
    <row r="641" spans="29:73" s="1" customFormat="1" x14ac:dyDescent="0.25"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4"/>
      <c r="BN641" s="4"/>
      <c r="BO641" s="4"/>
      <c r="BP641" s="4"/>
      <c r="BQ641" s="4"/>
      <c r="BR641" s="4"/>
      <c r="BS641" s="4"/>
      <c r="BT641" s="4"/>
      <c r="BU641" s="4"/>
    </row>
    <row r="642" spans="29:73" s="1" customFormat="1" x14ac:dyDescent="0.25"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</row>
    <row r="643" spans="29:73" s="1" customFormat="1" x14ac:dyDescent="0.25"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  <c r="BG643" s="4"/>
      <c r="BH643" s="4"/>
      <c r="BI643" s="4"/>
      <c r="BJ643" s="4"/>
      <c r="BK643" s="4"/>
      <c r="BL643" s="4"/>
      <c r="BM643" s="4"/>
      <c r="BN643" s="4"/>
      <c r="BO643" s="4"/>
      <c r="BP643" s="4"/>
      <c r="BQ643" s="4"/>
      <c r="BR643" s="4"/>
      <c r="BS643" s="4"/>
      <c r="BT643" s="4"/>
      <c r="BU643" s="4"/>
    </row>
    <row r="644" spans="29:73" s="1" customFormat="1" x14ac:dyDescent="0.25"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4"/>
      <c r="BM644" s="4"/>
      <c r="BN644" s="4"/>
      <c r="BO644" s="4"/>
      <c r="BP644" s="4"/>
      <c r="BQ644" s="4"/>
      <c r="BR644" s="4"/>
      <c r="BS644" s="4"/>
      <c r="BT644" s="4"/>
      <c r="BU644" s="4"/>
    </row>
    <row r="645" spans="29:73" s="1" customFormat="1" x14ac:dyDescent="0.25"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4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</row>
    <row r="646" spans="29:73" s="1" customFormat="1" x14ac:dyDescent="0.25"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4"/>
      <c r="BQ646" s="4"/>
      <c r="BR646" s="4"/>
      <c r="BS646" s="4"/>
      <c r="BT646" s="4"/>
      <c r="BU646" s="4"/>
    </row>
    <row r="647" spans="29:73" s="1" customFormat="1" x14ac:dyDescent="0.25"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4"/>
      <c r="BN647" s="4"/>
      <c r="BO647" s="4"/>
      <c r="BP647" s="4"/>
      <c r="BQ647" s="4"/>
      <c r="BR647" s="4"/>
      <c r="BS647" s="4"/>
      <c r="BT647" s="4"/>
      <c r="BU647" s="4"/>
    </row>
    <row r="648" spans="29:73" s="1" customFormat="1" x14ac:dyDescent="0.25"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</row>
    <row r="649" spans="29:73" s="1" customFormat="1" x14ac:dyDescent="0.25"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  <c r="BG649" s="4"/>
      <c r="BH649" s="4"/>
      <c r="BI649" s="4"/>
      <c r="BJ649" s="4"/>
      <c r="BK649" s="4"/>
      <c r="BL649" s="4"/>
      <c r="BM649" s="4"/>
      <c r="BN649" s="4"/>
      <c r="BO649" s="4"/>
      <c r="BP649" s="4"/>
      <c r="BQ649" s="4"/>
      <c r="BR649" s="4"/>
      <c r="BS649" s="4"/>
      <c r="BT649" s="4"/>
      <c r="BU649" s="4"/>
    </row>
    <row r="650" spans="29:73" s="1" customFormat="1" x14ac:dyDescent="0.25"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4"/>
      <c r="BM650" s="4"/>
      <c r="BN650" s="4"/>
      <c r="BO650" s="4"/>
      <c r="BP650" s="4"/>
      <c r="BQ650" s="4"/>
      <c r="BR650" s="4"/>
      <c r="BS650" s="4"/>
      <c r="BT650" s="4"/>
      <c r="BU650" s="4"/>
    </row>
    <row r="651" spans="29:73" s="1" customFormat="1" x14ac:dyDescent="0.25"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4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</row>
    <row r="652" spans="29:73" s="1" customFormat="1" x14ac:dyDescent="0.25"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4"/>
      <c r="BQ652" s="4"/>
      <c r="BR652" s="4"/>
      <c r="BS652" s="4"/>
      <c r="BT652" s="4"/>
      <c r="BU652" s="4"/>
    </row>
    <row r="653" spans="29:73" s="1" customFormat="1" x14ac:dyDescent="0.25"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4"/>
      <c r="BN653" s="4"/>
      <c r="BO653" s="4"/>
      <c r="BP653" s="4"/>
      <c r="BQ653" s="4"/>
      <c r="BR653" s="4"/>
      <c r="BS653" s="4"/>
      <c r="BT653" s="4"/>
      <c r="BU653" s="4"/>
    </row>
    <row r="654" spans="29:73" s="1" customFormat="1" x14ac:dyDescent="0.25"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</row>
    <row r="655" spans="29:73" s="1" customFormat="1" x14ac:dyDescent="0.25"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  <c r="BG655" s="4"/>
      <c r="BH655" s="4"/>
      <c r="BI655" s="4"/>
      <c r="BJ655" s="4"/>
      <c r="BK655" s="4"/>
      <c r="BL655" s="4"/>
      <c r="BM655" s="4"/>
      <c r="BN655" s="4"/>
      <c r="BO655" s="4"/>
      <c r="BP655" s="4"/>
      <c r="BQ655" s="4"/>
      <c r="BR655" s="4"/>
      <c r="BS655" s="4"/>
      <c r="BT655" s="4"/>
      <c r="BU655" s="4"/>
    </row>
    <row r="656" spans="29:73" s="1" customFormat="1" x14ac:dyDescent="0.25"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4"/>
      <c r="BM656" s="4"/>
      <c r="BN656" s="4"/>
      <c r="BO656" s="4"/>
      <c r="BP656" s="4"/>
      <c r="BQ656" s="4"/>
      <c r="BR656" s="4"/>
      <c r="BS656" s="4"/>
      <c r="BT656" s="4"/>
      <c r="BU656" s="4"/>
    </row>
    <row r="657" spans="29:73" s="1" customFormat="1" x14ac:dyDescent="0.25"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4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</row>
    <row r="658" spans="29:73" s="1" customFormat="1" x14ac:dyDescent="0.25"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4"/>
      <c r="BQ658" s="4"/>
      <c r="BR658" s="4"/>
      <c r="BS658" s="4"/>
      <c r="BT658" s="4"/>
      <c r="BU658" s="4"/>
    </row>
    <row r="659" spans="29:73" s="1" customFormat="1" x14ac:dyDescent="0.25"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  <c r="BG659" s="4"/>
      <c r="BH659" s="4"/>
      <c r="BI659" s="4"/>
      <c r="BJ659" s="4"/>
      <c r="BK659" s="4"/>
      <c r="BL659" s="4"/>
      <c r="BM659" s="4"/>
      <c r="BN659" s="4"/>
      <c r="BO659" s="4"/>
      <c r="BP659" s="4"/>
      <c r="BQ659" s="4"/>
      <c r="BR659" s="4"/>
      <c r="BS659" s="4"/>
      <c r="BT659" s="4"/>
      <c r="BU659" s="4"/>
    </row>
    <row r="660" spans="29:73" s="1" customFormat="1" x14ac:dyDescent="0.25"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  <c r="BG660" s="4"/>
      <c r="BH660" s="4"/>
      <c r="BI660" s="4"/>
      <c r="BJ660" s="4"/>
      <c r="BK660" s="4"/>
      <c r="BL660" s="4"/>
      <c r="BM660" s="4"/>
      <c r="BN660" s="4"/>
      <c r="BO660" s="4"/>
      <c r="BP660" s="4"/>
      <c r="BQ660" s="4"/>
      <c r="BR660" s="4"/>
      <c r="BS660" s="4"/>
      <c r="BT660" s="4"/>
      <c r="BU660" s="4"/>
    </row>
    <row r="661" spans="29:73" s="1" customFormat="1" x14ac:dyDescent="0.25"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  <c r="BG661" s="4"/>
      <c r="BH661" s="4"/>
      <c r="BI661" s="4"/>
      <c r="BJ661" s="4"/>
      <c r="BK661" s="4"/>
      <c r="BL661" s="4"/>
      <c r="BM661" s="4"/>
      <c r="BN661" s="4"/>
      <c r="BO661" s="4"/>
      <c r="BP661" s="4"/>
      <c r="BQ661" s="4"/>
      <c r="BR661" s="4"/>
      <c r="BS661" s="4"/>
      <c r="BT661" s="4"/>
      <c r="BU661" s="4"/>
    </row>
    <row r="662" spans="29:73" s="1" customFormat="1" x14ac:dyDescent="0.25"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  <c r="BG662" s="4"/>
      <c r="BH662" s="4"/>
      <c r="BI662" s="4"/>
      <c r="BJ662" s="4"/>
      <c r="BK662" s="4"/>
      <c r="BL662" s="4"/>
      <c r="BM662" s="4"/>
      <c r="BN662" s="4"/>
      <c r="BO662" s="4"/>
      <c r="BP662" s="4"/>
      <c r="BQ662" s="4"/>
      <c r="BR662" s="4"/>
      <c r="BS662" s="4"/>
      <c r="BT662" s="4"/>
      <c r="BU662" s="4"/>
    </row>
    <row r="663" spans="29:73" s="1" customFormat="1" x14ac:dyDescent="0.25"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  <c r="BG663" s="4"/>
      <c r="BH663" s="4"/>
      <c r="BI663" s="4"/>
      <c r="BJ663" s="4"/>
      <c r="BK663" s="4"/>
      <c r="BL663" s="4"/>
      <c r="BM663" s="4"/>
      <c r="BN663" s="4"/>
      <c r="BO663" s="4"/>
      <c r="BP663" s="4"/>
      <c r="BQ663" s="4"/>
      <c r="BR663" s="4"/>
      <c r="BS663" s="4"/>
      <c r="BT663" s="4"/>
      <c r="BU663" s="4"/>
    </row>
    <row r="664" spans="29:73" s="1" customFormat="1" x14ac:dyDescent="0.25"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  <c r="BG664" s="4"/>
      <c r="BH664" s="4"/>
      <c r="BI664" s="4"/>
      <c r="BJ664" s="4"/>
      <c r="BK664" s="4"/>
      <c r="BL664" s="4"/>
      <c r="BM664" s="4"/>
      <c r="BN664" s="4"/>
      <c r="BO664" s="4"/>
      <c r="BP664" s="4"/>
      <c r="BQ664" s="4"/>
      <c r="BR664" s="4"/>
      <c r="BS664" s="4"/>
      <c r="BT664" s="4"/>
      <c r="BU664" s="4"/>
    </row>
    <row r="665" spans="29:73" s="1" customFormat="1" x14ac:dyDescent="0.25"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  <c r="BG665" s="4"/>
      <c r="BH665" s="4"/>
      <c r="BI665" s="4"/>
      <c r="BJ665" s="4"/>
      <c r="BK665" s="4"/>
      <c r="BL665" s="4"/>
      <c r="BM665" s="4"/>
      <c r="BN665" s="4"/>
      <c r="BO665" s="4"/>
      <c r="BP665" s="4"/>
      <c r="BQ665" s="4"/>
      <c r="BR665" s="4"/>
      <c r="BS665" s="4"/>
      <c r="BT665" s="4"/>
      <c r="BU665" s="4"/>
    </row>
    <row r="666" spans="29:73" s="1" customFormat="1" x14ac:dyDescent="0.25"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  <c r="BG666" s="4"/>
      <c r="BH666" s="4"/>
      <c r="BI666" s="4"/>
      <c r="BJ666" s="4"/>
      <c r="BK666" s="4"/>
      <c r="BL666" s="4"/>
      <c r="BM666" s="4"/>
      <c r="BN666" s="4"/>
      <c r="BO666" s="4"/>
      <c r="BP666" s="4"/>
      <c r="BQ666" s="4"/>
      <c r="BR666" s="4"/>
      <c r="BS666" s="4"/>
      <c r="BT666" s="4"/>
      <c r="BU666" s="4"/>
    </row>
    <row r="667" spans="29:73" s="1" customFormat="1" x14ac:dyDescent="0.25"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4"/>
    </row>
    <row r="668" spans="29:73" s="1" customFormat="1" x14ac:dyDescent="0.25"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4"/>
      <c r="BM668" s="4"/>
      <c r="BN668" s="4"/>
      <c r="BO668" s="4"/>
      <c r="BP668" s="4"/>
      <c r="BQ668" s="4"/>
      <c r="BR668" s="4"/>
      <c r="BS668" s="4"/>
      <c r="BT668" s="4"/>
      <c r="BU668" s="4"/>
    </row>
    <row r="669" spans="29:73" s="1" customFormat="1" x14ac:dyDescent="0.25"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4"/>
      <c r="BU669" s="4"/>
    </row>
    <row r="670" spans="29:73" s="1" customFormat="1" x14ac:dyDescent="0.25"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</row>
    <row r="671" spans="29:73" s="1" customFormat="1" x14ac:dyDescent="0.25"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4"/>
      <c r="BH671" s="4"/>
      <c r="BI671" s="4"/>
      <c r="BJ671" s="4"/>
      <c r="BK671" s="4"/>
      <c r="BL671" s="4"/>
      <c r="BM671" s="4"/>
      <c r="BN671" s="4"/>
      <c r="BO671" s="4"/>
      <c r="BP671" s="4"/>
      <c r="BQ671" s="4"/>
      <c r="BR671" s="4"/>
      <c r="BS671" s="4"/>
      <c r="BT671" s="4"/>
      <c r="BU671" s="4"/>
    </row>
    <row r="672" spans="29:73" s="1" customFormat="1" x14ac:dyDescent="0.25"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4"/>
      <c r="BH672" s="4"/>
      <c r="BI672" s="4"/>
      <c r="BJ672" s="4"/>
      <c r="BK672" s="4"/>
      <c r="BL672" s="4"/>
      <c r="BM672" s="4"/>
      <c r="BN672" s="4"/>
      <c r="BO672" s="4"/>
      <c r="BP672" s="4"/>
      <c r="BQ672" s="4"/>
      <c r="BR672" s="4"/>
      <c r="BS672" s="4"/>
      <c r="BT672" s="4"/>
      <c r="BU672" s="4"/>
    </row>
    <row r="673" spans="29:73" s="1" customFormat="1" x14ac:dyDescent="0.25"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</row>
    <row r="674" spans="29:73" s="1" customFormat="1" x14ac:dyDescent="0.25"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4"/>
      <c r="BM674" s="4"/>
      <c r="BN674" s="4"/>
      <c r="BO674" s="4"/>
      <c r="BP674" s="4"/>
      <c r="BQ674" s="4"/>
      <c r="BR674" s="4"/>
      <c r="BS674" s="4"/>
      <c r="BT674" s="4"/>
      <c r="BU674" s="4"/>
    </row>
    <row r="675" spans="29:73" s="1" customFormat="1" x14ac:dyDescent="0.25"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4"/>
      <c r="BM675" s="4"/>
      <c r="BN675" s="4"/>
      <c r="BO675" s="4"/>
      <c r="BP675" s="4"/>
      <c r="BQ675" s="4"/>
      <c r="BR675" s="4"/>
      <c r="BS675" s="4"/>
      <c r="BT675" s="4"/>
      <c r="BU675" s="4"/>
    </row>
    <row r="676" spans="29:73" s="1" customFormat="1" x14ac:dyDescent="0.25"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4"/>
      <c r="BN676" s="4"/>
      <c r="BO676" s="4"/>
      <c r="BP676" s="4"/>
      <c r="BQ676" s="4"/>
      <c r="BR676" s="4"/>
      <c r="BS676" s="4"/>
      <c r="BT676" s="4"/>
      <c r="BU676" s="4"/>
    </row>
    <row r="677" spans="29:73" s="1" customFormat="1" x14ac:dyDescent="0.25"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</row>
    <row r="678" spans="29:73" s="1" customFormat="1" x14ac:dyDescent="0.25"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4"/>
      <c r="BQ678" s="4"/>
      <c r="BR678" s="4"/>
      <c r="BS678" s="4"/>
      <c r="BT678" s="4"/>
      <c r="BU678" s="4"/>
    </row>
    <row r="679" spans="29:73" s="1" customFormat="1" x14ac:dyDescent="0.25"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</row>
    <row r="680" spans="29:73" s="1" customFormat="1" x14ac:dyDescent="0.25"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4"/>
      <c r="BN680" s="4"/>
      <c r="BO680" s="4"/>
      <c r="BP680" s="4"/>
      <c r="BQ680" s="4"/>
      <c r="BR680" s="4"/>
      <c r="BS680" s="4"/>
      <c r="BT680" s="4"/>
      <c r="BU680" s="4"/>
    </row>
    <row r="681" spans="29:73" s="1" customFormat="1" x14ac:dyDescent="0.25"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4"/>
      <c r="BN681" s="4"/>
      <c r="BO681" s="4"/>
      <c r="BP681" s="4"/>
      <c r="BQ681" s="4"/>
      <c r="BR681" s="4"/>
      <c r="BS681" s="4"/>
      <c r="BT681" s="4"/>
      <c r="BU681" s="4"/>
    </row>
    <row r="682" spans="29:73" s="1" customFormat="1" x14ac:dyDescent="0.25"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</row>
    <row r="683" spans="29:73" s="1" customFormat="1" x14ac:dyDescent="0.25"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</row>
    <row r="684" spans="29:73" s="1" customFormat="1" x14ac:dyDescent="0.25"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4"/>
      <c r="BN684" s="4"/>
      <c r="BO684" s="4"/>
      <c r="BP684" s="4"/>
      <c r="BQ684" s="4"/>
      <c r="BR684" s="4"/>
      <c r="BS684" s="4"/>
      <c r="BT684" s="4"/>
      <c r="BU684" s="4"/>
    </row>
    <row r="685" spans="29:73" s="1" customFormat="1" x14ac:dyDescent="0.25"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4"/>
      <c r="BP685" s="4"/>
      <c r="BQ685" s="4"/>
      <c r="BR685" s="4"/>
      <c r="BS685" s="4"/>
      <c r="BT685" s="4"/>
      <c r="BU685" s="4"/>
    </row>
    <row r="686" spans="29:73" s="1" customFormat="1" x14ac:dyDescent="0.25"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  <c r="BG686" s="4"/>
      <c r="BH686" s="4"/>
      <c r="BI686" s="4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</row>
    <row r="687" spans="29:73" s="1" customFormat="1" x14ac:dyDescent="0.25"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4"/>
      <c r="BQ687" s="4"/>
      <c r="BR687" s="4"/>
      <c r="BS687" s="4"/>
      <c r="BT687" s="4"/>
      <c r="BU687" s="4"/>
    </row>
    <row r="688" spans="29:73" s="1" customFormat="1" x14ac:dyDescent="0.25"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4"/>
      <c r="BQ688" s="4"/>
      <c r="BR688" s="4"/>
      <c r="BS688" s="4"/>
      <c r="BT688" s="4"/>
      <c r="BU688" s="4"/>
    </row>
    <row r="689" spans="29:73" s="1" customFormat="1" x14ac:dyDescent="0.25"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4"/>
      <c r="BM689" s="4"/>
      <c r="BN689" s="4"/>
      <c r="BO689" s="4"/>
      <c r="BP689" s="4"/>
      <c r="BQ689" s="4"/>
      <c r="BR689" s="4"/>
      <c r="BS689" s="4"/>
      <c r="BT689" s="4"/>
      <c r="BU689" s="4"/>
    </row>
    <row r="690" spans="29:73" s="1" customFormat="1" x14ac:dyDescent="0.25"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</row>
    <row r="691" spans="29:73" s="1" customFormat="1" x14ac:dyDescent="0.25"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  <c r="BG691" s="4"/>
      <c r="BH691" s="4"/>
      <c r="BI691" s="4"/>
      <c r="BJ691" s="4"/>
      <c r="BK691" s="4"/>
      <c r="BL691" s="4"/>
      <c r="BM691" s="4"/>
      <c r="BN691" s="4"/>
      <c r="BO691" s="4"/>
      <c r="BP691" s="4"/>
      <c r="BQ691" s="4"/>
      <c r="BR691" s="4"/>
      <c r="BS691" s="4"/>
      <c r="BT691" s="4"/>
      <c r="BU691" s="4"/>
    </row>
    <row r="692" spans="29:73" s="1" customFormat="1" x14ac:dyDescent="0.25"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</row>
    <row r="693" spans="29:73" s="1" customFormat="1" x14ac:dyDescent="0.25"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</row>
    <row r="694" spans="29:73" s="1" customFormat="1" x14ac:dyDescent="0.25"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4"/>
      <c r="BP694" s="4"/>
      <c r="BQ694" s="4"/>
      <c r="BR694" s="4"/>
      <c r="BS694" s="4"/>
      <c r="BT694" s="4"/>
      <c r="BU694" s="4"/>
    </row>
    <row r="695" spans="29:73" s="1" customFormat="1" x14ac:dyDescent="0.25"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4"/>
      <c r="BQ695" s="4"/>
      <c r="BR695" s="4"/>
      <c r="BS695" s="4"/>
      <c r="BT695" s="4"/>
      <c r="BU695" s="4"/>
    </row>
    <row r="696" spans="29:73" s="1" customFormat="1" x14ac:dyDescent="0.25"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4"/>
    </row>
    <row r="697" spans="29:73" s="1" customFormat="1" x14ac:dyDescent="0.25"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4"/>
    </row>
    <row r="698" spans="29:73" s="1" customFormat="1" x14ac:dyDescent="0.25"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4"/>
      <c r="BQ698" s="4"/>
      <c r="BR698" s="4"/>
      <c r="BS698" s="4"/>
      <c r="BT698" s="4"/>
      <c r="BU698" s="4"/>
    </row>
    <row r="699" spans="29:73" s="1" customFormat="1" x14ac:dyDescent="0.25"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4"/>
      <c r="BN699" s="4"/>
      <c r="BO699" s="4"/>
      <c r="BP699" s="4"/>
      <c r="BQ699" s="4"/>
      <c r="BR699" s="4"/>
      <c r="BS699" s="4"/>
      <c r="BT699" s="4"/>
      <c r="BU699" s="4"/>
    </row>
    <row r="700" spans="29:73" s="1" customFormat="1" x14ac:dyDescent="0.25"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4"/>
    </row>
    <row r="701" spans="29:73" s="1" customFormat="1" x14ac:dyDescent="0.25"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4"/>
      <c r="BQ701" s="4"/>
      <c r="BR701" s="4"/>
      <c r="BS701" s="4"/>
      <c r="BT701" s="4"/>
      <c r="BU701" s="4"/>
    </row>
    <row r="702" spans="29:73" s="1" customFormat="1" x14ac:dyDescent="0.25"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4"/>
      <c r="BM702" s="4"/>
      <c r="BN702" s="4"/>
      <c r="BO702" s="4"/>
      <c r="BP702" s="4"/>
      <c r="BQ702" s="4"/>
      <c r="BR702" s="4"/>
      <c r="BS702" s="4"/>
      <c r="BT702" s="4"/>
      <c r="BU702" s="4"/>
    </row>
    <row r="703" spans="29:73" s="1" customFormat="1" x14ac:dyDescent="0.25"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4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</row>
    <row r="704" spans="29:73" s="1" customFormat="1" x14ac:dyDescent="0.25"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4"/>
      <c r="BQ704" s="4"/>
      <c r="BR704" s="4"/>
      <c r="BS704" s="4"/>
      <c r="BT704" s="4"/>
      <c r="BU704" s="4"/>
    </row>
    <row r="705" spans="29:73" s="1" customFormat="1" x14ac:dyDescent="0.25"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4"/>
      <c r="BN705" s="4"/>
      <c r="BO705" s="4"/>
      <c r="BP705" s="4"/>
      <c r="BQ705" s="4"/>
      <c r="BR705" s="4"/>
      <c r="BS705" s="4"/>
      <c r="BT705" s="4"/>
      <c r="BU705" s="4"/>
    </row>
    <row r="706" spans="29:73" s="1" customFormat="1" x14ac:dyDescent="0.25"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</row>
    <row r="707" spans="29:73" s="1" customFormat="1" x14ac:dyDescent="0.25"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  <c r="BG707" s="4"/>
      <c r="BH707" s="4"/>
      <c r="BI707" s="4"/>
      <c r="BJ707" s="4"/>
      <c r="BK707" s="4"/>
      <c r="BL707" s="4"/>
      <c r="BM707" s="4"/>
      <c r="BN707" s="4"/>
      <c r="BO707" s="4"/>
      <c r="BP707" s="4"/>
      <c r="BQ707" s="4"/>
      <c r="BR707" s="4"/>
      <c r="BS707" s="4"/>
      <c r="BT707" s="4"/>
      <c r="BU707" s="4"/>
    </row>
    <row r="708" spans="29:73" s="1" customFormat="1" x14ac:dyDescent="0.25"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4"/>
      <c r="BU708" s="4"/>
    </row>
    <row r="709" spans="29:73" s="1" customFormat="1" x14ac:dyDescent="0.25"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4"/>
      <c r="BM709" s="4"/>
      <c r="BN709" s="4"/>
      <c r="BO709" s="4"/>
      <c r="BP709" s="4"/>
      <c r="BQ709" s="4"/>
      <c r="BR709" s="4"/>
      <c r="BS709" s="4"/>
      <c r="BT709" s="4"/>
      <c r="BU709" s="4"/>
    </row>
    <row r="710" spans="29:73" s="1" customFormat="1" x14ac:dyDescent="0.25"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4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</row>
    <row r="711" spans="29:73" s="1" customFormat="1" x14ac:dyDescent="0.25"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4"/>
      <c r="BQ711" s="4"/>
      <c r="BR711" s="4"/>
      <c r="BS711" s="4"/>
      <c r="BT711" s="4"/>
      <c r="BU711" s="4"/>
    </row>
    <row r="712" spans="29:73" s="1" customFormat="1" x14ac:dyDescent="0.25"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4"/>
      <c r="BN712" s="4"/>
      <c r="BO712" s="4"/>
      <c r="BP712" s="4"/>
      <c r="BQ712" s="4"/>
      <c r="BR712" s="4"/>
      <c r="BS712" s="4"/>
      <c r="BT712" s="4"/>
      <c r="BU712" s="4"/>
    </row>
    <row r="713" spans="29:73" s="1" customFormat="1" x14ac:dyDescent="0.25"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</row>
    <row r="714" spans="29:73" s="1" customFormat="1" x14ac:dyDescent="0.25"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  <c r="BG714" s="4"/>
      <c r="BH714" s="4"/>
      <c r="BI714" s="4"/>
      <c r="BJ714" s="4"/>
      <c r="BK714" s="4"/>
      <c r="BL714" s="4"/>
      <c r="BM714" s="4"/>
      <c r="BN714" s="4"/>
      <c r="BO714" s="4"/>
      <c r="BP714" s="4"/>
      <c r="BQ714" s="4"/>
      <c r="BR714" s="4"/>
      <c r="BS714" s="4"/>
      <c r="BT714" s="4"/>
      <c r="BU714" s="4"/>
    </row>
    <row r="715" spans="29:73" s="1" customFormat="1" x14ac:dyDescent="0.25"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4"/>
      <c r="BM715" s="4"/>
      <c r="BN715" s="4"/>
      <c r="BO715" s="4"/>
      <c r="BP715" s="4"/>
      <c r="BQ715" s="4"/>
      <c r="BR715" s="4"/>
      <c r="BS715" s="4"/>
      <c r="BT715" s="4"/>
      <c r="BU715" s="4"/>
    </row>
    <row r="716" spans="29:73" s="1" customFormat="1" x14ac:dyDescent="0.25"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4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</row>
    <row r="717" spans="29:73" s="1" customFormat="1" x14ac:dyDescent="0.25"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4"/>
      <c r="BQ717" s="4"/>
      <c r="BR717" s="4"/>
      <c r="BS717" s="4"/>
      <c r="BT717" s="4"/>
      <c r="BU717" s="4"/>
    </row>
    <row r="718" spans="29:73" s="1" customFormat="1" x14ac:dyDescent="0.25"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4"/>
      <c r="BN718" s="4"/>
      <c r="BO718" s="4"/>
      <c r="BP718" s="4"/>
      <c r="BQ718" s="4"/>
      <c r="BR718" s="4"/>
      <c r="BS718" s="4"/>
      <c r="BT718" s="4"/>
      <c r="BU718" s="4"/>
    </row>
    <row r="719" spans="29:73" s="1" customFormat="1" x14ac:dyDescent="0.25"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</row>
    <row r="720" spans="29:73" s="1" customFormat="1" x14ac:dyDescent="0.25"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  <c r="BG720" s="4"/>
      <c r="BH720" s="4"/>
      <c r="BI720" s="4"/>
      <c r="BJ720" s="4"/>
      <c r="BK720" s="4"/>
      <c r="BL720" s="4"/>
      <c r="BM720" s="4"/>
      <c r="BN720" s="4"/>
      <c r="BO720" s="4"/>
      <c r="BP720" s="4"/>
      <c r="BQ720" s="4"/>
      <c r="BR720" s="4"/>
      <c r="BS720" s="4"/>
      <c r="BT720" s="4"/>
      <c r="BU720" s="4"/>
    </row>
    <row r="721" spans="29:73" s="1" customFormat="1" x14ac:dyDescent="0.25"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4"/>
      <c r="BM721" s="4"/>
      <c r="BN721" s="4"/>
      <c r="BO721" s="4"/>
      <c r="BP721" s="4"/>
      <c r="BQ721" s="4"/>
      <c r="BR721" s="4"/>
      <c r="BS721" s="4"/>
      <c r="BT721" s="4"/>
      <c r="BU721" s="4"/>
    </row>
    <row r="722" spans="29:73" s="1" customFormat="1" x14ac:dyDescent="0.25"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4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</row>
    <row r="723" spans="29:73" s="1" customFormat="1" x14ac:dyDescent="0.25"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4"/>
      <c r="BQ723" s="4"/>
      <c r="BR723" s="4"/>
      <c r="BS723" s="4"/>
      <c r="BT723" s="4"/>
      <c r="BU723" s="4"/>
    </row>
    <row r="724" spans="29:73" s="1" customFormat="1" x14ac:dyDescent="0.25"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4"/>
      <c r="BN724" s="4"/>
      <c r="BO724" s="4"/>
      <c r="BP724" s="4"/>
      <c r="BQ724" s="4"/>
      <c r="BR724" s="4"/>
      <c r="BS724" s="4"/>
      <c r="BT724" s="4"/>
      <c r="BU724" s="4"/>
    </row>
    <row r="725" spans="29:73" s="1" customFormat="1" x14ac:dyDescent="0.25"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</row>
    <row r="726" spans="29:73" s="1" customFormat="1" x14ac:dyDescent="0.25"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  <c r="BG726" s="4"/>
      <c r="BH726" s="4"/>
      <c r="BI726" s="4"/>
      <c r="BJ726" s="4"/>
      <c r="BK726" s="4"/>
      <c r="BL726" s="4"/>
      <c r="BM726" s="4"/>
      <c r="BN726" s="4"/>
      <c r="BO726" s="4"/>
      <c r="BP726" s="4"/>
      <c r="BQ726" s="4"/>
      <c r="BR726" s="4"/>
      <c r="BS726" s="4"/>
      <c r="BT726" s="4"/>
      <c r="BU726" s="4"/>
    </row>
    <row r="727" spans="29:73" s="1" customFormat="1" x14ac:dyDescent="0.25"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4"/>
      <c r="BM727" s="4"/>
      <c r="BN727" s="4"/>
      <c r="BO727" s="4"/>
      <c r="BP727" s="4"/>
      <c r="BQ727" s="4"/>
      <c r="BR727" s="4"/>
      <c r="BS727" s="4"/>
      <c r="BT727" s="4"/>
      <c r="BU727" s="4"/>
    </row>
    <row r="728" spans="29:73" s="1" customFormat="1" x14ac:dyDescent="0.25"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4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</row>
    <row r="729" spans="29:73" s="1" customFormat="1" x14ac:dyDescent="0.25"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4"/>
      <c r="BQ729" s="4"/>
      <c r="BR729" s="4"/>
      <c r="BS729" s="4"/>
      <c r="BT729" s="4"/>
      <c r="BU729" s="4"/>
    </row>
    <row r="730" spans="29:73" s="1" customFormat="1" x14ac:dyDescent="0.25"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4"/>
      <c r="BN730" s="4"/>
      <c r="BO730" s="4"/>
      <c r="BP730" s="4"/>
      <c r="BQ730" s="4"/>
      <c r="BR730" s="4"/>
      <c r="BS730" s="4"/>
      <c r="BT730" s="4"/>
      <c r="BU730" s="4"/>
    </row>
    <row r="731" spans="29:73" s="1" customFormat="1" x14ac:dyDescent="0.25"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</row>
    <row r="732" spans="29:73" s="1" customFormat="1" x14ac:dyDescent="0.25"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  <c r="BG732" s="4"/>
      <c r="BH732" s="4"/>
      <c r="BI732" s="4"/>
      <c r="BJ732" s="4"/>
      <c r="BK732" s="4"/>
      <c r="BL732" s="4"/>
      <c r="BM732" s="4"/>
      <c r="BN732" s="4"/>
      <c r="BO732" s="4"/>
      <c r="BP732" s="4"/>
      <c r="BQ732" s="4"/>
      <c r="BR732" s="4"/>
      <c r="BS732" s="4"/>
      <c r="BT732" s="4"/>
      <c r="BU732" s="4"/>
    </row>
    <row r="733" spans="29:73" s="1" customFormat="1" x14ac:dyDescent="0.25"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4"/>
      <c r="BM733" s="4"/>
      <c r="BN733" s="4"/>
      <c r="BO733" s="4"/>
      <c r="BP733" s="4"/>
      <c r="BQ733" s="4"/>
      <c r="BR733" s="4"/>
      <c r="BS733" s="4"/>
      <c r="BT733" s="4"/>
      <c r="BU733" s="4"/>
    </row>
    <row r="734" spans="29:73" s="1" customFormat="1" x14ac:dyDescent="0.25"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4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</row>
    <row r="735" spans="29:73" s="1" customFormat="1" x14ac:dyDescent="0.25"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4"/>
      <c r="BQ735" s="4"/>
      <c r="BR735" s="4"/>
      <c r="BS735" s="4"/>
      <c r="BT735" s="4"/>
      <c r="BU735" s="4"/>
    </row>
    <row r="736" spans="29:73" s="1" customFormat="1" x14ac:dyDescent="0.25"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4"/>
      <c r="BN736" s="4"/>
      <c r="BO736" s="4"/>
      <c r="BP736" s="4"/>
      <c r="BQ736" s="4"/>
      <c r="BR736" s="4"/>
      <c r="BS736" s="4"/>
      <c r="BT736" s="4"/>
      <c r="BU736" s="4"/>
    </row>
    <row r="737" spans="29:73" s="1" customFormat="1" x14ac:dyDescent="0.25"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</row>
    <row r="738" spans="29:73" s="1" customFormat="1" x14ac:dyDescent="0.25"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  <c r="BL738" s="4"/>
      <c r="BM738" s="4"/>
      <c r="BN738" s="4"/>
      <c r="BO738" s="4"/>
      <c r="BP738" s="4"/>
      <c r="BQ738" s="4"/>
      <c r="BR738" s="4"/>
      <c r="BS738" s="4"/>
      <c r="BT738" s="4"/>
      <c r="BU738" s="4"/>
    </row>
    <row r="739" spans="29:73" s="1" customFormat="1" x14ac:dyDescent="0.25"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4"/>
      <c r="BM739" s="4"/>
      <c r="BN739" s="4"/>
      <c r="BO739" s="4"/>
      <c r="BP739" s="4"/>
      <c r="BQ739" s="4"/>
      <c r="BR739" s="4"/>
      <c r="BS739" s="4"/>
      <c r="BT739" s="4"/>
      <c r="BU739" s="4"/>
    </row>
    <row r="740" spans="29:73" s="1" customFormat="1" x14ac:dyDescent="0.25"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4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</row>
    <row r="741" spans="29:73" s="1" customFormat="1" x14ac:dyDescent="0.25"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4"/>
      <c r="BQ741" s="4"/>
      <c r="BR741" s="4"/>
      <c r="BS741" s="4"/>
      <c r="BT741" s="4"/>
      <c r="BU741" s="4"/>
    </row>
    <row r="742" spans="29:73" s="1" customFormat="1" x14ac:dyDescent="0.25"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  <c r="BG742" s="4"/>
      <c r="BH742" s="4"/>
      <c r="BI742" s="4"/>
      <c r="BJ742" s="4"/>
      <c r="BK742" s="4"/>
      <c r="BL742" s="4"/>
      <c r="BM742" s="4"/>
      <c r="BN742" s="4"/>
      <c r="BO742" s="4"/>
      <c r="BP742" s="4"/>
      <c r="BQ742" s="4"/>
      <c r="BR742" s="4"/>
      <c r="BS742" s="4"/>
      <c r="BT742" s="4"/>
      <c r="BU742" s="4"/>
    </row>
    <row r="743" spans="29:73" s="1" customFormat="1" x14ac:dyDescent="0.25"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  <c r="BG743" s="4"/>
      <c r="BH743" s="4"/>
      <c r="BI743" s="4"/>
      <c r="BJ743" s="4"/>
      <c r="BK743" s="4"/>
      <c r="BL743" s="4"/>
      <c r="BM743" s="4"/>
      <c r="BN743" s="4"/>
      <c r="BO743" s="4"/>
      <c r="BP743" s="4"/>
      <c r="BQ743" s="4"/>
      <c r="BR743" s="4"/>
      <c r="BS743" s="4"/>
      <c r="BT743" s="4"/>
      <c r="BU743" s="4"/>
    </row>
    <row r="744" spans="29:73" s="1" customFormat="1" x14ac:dyDescent="0.25"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  <c r="BG744" s="4"/>
      <c r="BH744" s="4"/>
      <c r="BI744" s="4"/>
      <c r="BJ744" s="4"/>
      <c r="BK744" s="4"/>
      <c r="BL744" s="4"/>
      <c r="BM744" s="4"/>
      <c r="BN744" s="4"/>
      <c r="BO744" s="4"/>
      <c r="BP744" s="4"/>
      <c r="BQ744" s="4"/>
      <c r="BR744" s="4"/>
      <c r="BS744" s="4"/>
      <c r="BT744" s="4"/>
      <c r="BU744" s="4"/>
    </row>
    <row r="745" spans="29:73" s="1" customFormat="1" x14ac:dyDescent="0.25"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  <c r="BG745" s="4"/>
      <c r="BH745" s="4"/>
      <c r="BI745" s="4"/>
      <c r="BJ745" s="4"/>
      <c r="BK745" s="4"/>
      <c r="BL745" s="4"/>
      <c r="BM745" s="4"/>
      <c r="BN745" s="4"/>
      <c r="BO745" s="4"/>
      <c r="BP745" s="4"/>
      <c r="BQ745" s="4"/>
      <c r="BR745" s="4"/>
      <c r="BS745" s="4"/>
      <c r="BT745" s="4"/>
      <c r="BU745" s="4"/>
    </row>
    <row r="746" spans="29:73" s="1" customFormat="1" x14ac:dyDescent="0.25"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  <c r="BG746" s="4"/>
      <c r="BH746" s="4"/>
      <c r="BI746" s="4"/>
      <c r="BJ746" s="4"/>
      <c r="BK746" s="4"/>
      <c r="BL746" s="4"/>
      <c r="BM746" s="4"/>
      <c r="BN746" s="4"/>
      <c r="BO746" s="4"/>
      <c r="BP746" s="4"/>
      <c r="BQ746" s="4"/>
      <c r="BR746" s="4"/>
      <c r="BS746" s="4"/>
      <c r="BT746" s="4"/>
      <c r="BU746" s="4"/>
    </row>
    <row r="747" spans="29:73" s="1" customFormat="1" x14ac:dyDescent="0.25"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  <c r="BG747" s="4"/>
      <c r="BH747" s="4"/>
      <c r="BI747" s="4"/>
      <c r="BJ747" s="4"/>
      <c r="BK747" s="4"/>
      <c r="BL747" s="4"/>
      <c r="BM747" s="4"/>
      <c r="BN747" s="4"/>
      <c r="BO747" s="4"/>
      <c r="BP747" s="4"/>
      <c r="BQ747" s="4"/>
      <c r="BR747" s="4"/>
      <c r="BS747" s="4"/>
      <c r="BT747" s="4"/>
      <c r="BU747" s="4"/>
    </row>
    <row r="748" spans="29:73" s="1" customFormat="1" x14ac:dyDescent="0.25"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  <c r="BG748" s="4"/>
      <c r="BH748" s="4"/>
      <c r="BI748" s="4"/>
      <c r="BJ748" s="4"/>
      <c r="BK748" s="4"/>
      <c r="BL748" s="4"/>
      <c r="BM748" s="4"/>
      <c r="BN748" s="4"/>
      <c r="BO748" s="4"/>
      <c r="BP748" s="4"/>
      <c r="BQ748" s="4"/>
      <c r="BR748" s="4"/>
      <c r="BS748" s="4"/>
      <c r="BT748" s="4"/>
      <c r="BU748" s="4"/>
    </row>
    <row r="749" spans="29:73" s="1" customFormat="1" x14ac:dyDescent="0.25"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  <c r="BG749" s="4"/>
      <c r="BH749" s="4"/>
      <c r="BI749" s="4"/>
      <c r="BJ749" s="4"/>
      <c r="BK749" s="4"/>
      <c r="BL749" s="4"/>
      <c r="BM749" s="4"/>
      <c r="BN749" s="4"/>
      <c r="BO749" s="4"/>
      <c r="BP749" s="4"/>
      <c r="BQ749" s="4"/>
      <c r="BR749" s="4"/>
      <c r="BS749" s="4"/>
      <c r="BT749" s="4"/>
      <c r="BU749" s="4"/>
    </row>
    <row r="750" spans="29:73" s="1" customFormat="1" x14ac:dyDescent="0.25"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4"/>
    </row>
    <row r="751" spans="29:73" s="1" customFormat="1" x14ac:dyDescent="0.25"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4"/>
      <c r="BM751" s="4"/>
      <c r="BN751" s="4"/>
      <c r="BO751" s="4"/>
      <c r="BP751" s="4"/>
      <c r="BQ751" s="4"/>
      <c r="BR751" s="4"/>
      <c r="BS751" s="4"/>
      <c r="BT751" s="4"/>
      <c r="BU751" s="4"/>
    </row>
    <row r="752" spans="29:73" s="1" customFormat="1" x14ac:dyDescent="0.25"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4"/>
      <c r="BU752" s="4"/>
    </row>
    <row r="753" spans="29:73" s="1" customFormat="1" x14ac:dyDescent="0.25"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</row>
    <row r="754" spans="29:73" s="1" customFormat="1" x14ac:dyDescent="0.25"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4"/>
      <c r="BH754" s="4"/>
      <c r="BI754" s="4"/>
      <c r="BJ754" s="4"/>
      <c r="BK754" s="4"/>
      <c r="BL754" s="4"/>
      <c r="BM754" s="4"/>
      <c r="BN754" s="4"/>
      <c r="BO754" s="4"/>
      <c r="BP754" s="4"/>
      <c r="BQ754" s="4"/>
      <c r="BR754" s="4"/>
      <c r="BS754" s="4"/>
      <c r="BT754" s="4"/>
      <c r="BU754" s="4"/>
    </row>
    <row r="755" spans="29:73" s="1" customFormat="1" x14ac:dyDescent="0.25"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4"/>
      <c r="BH755" s="4"/>
      <c r="BI755" s="4"/>
      <c r="BJ755" s="4"/>
      <c r="BK755" s="4"/>
      <c r="BL755" s="4"/>
      <c r="BM755" s="4"/>
      <c r="BN755" s="4"/>
      <c r="BO755" s="4"/>
      <c r="BP755" s="4"/>
      <c r="BQ755" s="4"/>
      <c r="BR755" s="4"/>
      <c r="BS755" s="4"/>
      <c r="BT755" s="4"/>
      <c r="BU755" s="4"/>
    </row>
    <row r="756" spans="29:73" s="1" customFormat="1" x14ac:dyDescent="0.25"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</row>
    <row r="757" spans="29:73" s="1" customFormat="1" x14ac:dyDescent="0.25"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4"/>
      <c r="BM757" s="4"/>
      <c r="BN757" s="4"/>
      <c r="BO757" s="4"/>
      <c r="BP757" s="4"/>
      <c r="BQ757" s="4"/>
      <c r="BR757" s="4"/>
      <c r="BS757" s="4"/>
      <c r="BT757" s="4"/>
      <c r="BU757" s="4"/>
    </row>
    <row r="758" spans="29:73" s="1" customFormat="1" x14ac:dyDescent="0.25"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4"/>
      <c r="BM758" s="4"/>
      <c r="BN758" s="4"/>
      <c r="BO758" s="4"/>
      <c r="BP758" s="4"/>
      <c r="BQ758" s="4"/>
      <c r="BR758" s="4"/>
      <c r="BS758" s="4"/>
      <c r="BT758" s="4"/>
      <c r="BU758" s="4"/>
    </row>
    <row r="759" spans="29:73" s="1" customFormat="1" x14ac:dyDescent="0.25"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4"/>
      <c r="BN759" s="4"/>
      <c r="BO759" s="4"/>
      <c r="BP759" s="4"/>
      <c r="BQ759" s="4"/>
      <c r="BR759" s="4"/>
      <c r="BS759" s="4"/>
      <c r="BT759" s="4"/>
      <c r="BU759" s="4"/>
    </row>
    <row r="760" spans="29:73" s="1" customFormat="1" x14ac:dyDescent="0.25"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</row>
    <row r="761" spans="29:73" s="1" customFormat="1" x14ac:dyDescent="0.25"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4"/>
      <c r="BQ761" s="4"/>
      <c r="BR761" s="4"/>
      <c r="BS761" s="4"/>
      <c r="BT761" s="4"/>
      <c r="BU761" s="4"/>
    </row>
    <row r="762" spans="29:73" s="1" customFormat="1" x14ac:dyDescent="0.25"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</row>
    <row r="763" spans="29:73" s="1" customFormat="1" x14ac:dyDescent="0.25"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4"/>
      <c r="BN763" s="4"/>
      <c r="BO763" s="4"/>
      <c r="BP763" s="4"/>
      <c r="BQ763" s="4"/>
      <c r="BR763" s="4"/>
      <c r="BS763" s="4"/>
      <c r="BT763" s="4"/>
      <c r="BU763" s="4"/>
    </row>
    <row r="764" spans="29:73" s="1" customFormat="1" x14ac:dyDescent="0.25"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4"/>
      <c r="BN764" s="4"/>
      <c r="BO764" s="4"/>
      <c r="BP764" s="4"/>
      <c r="BQ764" s="4"/>
      <c r="BR764" s="4"/>
      <c r="BS764" s="4"/>
      <c r="BT764" s="4"/>
      <c r="BU764" s="4"/>
    </row>
    <row r="765" spans="29:73" s="1" customFormat="1" x14ac:dyDescent="0.25"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</row>
    <row r="766" spans="29:73" s="1" customFormat="1" x14ac:dyDescent="0.25"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</row>
    <row r="767" spans="29:73" s="1" customFormat="1" x14ac:dyDescent="0.25"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4"/>
      <c r="BN767" s="4"/>
      <c r="BO767" s="4"/>
      <c r="BP767" s="4"/>
      <c r="BQ767" s="4"/>
      <c r="BR767" s="4"/>
      <c r="BS767" s="4"/>
      <c r="BT767" s="4"/>
      <c r="BU767" s="4"/>
    </row>
    <row r="768" spans="29:73" s="1" customFormat="1" x14ac:dyDescent="0.25"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4"/>
      <c r="BP768" s="4"/>
      <c r="BQ768" s="4"/>
      <c r="BR768" s="4"/>
      <c r="BS768" s="4"/>
      <c r="BT768" s="4"/>
      <c r="BU768" s="4"/>
    </row>
    <row r="769" spans="29:73" s="1" customFormat="1" x14ac:dyDescent="0.25"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  <c r="BG769" s="4"/>
      <c r="BH769" s="4"/>
      <c r="BI769" s="4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</row>
    <row r="770" spans="29:73" s="1" customFormat="1" x14ac:dyDescent="0.25"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4"/>
      <c r="BQ770" s="4"/>
      <c r="BR770" s="4"/>
      <c r="BS770" s="4"/>
      <c r="BT770" s="4"/>
      <c r="BU770" s="4"/>
    </row>
    <row r="771" spans="29:73" s="1" customFormat="1" x14ac:dyDescent="0.25"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4"/>
      <c r="BQ771" s="4"/>
      <c r="BR771" s="4"/>
      <c r="BS771" s="4"/>
      <c r="BT771" s="4"/>
      <c r="BU771" s="4"/>
    </row>
    <row r="772" spans="29:73" s="1" customFormat="1" x14ac:dyDescent="0.25"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4"/>
      <c r="BM772" s="4"/>
      <c r="BN772" s="4"/>
      <c r="BO772" s="4"/>
      <c r="BP772" s="4"/>
      <c r="BQ772" s="4"/>
      <c r="BR772" s="4"/>
      <c r="BS772" s="4"/>
      <c r="BT772" s="4"/>
      <c r="BU772" s="4"/>
    </row>
    <row r="773" spans="29:73" s="1" customFormat="1" x14ac:dyDescent="0.25"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</row>
    <row r="774" spans="29:73" s="1" customFormat="1" x14ac:dyDescent="0.25"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  <c r="BG774" s="4"/>
      <c r="BH774" s="4"/>
      <c r="BI774" s="4"/>
      <c r="BJ774" s="4"/>
      <c r="BK774" s="4"/>
      <c r="BL774" s="4"/>
      <c r="BM774" s="4"/>
      <c r="BN774" s="4"/>
      <c r="BO774" s="4"/>
      <c r="BP774" s="4"/>
      <c r="BQ774" s="4"/>
      <c r="BR774" s="4"/>
      <c r="BS774" s="4"/>
      <c r="BT774" s="4"/>
      <c r="BU774" s="4"/>
    </row>
    <row r="775" spans="29:73" s="1" customFormat="1" x14ac:dyDescent="0.25"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</row>
    <row r="776" spans="29:73" s="1" customFormat="1" x14ac:dyDescent="0.25"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</row>
    <row r="777" spans="29:73" s="1" customFormat="1" x14ac:dyDescent="0.25"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4"/>
      <c r="BP777" s="4"/>
      <c r="BQ777" s="4"/>
      <c r="BR777" s="4"/>
      <c r="BS777" s="4"/>
      <c r="BT777" s="4"/>
      <c r="BU777" s="4"/>
    </row>
    <row r="778" spans="29:73" s="1" customFormat="1" x14ac:dyDescent="0.25"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4"/>
      <c r="BQ778" s="4"/>
      <c r="BR778" s="4"/>
      <c r="BS778" s="4"/>
      <c r="BT778" s="4"/>
      <c r="BU778" s="4"/>
    </row>
    <row r="779" spans="29:73" s="1" customFormat="1" x14ac:dyDescent="0.25"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4"/>
    </row>
    <row r="780" spans="29:73" s="1" customFormat="1" x14ac:dyDescent="0.25"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4"/>
    </row>
    <row r="781" spans="29:73" s="1" customFormat="1" x14ac:dyDescent="0.25"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4"/>
      <c r="BQ781" s="4"/>
      <c r="BR781" s="4"/>
      <c r="BS781" s="4"/>
      <c r="BT781" s="4"/>
      <c r="BU781" s="4"/>
    </row>
    <row r="782" spans="29:73" s="1" customFormat="1" x14ac:dyDescent="0.25"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4"/>
      <c r="BN782" s="4"/>
      <c r="BO782" s="4"/>
      <c r="BP782" s="4"/>
      <c r="BQ782" s="4"/>
      <c r="BR782" s="4"/>
      <c r="BS782" s="4"/>
      <c r="BT782" s="4"/>
      <c r="BU782" s="4"/>
    </row>
    <row r="783" spans="29:73" s="1" customFormat="1" x14ac:dyDescent="0.25"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4"/>
    </row>
    <row r="784" spans="29:73" s="1" customFormat="1" x14ac:dyDescent="0.25"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4"/>
      <c r="BQ784" s="4"/>
      <c r="BR784" s="4"/>
      <c r="BS784" s="4"/>
      <c r="BT784" s="4"/>
      <c r="BU784" s="4"/>
    </row>
    <row r="785" spans="29:73" s="1" customFormat="1" x14ac:dyDescent="0.25"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4"/>
      <c r="BM785" s="4"/>
      <c r="BN785" s="4"/>
      <c r="BO785" s="4"/>
      <c r="BP785" s="4"/>
      <c r="BQ785" s="4"/>
      <c r="BR785" s="4"/>
      <c r="BS785" s="4"/>
      <c r="BT785" s="4"/>
      <c r="BU785" s="4"/>
    </row>
    <row r="786" spans="29:73" s="1" customFormat="1" x14ac:dyDescent="0.25"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4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</row>
    <row r="787" spans="29:73" s="1" customFormat="1" x14ac:dyDescent="0.25"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4"/>
      <c r="BQ787" s="4"/>
      <c r="BR787" s="4"/>
      <c r="BS787" s="4"/>
      <c r="BT787" s="4"/>
      <c r="BU787" s="4"/>
    </row>
    <row r="788" spans="29:73" s="1" customFormat="1" x14ac:dyDescent="0.25"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4"/>
      <c r="BN788" s="4"/>
      <c r="BO788" s="4"/>
      <c r="BP788" s="4"/>
      <c r="BQ788" s="4"/>
      <c r="BR788" s="4"/>
      <c r="BS788" s="4"/>
      <c r="BT788" s="4"/>
      <c r="BU788" s="4"/>
    </row>
    <row r="789" spans="29:73" s="1" customFormat="1" x14ac:dyDescent="0.25"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</row>
    <row r="790" spans="29:73" s="1" customFormat="1" x14ac:dyDescent="0.25"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  <c r="BG790" s="4"/>
      <c r="BH790" s="4"/>
      <c r="BI790" s="4"/>
      <c r="BJ790" s="4"/>
      <c r="BK790" s="4"/>
      <c r="BL790" s="4"/>
      <c r="BM790" s="4"/>
      <c r="BN790" s="4"/>
      <c r="BO790" s="4"/>
      <c r="BP790" s="4"/>
      <c r="BQ790" s="4"/>
      <c r="BR790" s="4"/>
      <c r="BS790" s="4"/>
      <c r="BT790" s="4"/>
      <c r="BU790" s="4"/>
    </row>
    <row r="791" spans="29:73" s="1" customFormat="1" x14ac:dyDescent="0.25"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4"/>
      <c r="BU791" s="4"/>
    </row>
    <row r="792" spans="29:73" s="1" customFormat="1" x14ac:dyDescent="0.25"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4"/>
      <c r="BM792" s="4"/>
      <c r="BN792" s="4"/>
      <c r="BO792" s="4"/>
      <c r="BP792" s="4"/>
      <c r="BQ792" s="4"/>
      <c r="BR792" s="4"/>
      <c r="BS792" s="4"/>
      <c r="BT792" s="4"/>
      <c r="BU792" s="4"/>
    </row>
    <row r="793" spans="29:73" s="1" customFormat="1" x14ac:dyDescent="0.25"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4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</row>
    <row r="794" spans="29:73" s="1" customFormat="1" x14ac:dyDescent="0.25"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4"/>
      <c r="BQ794" s="4"/>
      <c r="BR794" s="4"/>
      <c r="BS794" s="4"/>
      <c r="BT794" s="4"/>
      <c r="BU794" s="4"/>
    </row>
    <row r="795" spans="29:73" s="1" customFormat="1" x14ac:dyDescent="0.25"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4"/>
      <c r="BN795" s="4"/>
      <c r="BO795" s="4"/>
      <c r="BP795" s="4"/>
      <c r="BQ795" s="4"/>
      <c r="BR795" s="4"/>
      <c r="BS795" s="4"/>
      <c r="BT795" s="4"/>
      <c r="BU795" s="4"/>
    </row>
    <row r="796" spans="29:73" s="1" customFormat="1" x14ac:dyDescent="0.25"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</row>
    <row r="797" spans="29:73" s="1" customFormat="1" x14ac:dyDescent="0.25"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  <c r="BG797" s="4"/>
      <c r="BH797" s="4"/>
      <c r="BI797" s="4"/>
      <c r="BJ797" s="4"/>
      <c r="BK797" s="4"/>
      <c r="BL797" s="4"/>
      <c r="BM797" s="4"/>
      <c r="BN797" s="4"/>
      <c r="BO797" s="4"/>
      <c r="BP797" s="4"/>
      <c r="BQ797" s="4"/>
      <c r="BR797" s="4"/>
      <c r="BS797" s="4"/>
      <c r="BT797" s="4"/>
      <c r="BU797" s="4"/>
    </row>
    <row r="798" spans="29:73" s="1" customFormat="1" x14ac:dyDescent="0.25"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4"/>
      <c r="BM798" s="4"/>
      <c r="BN798" s="4"/>
      <c r="BO798" s="4"/>
      <c r="BP798" s="4"/>
      <c r="BQ798" s="4"/>
      <c r="BR798" s="4"/>
      <c r="BS798" s="4"/>
      <c r="BT798" s="4"/>
      <c r="BU798" s="4"/>
    </row>
    <row r="799" spans="29:73" s="1" customFormat="1" x14ac:dyDescent="0.25"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4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</row>
    <row r="800" spans="29:73" s="1" customFormat="1" x14ac:dyDescent="0.25"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4"/>
      <c r="BQ800" s="4"/>
      <c r="BR800" s="4"/>
      <c r="BS800" s="4"/>
      <c r="BT800" s="4"/>
      <c r="BU800" s="4"/>
    </row>
    <row r="801" spans="29:73" s="1" customFormat="1" x14ac:dyDescent="0.25"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4"/>
      <c r="BN801" s="4"/>
      <c r="BO801" s="4"/>
      <c r="BP801" s="4"/>
      <c r="BQ801" s="4"/>
      <c r="BR801" s="4"/>
      <c r="BS801" s="4"/>
      <c r="BT801" s="4"/>
      <c r="BU801" s="4"/>
    </row>
    <row r="802" spans="29:73" s="1" customFormat="1" x14ac:dyDescent="0.25"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</row>
    <row r="803" spans="29:73" s="1" customFormat="1" x14ac:dyDescent="0.25"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  <c r="BG803" s="4"/>
      <c r="BH803" s="4"/>
      <c r="BI803" s="4"/>
      <c r="BJ803" s="4"/>
      <c r="BK803" s="4"/>
      <c r="BL803" s="4"/>
      <c r="BM803" s="4"/>
      <c r="BN803" s="4"/>
      <c r="BO803" s="4"/>
      <c r="BP803" s="4"/>
      <c r="BQ803" s="4"/>
      <c r="BR803" s="4"/>
      <c r="BS803" s="4"/>
      <c r="BT803" s="4"/>
      <c r="BU803" s="4"/>
    </row>
    <row r="804" spans="29:73" s="1" customFormat="1" x14ac:dyDescent="0.25"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4"/>
      <c r="BM804" s="4"/>
      <c r="BN804" s="4"/>
      <c r="BO804" s="4"/>
      <c r="BP804" s="4"/>
      <c r="BQ804" s="4"/>
      <c r="BR804" s="4"/>
      <c r="BS804" s="4"/>
      <c r="BT804" s="4"/>
      <c r="BU804" s="4"/>
    </row>
    <row r="805" spans="29:73" s="1" customFormat="1" x14ac:dyDescent="0.25"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4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</row>
    <row r="806" spans="29:73" s="1" customFormat="1" x14ac:dyDescent="0.25"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4"/>
      <c r="BQ806" s="4"/>
      <c r="BR806" s="4"/>
      <c r="BS806" s="4"/>
      <c r="BT806" s="4"/>
      <c r="BU806" s="4"/>
    </row>
    <row r="807" spans="29:73" s="1" customFormat="1" x14ac:dyDescent="0.25"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4"/>
      <c r="BN807" s="4"/>
      <c r="BO807" s="4"/>
      <c r="BP807" s="4"/>
      <c r="BQ807" s="4"/>
      <c r="BR807" s="4"/>
      <c r="BS807" s="4"/>
      <c r="BT807" s="4"/>
      <c r="BU807" s="4"/>
    </row>
    <row r="808" spans="29:73" s="1" customFormat="1" x14ac:dyDescent="0.25"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</row>
    <row r="809" spans="29:73" s="1" customFormat="1" x14ac:dyDescent="0.25"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  <c r="BG809" s="4"/>
      <c r="BH809" s="4"/>
      <c r="BI809" s="4"/>
      <c r="BJ809" s="4"/>
      <c r="BK809" s="4"/>
      <c r="BL809" s="4"/>
      <c r="BM809" s="4"/>
      <c r="BN809" s="4"/>
      <c r="BO809" s="4"/>
      <c r="BP809" s="4"/>
      <c r="BQ809" s="4"/>
      <c r="BR809" s="4"/>
      <c r="BS809" s="4"/>
      <c r="BT809" s="4"/>
      <c r="BU809" s="4"/>
    </row>
    <row r="810" spans="29:73" s="1" customFormat="1" x14ac:dyDescent="0.25"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4"/>
      <c r="BM810" s="4"/>
      <c r="BN810" s="4"/>
      <c r="BO810" s="4"/>
      <c r="BP810" s="4"/>
      <c r="BQ810" s="4"/>
      <c r="BR810" s="4"/>
      <c r="BS810" s="4"/>
      <c r="BT810" s="4"/>
      <c r="BU810" s="4"/>
    </row>
    <row r="811" spans="29:73" s="1" customFormat="1" x14ac:dyDescent="0.25"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4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</row>
    <row r="812" spans="29:73" s="1" customFormat="1" x14ac:dyDescent="0.25"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4"/>
      <c r="BQ812" s="4"/>
      <c r="BR812" s="4"/>
      <c r="BS812" s="4"/>
      <c r="BT812" s="4"/>
      <c r="BU812" s="4"/>
    </row>
    <row r="813" spans="29:73" s="1" customFormat="1" x14ac:dyDescent="0.25"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4"/>
      <c r="BN813" s="4"/>
      <c r="BO813" s="4"/>
      <c r="BP813" s="4"/>
      <c r="BQ813" s="4"/>
      <c r="BR813" s="4"/>
      <c r="BS813" s="4"/>
      <c r="BT813" s="4"/>
      <c r="BU813" s="4"/>
    </row>
    <row r="814" spans="29:73" s="1" customFormat="1" x14ac:dyDescent="0.25"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</row>
    <row r="815" spans="29:73" s="1" customFormat="1" x14ac:dyDescent="0.25"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  <c r="BG815" s="4"/>
      <c r="BH815" s="4"/>
      <c r="BI815" s="4"/>
      <c r="BJ815" s="4"/>
      <c r="BK815" s="4"/>
      <c r="BL815" s="4"/>
      <c r="BM815" s="4"/>
      <c r="BN815" s="4"/>
      <c r="BO815" s="4"/>
      <c r="BP815" s="4"/>
      <c r="BQ815" s="4"/>
      <c r="BR815" s="4"/>
      <c r="BS815" s="4"/>
      <c r="BT815" s="4"/>
      <c r="BU815" s="4"/>
    </row>
    <row r="816" spans="29:73" s="1" customFormat="1" x14ac:dyDescent="0.25"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4"/>
      <c r="BM816" s="4"/>
      <c r="BN816" s="4"/>
      <c r="BO816" s="4"/>
      <c r="BP816" s="4"/>
      <c r="BQ816" s="4"/>
      <c r="BR816" s="4"/>
      <c r="BS816" s="4"/>
      <c r="BT816" s="4"/>
      <c r="BU816" s="4"/>
    </row>
    <row r="817" spans="29:73" s="1" customFormat="1" x14ac:dyDescent="0.25"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4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</row>
    <row r="818" spans="29:73" s="1" customFormat="1" x14ac:dyDescent="0.25"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4"/>
      <c r="BQ818" s="4"/>
      <c r="BR818" s="4"/>
      <c r="BS818" s="4"/>
      <c r="BT818" s="4"/>
      <c r="BU818" s="4"/>
    </row>
    <row r="819" spans="29:73" s="1" customFormat="1" x14ac:dyDescent="0.25"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4"/>
      <c r="BN819" s="4"/>
      <c r="BO819" s="4"/>
      <c r="BP819" s="4"/>
      <c r="BQ819" s="4"/>
      <c r="BR819" s="4"/>
      <c r="BS819" s="4"/>
      <c r="BT819" s="4"/>
      <c r="BU819" s="4"/>
    </row>
    <row r="820" spans="29:73" s="1" customFormat="1" x14ac:dyDescent="0.25"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</row>
    <row r="821" spans="29:73" s="1" customFormat="1" x14ac:dyDescent="0.25"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  <c r="BG821" s="4"/>
      <c r="BH821" s="4"/>
      <c r="BI821" s="4"/>
      <c r="BJ821" s="4"/>
      <c r="BK821" s="4"/>
      <c r="BL821" s="4"/>
      <c r="BM821" s="4"/>
      <c r="BN821" s="4"/>
      <c r="BO821" s="4"/>
      <c r="BP821" s="4"/>
      <c r="BQ821" s="4"/>
      <c r="BR821" s="4"/>
      <c r="BS821" s="4"/>
      <c r="BT821" s="4"/>
      <c r="BU821" s="4"/>
    </row>
    <row r="822" spans="29:73" s="1" customFormat="1" x14ac:dyDescent="0.25"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4"/>
      <c r="BM822" s="4"/>
      <c r="BN822" s="4"/>
      <c r="BO822" s="4"/>
      <c r="BP822" s="4"/>
      <c r="BQ822" s="4"/>
      <c r="BR822" s="4"/>
      <c r="BS822" s="4"/>
      <c r="BT822" s="4"/>
      <c r="BU822" s="4"/>
    </row>
    <row r="823" spans="29:73" s="1" customFormat="1" x14ac:dyDescent="0.25"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4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</row>
    <row r="824" spans="29:73" s="1" customFormat="1" x14ac:dyDescent="0.25"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4"/>
      <c r="BQ824" s="4"/>
      <c r="BR824" s="4"/>
      <c r="BS824" s="4"/>
      <c r="BT824" s="4"/>
      <c r="BU824" s="4"/>
    </row>
    <row r="825" spans="29:73" s="1" customFormat="1" x14ac:dyDescent="0.25"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  <c r="BG825" s="4"/>
      <c r="BH825" s="4"/>
      <c r="BI825" s="4"/>
      <c r="BJ825" s="4"/>
      <c r="BK825" s="4"/>
      <c r="BL825" s="4"/>
      <c r="BM825" s="4"/>
      <c r="BN825" s="4"/>
      <c r="BO825" s="4"/>
      <c r="BP825" s="4"/>
      <c r="BQ825" s="4"/>
      <c r="BR825" s="4"/>
      <c r="BS825" s="4"/>
      <c r="BT825" s="4"/>
      <c r="BU825" s="4"/>
    </row>
    <row r="826" spans="29:73" s="1" customFormat="1" x14ac:dyDescent="0.25"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  <c r="BG826" s="4"/>
      <c r="BH826" s="4"/>
      <c r="BI826" s="4"/>
      <c r="BJ826" s="4"/>
      <c r="BK826" s="4"/>
      <c r="BL826" s="4"/>
      <c r="BM826" s="4"/>
      <c r="BN826" s="4"/>
      <c r="BO826" s="4"/>
      <c r="BP826" s="4"/>
      <c r="BQ826" s="4"/>
      <c r="BR826" s="4"/>
      <c r="BS826" s="4"/>
      <c r="BT826" s="4"/>
      <c r="BU826" s="4"/>
    </row>
    <row r="827" spans="29:73" s="1" customFormat="1" x14ac:dyDescent="0.25"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  <c r="BG827" s="4"/>
      <c r="BH827" s="4"/>
      <c r="BI827" s="4"/>
      <c r="BJ827" s="4"/>
      <c r="BK827" s="4"/>
      <c r="BL827" s="4"/>
      <c r="BM827" s="4"/>
      <c r="BN827" s="4"/>
      <c r="BO827" s="4"/>
      <c r="BP827" s="4"/>
      <c r="BQ827" s="4"/>
      <c r="BR827" s="4"/>
      <c r="BS827" s="4"/>
      <c r="BT827" s="4"/>
      <c r="BU827" s="4"/>
    </row>
    <row r="828" spans="29:73" s="1" customFormat="1" x14ac:dyDescent="0.25"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  <c r="BG828" s="4"/>
      <c r="BH828" s="4"/>
      <c r="BI828" s="4"/>
      <c r="BJ828" s="4"/>
      <c r="BK828" s="4"/>
      <c r="BL828" s="4"/>
      <c r="BM828" s="4"/>
      <c r="BN828" s="4"/>
      <c r="BO828" s="4"/>
      <c r="BP828" s="4"/>
      <c r="BQ828" s="4"/>
      <c r="BR828" s="4"/>
      <c r="BS828" s="4"/>
      <c r="BT828" s="4"/>
      <c r="BU828" s="4"/>
    </row>
    <row r="829" spans="29:73" s="1" customFormat="1" x14ac:dyDescent="0.25"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  <c r="BG829" s="4"/>
      <c r="BH829" s="4"/>
      <c r="BI829" s="4"/>
      <c r="BJ829" s="4"/>
      <c r="BK829" s="4"/>
      <c r="BL829" s="4"/>
      <c r="BM829" s="4"/>
      <c r="BN829" s="4"/>
      <c r="BO829" s="4"/>
      <c r="BP829" s="4"/>
      <c r="BQ829" s="4"/>
      <c r="BR829" s="4"/>
      <c r="BS829" s="4"/>
      <c r="BT829" s="4"/>
      <c r="BU829" s="4"/>
    </row>
    <row r="830" spans="29:73" s="1" customFormat="1" x14ac:dyDescent="0.25"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  <c r="BG830" s="4"/>
      <c r="BH830" s="4"/>
      <c r="BI830" s="4"/>
      <c r="BJ830" s="4"/>
      <c r="BK830" s="4"/>
      <c r="BL830" s="4"/>
      <c r="BM830" s="4"/>
      <c r="BN830" s="4"/>
      <c r="BO830" s="4"/>
      <c r="BP830" s="4"/>
      <c r="BQ830" s="4"/>
      <c r="BR830" s="4"/>
      <c r="BS830" s="4"/>
      <c r="BT830" s="4"/>
      <c r="BU830" s="4"/>
    </row>
    <row r="831" spans="29:73" s="1" customFormat="1" x14ac:dyDescent="0.25"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  <c r="BG831" s="4"/>
      <c r="BH831" s="4"/>
      <c r="BI831" s="4"/>
      <c r="BJ831" s="4"/>
      <c r="BK831" s="4"/>
      <c r="BL831" s="4"/>
      <c r="BM831" s="4"/>
      <c r="BN831" s="4"/>
      <c r="BO831" s="4"/>
      <c r="BP831" s="4"/>
      <c r="BQ831" s="4"/>
      <c r="BR831" s="4"/>
      <c r="BS831" s="4"/>
      <c r="BT831" s="4"/>
      <c r="BU831" s="4"/>
    </row>
    <row r="832" spans="29:73" s="1" customFormat="1" x14ac:dyDescent="0.25"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  <c r="BG832" s="4"/>
      <c r="BH832" s="4"/>
      <c r="BI832" s="4"/>
      <c r="BJ832" s="4"/>
      <c r="BK832" s="4"/>
      <c r="BL832" s="4"/>
      <c r="BM832" s="4"/>
      <c r="BN832" s="4"/>
      <c r="BO832" s="4"/>
      <c r="BP832" s="4"/>
      <c r="BQ832" s="4"/>
      <c r="BR832" s="4"/>
      <c r="BS832" s="4"/>
      <c r="BT832" s="4"/>
      <c r="BU832" s="4"/>
    </row>
    <row r="833" spans="29:73" s="1" customFormat="1" x14ac:dyDescent="0.25"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  <c r="BG833" s="4"/>
      <c r="BH833" s="4"/>
      <c r="BI833" s="4"/>
      <c r="BJ833" s="4"/>
      <c r="BK833" s="4"/>
      <c r="BL833" s="4"/>
      <c r="BM833" s="4"/>
      <c r="BN833" s="4"/>
      <c r="BO833" s="4"/>
      <c r="BP833" s="4"/>
      <c r="BQ833" s="4"/>
      <c r="BR833" s="4"/>
      <c r="BS833" s="4"/>
      <c r="BT833" s="4"/>
      <c r="BU833" s="4"/>
    </row>
    <row r="834" spans="29:73" s="1" customFormat="1" x14ac:dyDescent="0.25"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  <c r="BG834" s="4"/>
      <c r="BH834" s="4"/>
      <c r="BI834" s="4"/>
      <c r="BJ834" s="4"/>
      <c r="BK834" s="4"/>
      <c r="BL834" s="4"/>
      <c r="BM834" s="4"/>
      <c r="BN834" s="4"/>
      <c r="BO834" s="4"/>
      <c r="BP834" s="4"/>
      <c r="BQ834" s="4"/>
      <c r="BR834" s="4"/>
      <c r="BS834" s="4"/>
      <c r="BT834" s="4"/>
      <c r="BU834" s="4"/>
    </row>
    <row r="835" spans="29:73" s="1" customFormat="1" x14ac:dyDescent="0.25"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  <c r="BG835" s="4"/>
      <c r="BH835" s="4"/>
      <c r="BI835" s="4"/>
      <c r="BJ835" s="4"/>
      <c r="BK835" s="4"/>
      <c r="BL835" s="4"/>
      <c r="BM835" s="4"/>
      <c r="BN835" s="4"/>
      <c r="BO835" s="4"/>
      <c r="BP835" s="4"/>
      <c r="BQ835" s="4"/>
      <c r="BR835" s="4"/>
      <c r="BS835" s="4"/>
      <c r="BT835" s="4"/>
      <c r="BU835" s="4"/>
    </row>
    <row r="836" spans="29:73" s="1" customFormat="1" x14ac:dyDescent="0.25"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  <c r="BG836" s="4"/>
      <c r="BH836" s="4"/>
      <c r="BI836" s="4"/>
      <c r="BJ836" s="4"/>
      <c r="BK836" s="4"/>
      <c r="BL836" s="4"/>
      <c r="BM836" s="4"/>
      <c r="BN836" s="4"/>
      <c r="BO836" s="4"/>
      <c r="BP836" s="4"/>
      <c r="BQ836" s="4"/>
      <c r="BR836" s="4"/>
      <c r="BS836" s="4"/>
      <c r="BT836" s="4"/>
      <c r="BU836" s="4"/>
    </row>
    <row r="837" spans="29:73" s="1" customFormat="1" x14ac:dyDescent="0.25"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  <c r="BG837" s="4"/>
      <c r="BH837" s="4"/>
      <c r="BI837" s="4"/>
      <c r="BJ837" s="4"/>
      <c r="BK837" s="4"/>
      <c r="BL837" s="4"/>
      <c r="BM837" s="4"/>
      <c r="BN837" s="4"/>
      <c r="BO837" s="4"/>
      <c r="BP837" s="4"/>
      <c r="BQ837" s="4"/>
      <c r="BR837" s="4"/>
      <c r="BS837" s="4"/>
      <c r="BT837" s="4"/>
      <c r="BU837" s="4"/>
    </row>
    <row r="838" spans="29:73" s="1" customFormat="1" x14ac:dyDescent="0.25"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  <c r="BG838" s="4"/>
      <c r="BH838" s="4"/>
      <c r="BI838" s="4"/>
      <c r="BJ838" s="4"/>
      <c r="BK838" s="4"/>
      <c r="BL838" s="4"/>
      <c r="BM838" s="4"/>
      <c r="BN838" s="4"/>
      <c r="BO838" s="4"/>
      <c r="BP838" s="4"/>
      <c r="BQ838" s="4"/>
      <c r="BR838" s="4"/>
      <c r="BS838" s="4"/>
      <c r="BT838" s="4"/>
      <c r="BU838" s="4"/>
    </row>
    <row r="839" spans="29:73" s="1" customFormat="1" x14ac:dyDescent="0.25"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  <c r="BG839" s="4"/>
      <c r="BH839" s="4"/>
      <c r="BI839" s="4"/>
      <c r="BJ839" s="4"/>
      <c r="BK839" s="4"/>
      <c r="BL839" s="4"/>
      <c r="BM839" s="4"/>
      <c r="BN839" s="4"/>
      <c r="BO839" s="4"/>
      <c r="BP839" s="4"/>
      <c r="BQ839" s="4"/>
      <c r="BR839" s="4"/>
      <c r="BS839" s="4"/>
      <c r="BT839" s="4"/>
      <c r="BU839" s="4"/>
    </row>
    <row r="840" spans="29:73" s="1" customFormat="1" x14ac:dyDescent="0.25"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  <c r="BG840" s="4"/>
      <c r="BH840" s="4"/>
      <c r="BI840" s="4"/>
      <c r="BJ840" s="4"/>
      <c r="BK840" s="4"/>
      <c r="BL840" s="4"/>
      <c r="BM840" s="4"/>
      <c r="BN840" s="4"/>
      <c r="BO840" s="4"/>
      <c r="BP840" s="4"/>
      <c r="BQ840" s="4"/>
      <c r="BR840" s="4"/>
      <c r="BS840" s="4"/>
      <c r="BT840" s="4"/>
      <c r="BU840" s="4"/>
    </row>
    <row r="841" spans="29:73" s="1" customFormat="1" x14ac:dyDescent="0.25"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  <c r="BG841" s="4"/>
      <c r="BH841" s="4"/>
      <c r="BI841" s="4"/>
      <c r="BJ841" s="4"/>
      <c r="BK841" s="4"/>
      <c r="BL841" s="4"/>
      <c r="BM841" s="4"/>
      <c r="BN841" s="4"/>
      <c r="BO841" s="4"/>
      <c r="BP841" s="4"/>
      <c r="BQ841" s="4"/>
      <c r="BR841" s="4"/>
      <c r="BS841" s="4"/>
      <c r="BT841" s="4"/>
      <c r="BU841" s="4"/>
    </row>
    <row r="842" spans="29:73" s="1" customFormat="1" x14ac:dyDescent="0.25"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  <c r="BG842" s="4"/>
      <c r="BH842" s="4"/>
      <c r="BI842" s="4"/>
      <c r="BJ842" s="4"/>
      <c r="BK842" s="4"/>
      <c r="BL842" s="4"/>
      <c r="BM842" s="4"/>
      <c r="BN842" s="4"/>
      <c r="BO842" s="4"/>
      <c r="BP842" s="4"/>
      <c r="BQ842" s="4"/>
      <c r="BR842" s="4"/>
      <c r="BS842" s="4"/>
      <c r="BT842" s="4"/>
      <c r="BU842" s="4"/>
    </row>
    <row r="843" spans="29:73" s="1" customFormat="1" x14ac:dyDescent="0.25"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  <c r="BG843" s="4"/>
      <c r="BH843" s="4"/>
      <c r="BI843" s="4"/>
      <c r="BJ843" s="4"/>
      <c r="BK843" s="4"/>
      <c r="BL843" s="4"/>
      <c r="BM843" s="4"/>
      <c r="BN843" s="4"/>
      <c r="BO843" s="4"/>
      <c r="BP843" s="4"/>
      <c r="BQ843" s="4"/>
      <c r="BR843" s="4"/>
      <c r="BS843" s="4"/>
      <c r="BT843" s="4"/>
      <c r="BU843" s="4"/>
    </row>
    <row r="844" spans="29:73" s="1" customFormat="1" x14ac:dyDescent="0.25"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  <c r="BG844" s="4"/>
      <c r="BH844" s="4"/>
      <c r="BI844" s="4"/>
      <c r="BJ844" s="4"/>
      <c r="BK844" s="4"/>
      <c r="BL844" s="4"/>
      <c r="BM844" s="4"/>
      <c r="BN844" s="4"/>
      <c r="BO844" s="4"/>
      <c r="BP844" s="4"/>
      <c r="BQ844" s="4"/>
      <c r="BR844" s="4"/>
      <c r="BS844" s="4"/>
      <c r="BT844" s="4"/>
      <c r="BU844" s="4"/>
    </row>
    <row r="845" spans="29:73" s="1" customFormat="1" x14ac:dyDescent="0.25"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  <c r="BG845" s="4"/>
      <c r="BH845" s="4"/>
      <c r="BI845" s="4"/>
      <c r="BJ845" s="4"/>
      <c r="BK845" s="4"/>
      <c r="BL845" s="4"/>
      <c r="BM845" s="4"/>
      <c r="BN845" s="4"/>
      <c r="BO845" s="4"/>
      <c r="BP845" s="4"/>
      <c r="BQ845" s="4"/>
      <c r="BR845" s="4"/>
      <c r="BS845" s="4"/>
      <c r="BT845" s="4"/>
      <c r="BU845" s="4"/>
    </row>
    <row r="846" spans="29:73" s="1" customFormat="1" x14ac:dyDescent="0.25"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  <c r="BG846" s="4"/>
      <c r="BH846" s="4"/>
      <c r="BI846" s="4"/>
      <c r="BJ846" s="4"/>
      <c r="BK846" s="4"/>
      <c r="BL846" s="4"/>
      <c r="BM846" s="4"/>
      <c r="BN846" s="4"/>
      <c r="BO846" s="4"/>
      <c r="BP846" s="4"/>
      <c r="BQ846" s="4"/>
      <c r="BR846" s="4"/>
      <c r="BS846" s="4"/>
      <c r="BT846" s="4"/>
      <c r="BU846" s="4"/>
    </row>
    <row r="847" spans="29:73" s="1" customFormat="1" x14ac:dyDescent="0.25"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  <c r="BG847" s="4"/>
      <c r="BH847" s="4"/>
      <c r="BI847" s="4"/>
      <c r="BJ847" s="4"/>
      <c r="BK847" s="4"/>
      <c r="BL847" s="4"/>
      <c r="BM847" s="4"/>
      <c r="BN847" s="4"/>
      <c r="BO847" s="4"/>
      <c r="BP847" s="4"/>
      <c r="BQ847" s="4"/>
      <c r="BR847" s="4"/>
      <c r="BS847" s="4"/>
      <c r="BT847" s="4"/>
      <c r="BU847" s="4"/>
    </row>
    <row r="848" spans="29:73" s="1" customFormat="1" x14ac:dyDescent="0.25"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  <c r="BG848" s="4"/>
      <c r="BH848" s="4"/>
      <c r="BI848" s="4"/>
      <c r="BJ848" s="4"/>
      <c r="BK848" s="4"/>
      <c r="BL848" s="4"/>
      <c r="BM848" s="4"/>
      <c r="BN848" s="4"/>
      <c r="BO848" s="4"/>
      <c r="BP848" s="4"/>
      <c r="BQ848" s="4"/>
      <c r="BR848" s="4"/>
      <c r="BS848" s="4"/>
      <c r="BT848" s="4"/>
      <c r="BU848" s="4"/>
    </row>
    <row r="849" spans="29:73" s="1" customFormat="1" x14ac:dyDescent="0.25"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  <c r="BG849" s="4"/>
      <c r="BH849" s="4"/>
      <c r="BI849" s="4"/>
      <c r="BJ849" s="4"/>
      <c r="BK849" s="4"/>
      <c r="BL849" s="4"/>
      <c r="BM849" s="4"/>
      <c r="BN849" s="4"/>
      <c r="BO849" s="4"/>
      <c r="BP849" s="4"/>
      <c r="BQ849" s="4"/>
      <c r="BR849" s="4"/>
      <c r="BS849" s="4"/>
      <c r="BT849" s="4"/>
      <c r="BU849" s="4"/>
    </row>
    <row r="850" spans="29:73" s="1" customFormat="1" x14ac:dyDescent="0.25"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  <c r="BG850" s="4"/>
      <c r="BH850" s="4"/>
      <c r="BI850" s="4"/>
      <c r="BJ850" s="4"/>
      <c r="BK850" s="4"/>
      <c r="BL850" s="4"/>
      <c r="BM850" s="4"/>
      <c r="BN850" s="4"/>
      <c r="BO850" s="4"/>
      <c r="BP850" s="4"/>
      <c r="BQ850" s="4"/>
      <c r="BR850" s="4"/>
      <c r="BS850" s="4"/>
      <c r="BT850" s="4"/>
      <c r="BU850" s="4"/>
    </row>
    <row r="851" spans="29:73" s="1" customFormat="1" x14ac:dyDescent="0.25"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  <c r="BG851" s="4"/>
      <c r="BH851" s="4"/>
      <c r="BI851" s="4"/>
      <c r="BJ851" s="4"/>
      <c r="BK851" s="4"/>
      <c r="BL851" s="4"/>
      <c r="BM851" s="4"/>
      <c r="BN851" s="4"/>
      <c r="BO851" s="4"/>
      <c r="BP851" s="4"/>
      <c r="BQ851" s="4"/>
      <c r="BR851" s="4"/>
      <c r="BS851" s="4"/>
      <c r="BT851" s="4"/>
      <c r="BU851" s="4"/>
    </row>
    <row r="852" spans="29:73" s="1" customFormat="1" x14ac:dyDescent="0.25"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  <c r="BG852" s="4"/>
      <c r="BH852" s="4"/>
      <c r="BI852" s="4"/>
      <c r="BJ852" s="4"/>
      <c r="BK852" s="4"/>
      <c r="BL852" s="4"/>
      <c r="BM852" s="4"/>
      <c r="BN852" s="4"/>
      <c r="BO852" s="4"/>
      <c r="BP852" s="4"/>
      <c r="BQ852" s="4"/>
      <c r="BR852" s="4"/>
      <c r="BS852" s="4"/>
      <c r="BT852" s="4"/>
      <c r="BU852" s="4"/>
    </row>
    <row r="853" spans="29:73" s="1" customFormat="1" x14ac:dyDescent="0.25"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  <c r="BG853" s="4"/>
      <c r="BH853" s="4"/>
      <c r="BI853" s="4"/>
      <c r="BJ853" s="4"/>
      <c r="BK853" s="4"/>
      <c r="BL853" s="4"/>
      <c r="BM853" s="4"/>
      <c r="BN853" s="4"/>
      <c r="BO853" s="4"/>
      <c r="BP853" s="4"/>
      <c r="BQ853" s="4"/>
      <c r="BR853" s="4"/>
      <c r="BS853" s="4"/>
      <c r="BT853" s="4"/>
      <c r="BU853" s="4"/>
    </row>
    <row r="854" spans="29:73" s="1" customFormat="1" x14ac:dyDescent="0.25"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  <c r="BG854" s="4"/>
      <c r="BH854" s="4"/>
      <c r="BI854" s="4"/>
      <c r="BJ854" s="4"/>
      <c r="BK854" s="4"/>
      <c r="BL854" s="4"/>
      <c r="BM854" s="4"/>
      <c r="BN854" s="4"/>
      <c r="BO854" s="4"/>
      <c r="BP854" s="4"/>
      <c r="BQ854" s="4"/>
      <c r="BR854" s="4"/>
      <c r="BS854" s="4"/>
      <c r="BT854" s="4"/>
      <c r="BU854" s="4"/>
    </row>
    <row r="855" spans="29:73" s="1" customFormat="1" x14ac:dyDescent="0.25"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  <c r="BG855" s="4"/>
      <c r="BH855" s="4"/>
      <c r="BI855" s="4"/>
      <c r="BJ855" s="4"/>
      <c r="BK855" s="4"/>
      <c r="BL855" s="4"/>
      <c r="BM855" s="4"/>
      <c r="BN855" s="4"/>
      <c r="BO855" s="4"/>
      <c r="BP855" s="4"/>
      <c r="BQ855" s="4"/>
      <c r="BR855" s="4"/>
      <c r="BS855" s="4"/>
      <c r="BT855" s="4"/>
      <c r="BU855" s="4"/>
    </row>
    <row r="856" spans="29:73" s="1" customFormat="1" x14ac:dyDescent="0.25"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  <c r="BG856" s="4"/>
      <c r="BH856" s="4"/>
      <c r="BI856" s="4"/>
      <c r="BJ856" s="4"/>
      <c r="BK856" s="4"/>
      <c r="BL856" s="4"/>
      <c r="BM856" s="4"/>
      <c r="BN856" s="4"/>
      <c r="BO856" s="4"/>
      <c r="BP856" s="4"/>
      <c r="BQ856" s="4"/>
      <c r="BR856" s="4"/>
      <c r="BS856" s="4"/>
      <c r="BT856" s="4"/>
      <c r="BU856" s="4"/>
    </row>
    <row r="857" spans="29:73" s="1" customFormat="1" x14ac:dyDescent="0.25"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  <c r="BG857" s="4"/>
      <c r="BH857" s="4"/>
      <c r="BI857" s="4"/>
      <c r="BJ857" s="4"/>
      <c r="BK857" s="4"/>
      <c r="BL857" s="4"/>
      <c r="BM857" s="4"/>
      <c r="BN857" s="4"/>
      <c r="BO857" s="4"/>
      <c r="BP857" s="4"/>
      <c r="BQ857" s="4"/>
      <c r="BR857" s="4"/>
      <c r="BS857" s="4"/>
      <c r="BT857" s="4"/>
      <c r="BU857" s="4"/>
    </row>
    <row r="858" spans="29:73" s="1" customFormat="1" x14ac:dyDescent="0.25"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  <c r="BG858" s="4"/>
      <c r="BH858" s="4"/>
      <c r="BI858" s="4"/>
      <c r="BJ858" s="4"/>
      <c r="BK858" s="4"/>
      <c r="BL858" s="4"/>
      <c r="BM858" s="4"/>
      <c r="BN858" s="4"/>
      <c r="BO858" s="4"/>
      <c r="BP858" s="4"/>
      <c r="BQ858" s="4"/>
      <c r="BR858" s="4"/>
      <c r="BS858" s="4"/>
      <c r="BT858" s="4"/>
      <c r="BU858" s="4"/>
    </row>
    <row r="859" spans="29:73" s="1" customFormat="1" x14ac:dyDescent="0.25"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  <c r="BG859" s="4"/>
      <c r="BH859" s="4"/>
      <c r="BI859" s="4"/>
      <c r="BJ859" s="4"/>
      <c r="BK859" s="4"/>
      <c r="BL859" s="4"/>
      <c r="BM859" s="4"/>
      <c r="BN859" s="4"/>
      <c r="BO859" s="4"/>
      <c r="BP859" s="4"/>
      <c r="BQ859" s="4"/>
      <c r="BR859" s="4"/>
      <c r="BS859" s="4"/>
      <c r="BT859" s="4"/>
      <c r="BU859" s="4"/>
    </row>
    <row r="860" spans="29:73" s="1" customFormat="1" x14ac:dyDescent="0.25"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  <c r="BG860" s="4"/>
      <c r="BH860" s="4"/>
      <c r="BI860" s="4"/>
      <c r="BJ860" s="4"/>
      <c r="BK860" s="4"/>
      <c r="BL860" s="4"/>
      <c r="BM860" s="4"/>
      <c r="BN860" s="4"/>
      <c r="BO860" s="4"/>
      <c r="BP860" s="4"/>
      <c r="BQ860" s="4"/>
      <c r="BR860" s="4"/>
      <c r="BS860" s="4"/>
      <c r="BT860" s="4"/>
      <c r="BU860" s="4"/>
    </row>
    <row r="861" spans="29:73" s="1" customFormat="1" x14ac:dyDescent="0.25"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  <c r="BG861" s="4"/>
      <c r="BH861" s="4"/>
      <c r="BI861" s="4"/>
      <c r="BJ861" s="4"/>
      <c r="BK861" s="4"/>
      <c r="BL861" s="4"/>
      <c r="BM861" s="4"/>
      <c r="BN861" s="4"/>
      <c r="BO861" s="4"/>
      <c r="BP861" s="4"/>
      <c r="BQ861" s="4"/>
      <c r="BR861" s="4"/>
      <c r="BS861" s="4"/>
      <c r="BT861" s="4"/>
      <c r="BU861" s="4"/>
    </row>
    <row r="862" spans="29:73" s="1" customFormat="1" x14ac:dyDescent="0.25"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  <c r="BG862" s="4"/>
      <c r="BH862" s="4"/>
      <c r="BI862" s="4"/>
      <c r="BJ862" s="4"/>
      <c r="BK862" s="4"/>
      <c r="BL862" s="4"/>
      <c r="BM862" s="4"/>
      <c r="BN862" s="4"/>
      <c r="BO862" s="4"/>
      <c r="BP862" s="4"/>
      <c r="BQ862" s="4"/>
      <c r="BR862" s="4"/>
      <c r="BS862" s="4"/>
      <c r="BT862" s="4"/>
      <c r="BU862" s="4"/>
    </row>
    <row r="863" spans="29:73" s="1" customFormat="1" x14ac:dyDescent="0.25"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  <c r="BG863" s="4"/>
      <c r="BH863" s="4"/>
      <c r="BI863" s="4"/>
      <c r="BJ863" s="4"/>
      <c r="BK863" s="4"/>
      <c r="BL863" s="4"/>
      <c r="BM863" s="4"/>
      <c r="BN863" s="4"/>
      <c r="BO863" s="4"/>
      <c r="BP863" s="4"/>
      <c r="BQ863" s="4"/>
      <c r="BR863" s="4"/>
      <c r="BS863" s="4"/>
      <c r="BT863" s="4"/>
      <c r="BU863" s="4"/>
    </row>
    <row r="864" spans="29:73" s="1" customFormat="1" x14ac:dyDescent="0.25"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  <c r="BG864" s="4"/>
      <c r="BH864" s="4"/>
      <c r="BI864" s="4"/>
      <c r="BJ864" s="4"/>
      <c r="BK864" s="4"/>
      <c r="BL864" s="4"/>
      <c r="BM864" s="4"/>
      <c r="BN864" s="4"/>
      <c r="BO864" s="4"/>
      <c r="BP864" s="4"/>
      <c r="BQ864" s="4"/>
      <c r="BR864" s="4"/>
      <c r="BS864" s="4"/>
      <c r="BT864" s="4"/>
      <c r="BU864" s="4"/>
    </row>
    <row r="865" spans="29:73" s="1" customFormat="1" x14ac:dyDescent="0.25"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  <c r="BG865" s="4"/>
      <c r="BH865" s="4"/>
      <c r="BI865" s="4"/>
      <c r="BJ865" s="4"/>
      <c r="BK865" s="4"/>
      <c r="BL865" s="4"/>
      <c r="BM865" s="4"/>
      <c r="BN865" s="4"/>
      <c r="BO865" s="4"/>
      <c r="BP865" s="4"/>
      <c r="BQ865" s="4"/>
      <c r="BR865" s="4"/>
      <c r="BS865" s="4"/>
      <c r="BT865" s="4"/>
      <c r="BU865" s="4"/>
    </row>
    <row r="866" spans="29:73" s="1" customFormat="1" x14ac:dyDescent="0.25"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  <c r="BG866" s="4"/>
      <c r="BH866" s="4"/>
      <c r="BI866" s="4"/>
      <c r="BJ866" s="4"/>
      <c r="BK866" s="4"/>
      <c r="BL866" s="4"/>
      <c r="BM866" s="4"/>
      <c r="BN866" s="4"/>
      <c r="BO866" s="4"/>
      <c r="BP866" s="4"/>
      <c r="BQ866" s="4"/>
      <c r="BR866" s="4"/>
      <c r="BS866" s="4"/>
      <c r="BT866" s="4"/>
      <c r="BU866" s="4"/>
    </row>
    <row r="867" spans="29:73" s="1" customFormat="1" x14ac:dyDescent="0.25"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  <c r="BG867" s="4"/>
      <c r="BH867" s="4"/>
      <c r="BI867" s="4"/>
      <c r="BJ867" s="4"/>
      <c r="BK867" s="4"/>
      <c r="BL867" s="4"/>
      <c r="BM867" s="4"/>
      <c r="BN867" s="4"/>
      <c r="BO867" s="4"/>
      <c r="BP867" s="4"/>
      <c r="BQ867" s="4"/>
      <c r="BR867" s="4"/>
      <c r="BS867" s="4"/>
      <c r="BT867" s="4"/>
      <c r="BU867" s="4"/>
    </row>
    <row r="868" spans="29:73" s="1" customFormat="1" x14ac:dyDescent="0.25"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  <c r="BG868" s="4"/>
      <c r="BH868" s="4"/>
      <c r="BI868" s="4"/>
      <c r="BJ868" s="4"/>
      <c r="BK868" s="4"/>
      <c r="BL868" s="4"/>
      <c r="BM868" s="4"/>
      <c r="BN868" s="4"/>
      <c r="BO868" s="4"/>
      <c r="BP868" s="4"/>
      <c r="BQ868" s="4"/>
      <c r="BR868" s="4"/>
      <c r="BS868" s="4"/>
      <c r="BT868" s="4"/>
      <c r="BU868" s="4"/>
    </row>
    <row r="869" spans="29:73" s="1" customFormat="1" x14ac:dyDescent="0.25"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  <c r="BG869" s="4"/>
      <c r="BH869" s="4"/>
      <c r="BI869" s="4"/>
      <c r="BJ869" s="4"/>
      <c r="BK869" s="4"/>
      <c r="BL869" s="4"/>
      <c r="BM869" s="4"/>
      <c r="BN869" s="4"/>
      <c r="BO869" s="4"/>
      <c r="BP869" s="4"/>
      <c r="BQ869" s="4"/>
      <c r="BR869" s="4"/>
      <c r="BS869" s="4"/>
      <c r="BT869" s="4"/>
      <c r="BU869" s="4"/>
    </row>
    <row r="870" spans="29:73" s="1" customFormat="1" x14ac:dyDescent="0.25"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  <c r="BG870" s="4"/>
      <c r="BH870" s="4"/>
      <c r="BI870" s="4"/>
      <c r="BJ870" s="4"/>
      <c r="BK870" s="4"/>
      <c r="BL870" s="4"/>
      <c r="BM870" s="4"/>
      <c r="BN870" s="4"/>
      <c r="BO870" s="4"/>
      <c r="BP870" s="4"/>
      <c r="BQ870" s="4"/>
      <c r="BR870" s="4"/>
      <c r="BS870" s="4"/>
      <c r="BT870" s="4"/>
      <c r="BU870" s="4"/>
    </row>
    <row r="871" spans="29:73" s="1" customFormat="1" x14ac:dyDescent="0.25"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  <c r="BG871" s="4"/>
      <c r="BH871" s="4"/>
      <c r="BI871" s="4"/>
      <c r="BJ871" s="4"/>
      <c r="BK871" s="4"/>
      <c r="BL871" s="4"/>
      <c r="BM871" s="4"/>
      <c r="BN871" s="4"/>
      <c r="BO871" s="4"/>
      <c r="BP871" s="4"/>
      <c r="BQ871" s="4"/>
      <c r="BR871" s="4"/>
      <c r="BS871" s="4"/>
      <c r="BT871" s="4"/>
      <c r="BU871" s="4"/>
    </row>
    <row r="872" spans="29:73" s="1" customFormat="1" x14ac:dyDescent="0.25"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  <c r="BG872" s="4"/>
      <c r="BH872" s="4"/>
      <c r="BI872" s="4"/>
      <c r="BJ872" s="4"/>
      <c r="BK872" s="4"/>
      <c r="BL872" s="4"/>
      <c r="BM872" s="4"/>
      <c r="BN872" s="4"/>
      <c r="BO872" s="4"/>
      <c r="BP872" s="4"/>
      <c r="BQ872" s="4"/>
      <c r="BR872" s="4"/>
      <c r="BS872" s="4"/>
      <c r="BT872" s="4"/>
      <c r="BU872" s="4"/>
    </row>
    <row r="873" spans="29:73" s="1" customFormat="1" x14ac:dyDescent="0.25"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  <c r="BG873" s="4"/>
      <c r="BH873" s="4"/>
      <c r="BI873" s="4"/>
      <c r="BJ873" s="4"/>
      <c r="BK873" s="4"/>
      <c r="BL873" s="4"/>
      <c r="BM873" s="4"/>
      <c r="BN873" s="4"/>
      <c r="BO873" s="4"/>
      <c r="BP873" s="4"/>
      <c r="BQ873" s="4"/>
      <c r="BR873" s="4"/>
      <c r="BS873" s="4"/>
      <c r="BT873" s="4"/>
      <c r="BU873" s="4"/>
    </row>
    <row r="874" spans="29:73" s="1" customFormat="1" x14ac:dyDescent="0.25"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  <c r="BG874" s="4"/>
      <c r="BH874" s="4"/>
      <c r="BI874" s="4"/>
      <c r="BJ874" s="4"/>
      <c r="BK874" s="4"/>
      <c r="BL874" s="4"/>
      <c r="BM874" s="4"/>
      <c r="BN874" s="4"/>
      <c r="BO874" s="4"/>
      <c r="BP874" s="4"/>
      <c r="BQ874" s="4"/>
      <c r="BR874" s="4"/>
      <c r="BS874" s="4"/>
      <c r="BT874" s="4"/>
      <c r="BU874" s="4"/>
    </row>
    <row r="875" spans="29:73" s="1" customFormat="1" x14ac:dyDescent="0.25"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  <c r="BG875" s="4"/>
      <c r="BH875" s="4"/>
      <c r="BI875" s="4"/>
      <c r="BJ875" s="4"/>
      <c r="BK875" s="4"/>
      <c r="BL875" s="4"/>
      <c r="BM875" s="4"/>
      <c r="BN875" s="4"/>
      <c r="BO875" s="4"/>
      <c r="BP875" s="4"/>
      <c r="BQ875" s="4"/>
      <c r="BR875" s="4"/>
      <c r="BS875" s="4"/>
      <c r="BT875" s="4"/>
      <c r="BU875" s="4"/>
    </row>
    <row r="876" spans="29:73" s="1" customFormat="1" x14ac:dyDescent="0.25"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  <c r="BG876" s="4"/>
      <c r="BH876" s="4"/>
      <c r="BI876" s="4"/>
      <c r="BJ876" s="4"/>
      <c r="BK876" s="4"/>
      <c r="BL876" s="4"/>
      <c r="BM876" s="4"/>
      <c r="BN876" s="4"/>
      <c r="BO876" s="4"/>
      <c r="BP876" s="4"/>
      <c r="BQ876" s="4"/>
      <c r="BR876" s="4"/>
      <c r="BS876" s="4"/>
      <c r="BT876" s="4"/>
      <c r="BU876" s="4"/>
    </row>
    <row r="877" spans="29:73" s="1" customFormat="1" x14ac:dyDescent="0.25"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  <c r="BG877" s="4"/>
      <c r="BH877" s="4"/>
      <c r="BI877" s="4"/>
      <c r="BJ877" s="4"/>
      <c r="BK877" s="4"/>
      <c r="BL877" s="4"/>
      <c r="BM877" s="4"/>
      <c r="BN877" s="4"/>
      <c r="BO877" s="4"/>
      <c r="BP877" s="4"/>
      <c r="BQ877" s="4"/>
      <c r="BR877" s="4"/>
      <c r="BS877" s="4"/>
      <c r="BT877" s="4"/>
      <c r="BU877" s="4"/>
    </row>
    <row r="878" spans="29:73" s="1" customFormat="1" x14ac:dyDescent="0.25"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  <c r="BG878" s="4"/>
      <c r="BH878" s="4"/>
      <c r="BI878" s="4"/>
      <c r="BJ878" s="4"/>
      <c r="BK878" s="4"/>
      <c r="BL878" s="4"/>
      <c r="BM878" s="4"/>
      <c r="BN878" s="4"/>
      <c r="BO878" s="4"/>
      <c r="BP878" s="4"/>
      <c r="BQ878" s="4"/>
      <c r="BR878" s="4"/>
      <c r="BS878" s="4"/>
      <c r="BT878" s="4"/>
      <c r="BU878" s="4"/>
    </row>
    <row r="879" spans="29:73" s="1" customFormat="1" x14ac:dyDescent="0.25"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  <c r="BG879" s="4"/>
      <c r="BH879" s="4"/>
      <c r="BI879" s="4"/>
      <c r="BJ879" s="4"/>
      <c r="BK879" s="4"/>
      <c r="BL879" s="4"/>
      <c r="BM879" s="4"/>
      <c r="BN879" s="4"/>
      <c r="BO879" s="4"/>
      <c r="BP879" s="4"/>
      <c r="BQ879" s="4"/>
      <c r="BR879" s="4"/>
      <c r="BS879" s="4"/>
      <c r="BT879" s="4"/>
      <c r="BU879" s="4"/>
    </row>
    <row r="880" spans="29:73" s="1" customFormat="1" x14ac:dyDescent="0.25"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  <c r="BG880" s="4"/>
      <c r="BH880" s="4"/>
      <c r="BI880" s="4"/>
      <c r="BJ880" s="4"/>
      <c r="BK880" s="4"/>
      <c r="BL880" s="4"/>
      <c r="BM880" s="4"/>
      <c r="BN880" s="4"/>
      <c r="BO880" s="4"/>
      <c r="BP880" s="4"/>
      <c r="BQ880" s="4"/>
      <c r="BR880" s="4"/>
      <c r="BS880" s="4"/>
      <c r="BT880" s="4"/>
      <c r="BU880" s="4"/>
    </row>
    <row r="881" spans="29:73" s="1" customFormat="1" x14ac:dyDescent="0.25"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  <c r="BG881" s="4"/>
      <c r="BH881" s="4"/>
      <c r="BI881" s="4"/>
      <c r="BJ881" s="4"/>
      <c r="BK881" s="4"/>
      <c r="BL881" s="4"/>
      <c r="BM881" s="4"/>
      <c r="BN881" s="4"/>
      <c r="BO881" s="4"/>
      <c r="BP881" s="4"/>
      <c r="BQ881" s="4"/>
      <c r="BR881" s="4"/>
      <c r="BS881" s="4"/>
      <c r="BT881" s="4"/>
      <c r="BU881" s="4"/>
    </row>
    <row r="882" spans="29:73" s="1" customFormat="1" x14ac:dyDescent="0.25"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  <c r="BG882" s="4"/>
      <c r="BH882" s="4"/>
      <c r="BI882" s="4"/>
      <c r="BJ882" s="4"/>
      <c r="BK882" s="4"/>
      <c r="BL882" s="4"/>
      <c r="BM882" s="4"/>
      <c r="BN882" s="4"/>
      <c r="BO882" s="4"/>
      <c r="BP882" s="4"/>
      <c r="BQ882" s="4"/>
      <c r="BR882" s="4"/>
      <c r="BS882" s="4"/>
      <c r="BT882" s="4"/>
      <c r="BU882" s="4"/>
    </row>
    <row r="883" spans="29:73" s="1" customFormat="1" x14ac:dyDescent="0.25"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  <c r="BG883" s="4"/>
      <c r="BH883" s="4"/>
      <c r="BI883" s="4"/>
      <c r="BJ883" s="4"/>
      <c r="BK883" s="4"/>
      <c r="BL883" s="4"/>
      <c r="BM883" s="4"/>
      <c r="BN883" s="4"/>
      <c r="BO883" s="4"/>
      <c r="BP883" s="4"/>
      <c r="BQ883" s="4"/>
      <c r="BR883" s="4"/>
      <c r="BS883" s="4"/>
      <c r="BT883" s="4"/>
      <c r="BU883" s="4"/>
    </row>
    <row r="884" spans="29:73" s="1" customFormat="1" x14ac:dyDescent="0.25"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  <c r="BG884" s="4"/>
      <c r="BH884" s="4"/>
      <c r="BI884" s="4"/>
      <c r="BJ884" s="4"/>
      <c r="BK884" s="4"/>
      <c r="BL884" s="4"/>
      <c r="BM884" s="4"/>
      <c r="BN884" s="4"/>
      <c r="BO884" s="4"/>
      <c r="BP884" s="4"/>
      <c r="BQ884" s="4"/>
      <c r="BR884" s="4"/>
      <c r="BS884" s="4"/>
      <c r="BT884" s="4"/>
      <c r="BU884" s="4"/>
    </row>
    <row r="885" spans="29:73" s="1" customFormat="1" x14ac:dyDescent="0.25"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  <c r="BG885" s="4"/>
      <c r="BH885" s="4"/>
      <c r="BI885" s="4"/>
      <c r="BJ885" s="4"/>
      <c r="BK885" s="4"/>
      <c r="BL885" s="4"/>
      <c r="BM885" s="4"/>
      <c r="BN885" s="4"/>
      <c r="BO885" s="4"/>
      <c r="BP885" s="4"/>
      <c r="BQ885" s="4"/>
      <c r="BR885" s="4"/>
      <c r="BS885" s="4"/>
      <c r="BT885" s="4"/>
      <c r="BU885" s="4"/>
    </row>
    <row r="886" spans="29:73" s="1" customFormat="1" x14ac:dyDescent="0.25"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  <c r="BG886" s="4"/>
      <c r="BH886" s="4"/>
      <c r="BI886" s="4"/>
      <c r="BJ886" s="4"/>
      <c r="BK886" s="4"/>
      <c r="BL886" s="4"/>
      <c r="BM886" s="4"/>
      <c r="BN886" s="4"/>
      <c r="BO886" s="4"/>
      <c r="BP886" s="4"/>
      <c r="BQ886" s="4"/>
      <c r="BR886" s="4"/>
      <c r="BS886" s="4"/>
      <c r="BT886" s="4"/>
      <c r="BU886" s="4"/>
    </row>
    <row r="887" spans="29:73" s="1" customFormat="1" x14ac:dyDescent="0.25"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  <c r="BG887" s="4"/>
      <c r="BH887" s="4"/>
      <c r="BI887" s="4"/>
      <c r="BJ887" s="4"/>
      <c r="BK887" s="4"/>
      <c r="BL887" s="4"/>
      <c r="BM887" s="4"/>
      <c r="BN887" s="4"/>
      <c r="BO887" s="4"/>
      <c r="BP887" s="4"/>
      <c r="BQ887" s="4"/>
      <c r="BR887" s="4"/>
      <c r="BS887" s="4"/>
      <c r="BT887" s="4"/>
      <c r="BU887" s="4"/>
    </row>
    <row r="888" spans="29:73" s="1" customFormat="1" x14ac:dyDescent="0.25"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  <c r="BG888" s="4"/>
      <c r="BH888" s="4"/>
      <c r="BI888" s="4"/>
      <c r="BJ888" s="4"/>
      <c r="BK888" s="4"/>
      <c r="BL888" s="4"/>
      <c r="BM888" s="4"/>
      <c r="BN888" s="4"/>
      <c r="BO888" s="4"/>
      <c r="BP888" s="4"/>
      <c r="BQ888" s="4"/>
      <c r="BR888" s="4"/>
      <c r="BS888" s="4"/>
      <c r="BT888" s="4"/>
      <c r="BU888" s="4"/>
    </row>
    <row r="889" spans="29:73" s="1" customFormat="1" x14ac:dyDescent="0.25"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  <c r="BG889" s="4"/>
      <c r="BH889" s="4"/>
      <c r="BI889" s="4"/>
      <c r="BJ889" s="4"/>
      <c r="BK889" s="4"/>
      <c r="BL889" s="4"/>
      <c r="BM889" s="4"/>
      <c r="BN889" s="4"/>
      <c r="BO889" s="4"/>
      <c r="BP889" s="4"/>
      <c r="BQ889" s="4"/>
      <c r="BR889" s="4"/>
      <c r="BS889" s="4"/>
      <c r="BT889" s="4"/>
      <c r="BU889" s="4"/>
    </row>
    <row r="890" spans="29:73" s="1" customFormat="1" x14ac:dyDescent="0.25"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  <c r="BG890" s="4"/>
      <c r="BH890" s="4"/>
      <c r="BI890" s="4"/>
      <c r="BJ890" s="4"/>
      <c r="BK890" s="4"/>
      <c r="BL890" s="4"/>
      <c r="BM890" s="4"/>
      <c r="BN890" s="4"/>
      <c r="BO890" s="4"/>
      <c r="BP890" s="4"/>
      <c r="BQ890" s="4"/>
      <c r="BR890" s="4"/>
      <c r="BS890" s="4"/>
      <c r="BT890" s="4"/>
      <c r="BU890" s="4"/>
    </row>
    <row r="891" spans="29:73" s="1" customFormat="1" x14ac:dyDescent="0.25"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  <c r="BG891" s="4"/>
      <c r="BH891" s="4"/>
      <c r="BI891" s="4"/>
      <c r="BJ891" s="4"/>
      <c r="BK891" s="4"/>
      <c r="BL891" s="4"/>
      <c r="BM891" s="4"/>
      <c r="BN891" s="4"/>
      <c r="BO891" s="4"/>
      <c r="BP891" s="4"/>
      <c r="BQ891" s="4"/>
      <c r="BR891" s="4"/>
      <c r="BS891" s="4"/>
      <c r="BT891" s="4"/>
      <c r="BU891" s="4"/>
    </row>
    <row r="892" spans="29:73" s="1" customFormat="1" x14ac:dyDescent="0.25"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  <c r="BG892" s="4"/>
      <c r="BH892" s="4"/>
      <c r="BI892" s="4"/>
      <c r="BJ892" s="4"/>
      <c r="BK892" s="4"/>
      <c r="BL892" s="4"/>
      <c r="BM892" s="4"/>
      <c r="BN892" s="4"/>
      <c r="BO892" s="4"/>
      <c r="BP892" s="4"/>
      <c r="BQ892" s="4"/>
      <c r="BR892" s="4"/>
      <c r="BS892" s="4"/>
      <c r="BT892" s="4"/>
      <c r="BU892" s="4"/>
    </row>
    <row r="893" spans="29:73" s="1" customFormat="1" x14ac:dyDescent="0.25"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  <c r="BG893" s="4"/>
      <c r="BH893" s="4"/>
      <c r="BI893" s="4"/>
      <c r="BJ893" s="4"/>
      <c r="BK893" s="4"/>
      <c r="BL893" s="4"/>
      <c r="BM893" s="4"/>
      <c r="BN893" s="4"/>
      <c r="BO893" s="4"/>
      <c r="BP893" s="4"/>
      <c r="BQ893" s="4"/>
      <c r="BR893" s="4"/>
      <c r="BS893" s="4"/>
      <c r="BT893" s="4"/>
      <c r="BU893" s="4"/>
    </row>
    <row r="894" spans="29:73" s="1" customFormat="1" x14ac:dyDescent="0.25"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  <c r="BG894" s="4"/>
      <c r="BH894" s="4"/>
      <c r="BI894" s="4"/>
      <c r="BJ894" s="4"/>
      <c r="BK894" s="4"/>
      <c r="BL894" s="4"/>
      <c r="BM894" s="4"/>
      <c r="BN894" s="4"/>
      <c r="BO894" s="4"/>
      <c r="BP894" s="4"/>
      <c r="BQ894" s="4"/>
      <c r="BR894" s="4"/>
      <c r="BS894" s="4"/>
      <c r="BT894" s="4"/>
      <c r="BU894" s="4"/>
    </row>
    <row r="895" spans="29:73" s="1" customFormat="1" x14ac:dyDescent="0.25"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  <c r="BG895" s="4"/>
      <c r="BH895" s="4"/>
      <c r="BI895" s="4"/>
      <c r="BJ895" s="4"/>
      <c r="BK895" s="4"/>
      <c r="BL895" s="4"/>
      <c r="BM895" s="4"/>
      <c r="BN895" s="4"/>
      <c r="BO895" s="4"/>
      <c r="BP895" s="4"/>
      <c r="BQ895" s="4"/>
      <c r="BR895" s="4"/>
      <c r="BS895" s="4"/>
      <c r="BT895" s="4"/>
      <c r="BU895" s="4"/>
    </row>
    <row r="896" spans="29:73" s="1" customFormat="1" x14ac:dyDescent="0.25"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  <c r="BG896" s="4"/>
      <c r="BH896" s="4"/>
      <c r="BI896" s="4"/>
      <c r="BJ896" s="4"/>
      <c r="BK896" s="4"/>
      <c r="BL896" s="4"/>
      <c r="BM896" s="4"/>
      <c r="BN896" s="4"/>
      <c r="BO896" s="4"/>
      <c r="BP896" s="4"/>
      <c r="BQ896" s="4"/>
      <c r="BR896" s="4"/>
      <c r="BS896" s="4"/>
      <c r="BT896" s="4"/>
      <c r="BU896" s="4"/>
    </row>
    <row r="897" spans="29:73" s="1" customFormat="1" x14ac:dyDescent="0.25"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  <c r="BG897" s="4"/>
      <c r="BH897" s="4"/>
      <c r="BI897" s="4"/>
      <c r="BJ897" s="4"/>
      <c r="BK897" s="4"/>
      <c r="BL897" s="4"/>
      <c r="BM897" s="4"/>
      <c r="BN897" s="4"/>
      <c r="BO897" s="4"/>
      <c r="BP897" s="4"/>
      <c r="BQ897" s="4"/>
      <c r="BR897" s="4"/>
      <c r="BS897" s="4"/>
      <c r="BT897" s="4"/>
      <c r="BU897" s="4"/>
    </row>
    <row r="898" spans="29:73" s="1" customFormat="1" x14ac:dyDescent="0.25"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  <c r="BG898" s="4"/>
      <c r="BH898" s="4"/>
      <c r="BI898" s="4"/>
      <c r="BJ898" s="4"/>
      <c r="BK898" s="4"/>
      <c r="BL898" s="4"/>
      <c r="BM898" s="4"/>
      <c r="BN898" s="4"/>
      <c r="BO898" s="4"/>
      <c r="BP898" s="4"/>
      <c r="BQ898" s="4"/>
      <c r="BR898" s="4"/>
      <c r="BS898" s="4"/>
      <c r="BT898" s="4"/>
      <c r="BU898" s="4"/>
    </row>
    <row r="899" spans="29:73" s="1" customFormat="1" x14ac:dyDescent="0.25"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  <c r="BG899" s="4"/>
      <c r="BH899" s="4"/>
      <c r="BI899" s="4"/>
      <c r="BJ899" s="4"/>
      <c r="BK899" s="4"/>
      <c r="BL899" s="4"/>
      <c r="BM899" s="4"/>
      <c r="BN899" s="4"/>
      <c r="BO899" s="4"/>
      <c r="BP899" s="4"/>
      <c r="BQ899" s="4"/>
      <c r="BR899" s="4"/>
      <c r="BS899" s="4"/>
      <c r="BT899" s="4"/>
      <c r="BU899" s="4"/>
    </row>
    <row r="900" spans="29:73" s="1" customFormat="1" x14ac:dyDescent="0.25"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  <c r="BG900" s="4"/>
      <c r="BH900" s="4"/>
      <c r="BI900" s="4"/>
      <c r="BJ900" s="4"/>
      <c r="BK900" s="4"/>
      <c r="BL900" s="4"/>
      <c r="BM900" s="4"/>
      <c r="BN900" s="4"/>
      <c r="BO900" s="4"/>
      <c r="BP900" s="4"/>
      <c r="BQ900" s="4"/>
      <c r="BR900" s="4"/>
      <c r="BS900" s="4"/>
      <c r="BT900" s="4"/>
      <c r="BU900" s="4"/>
    </row>
    <row r="901" spans="29:73" s="1" customFormat="1" x14ac:dyDescent="0.25"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  <c r="BG901" s="4"/>
      <c r="BH901" s="4"/>
      <c r="BI901" s="4"/>
      <c r="BJ901" s="4"/>
      <c r="BK901" s="4"/>
      <c r="BL901" s="4"/>
      <c r="BM901" s="4"/>
      <c r="BN901" s="4"/>
      <c r="BO901" s="4"/>
      <c r="BP901" s="4"/>
      <c r="BQ901" s="4"/>
      <c r="BR901" s="4"/>
      <c r="BS901" s="4"/>
      <c r="BT901" s="4"/>
      <c r="BU901" s="4"/>
    </row>
    <row r="902" spans="29:73" s="1" customFormat="1" x14ac:dyDescent="0.25"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  <c r="BG902" s="4"/>
      <c r="BH902" s="4"/>
      <c r="BI902" s="4"/>
      <c r="BJ902" s="4"/>
      <c r="BK902" s="4"/>
      <c r="BL902" s="4"/>
      <c r="BM902" s="4"/>
      <c r="BN902" s="4"/>
      <c r="BO902" s="4"/>
      <c r="BP902" s="4"/>
      <c r="BQ902" s="4"/>
      <c r="BR902" s="4"/>
      <c r="BS902" s="4"/>
      <c r="BT902" s="4"/>
      <c r="BU902" s="4"/>
    </row>
    <row r="903" spans="29:73" s="1" customFormat="1" x14ac:dyDescent="0.25"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  <c r="BG903" s="4"/>
      <c r="BH903" s="4"/>
      <c r="BI903" s="4"/>
      <c r="BJ903" s="4"/>
      <c r="BK903" s="4"/>
      <c r="BL903" s="4"/>
      <c r="BM903" s="4"/>
      <c r="BN903" s="4"/>
      <c r="BO903" s="4"/>
      <c r="BP903" s="4"/>
      <c r="BQ903" s="4"/>
      <c r="BR903" s="4"/>
      <c r="BS903" s="4"/>
      <c r="BT903" s="4"/>
      <c r="BU903" s="4"/>
    </row>
    <row r="904" spans="29:73" s="1" customFormat="1" x14ac:dyDescent="0.25"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  <c r="BG904" s="4"/>
      <c r="BH904" s="4"/>
      <c r="BI904" s="4"/>
      <c r="BJ904" s="4"/>
      <c r="BK904" s="4"/>
      <c r="BL904" s="4"/>
      <c r="BM904" s="4"/>
      <c r="BN904" s="4"/>
      <c r="BO904" s="4"/>
      <c r="BP904" s="4"/>
      <c r="BQ904" s="4"/>
      <c r="BR904" s="4"/>
      <c r="BS904" s="4"/>
      <c r="BT904" s="4"/>
      <c r="BU904" s="4"/>
    </row>
    <row r="905" spans="29:73" s="1" customFormat="1" x14ac:dyDescent="0.25"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  <c r="BG905" s="4"/>
      <c r="BH905" s="4"/>
      <c r="BI905" s="4"/>
      <c r="BJ905" s="4"/>
      <c r="BK905" s="4"/>
      <c r="BL905" s="4"/>
      <c r="BM905" s="4"/>
      <c r="BN905" s="4"/>
      <c r="BO905" s="4"/>
      <c r="BP905" s="4"/>
      <c r="BQ905" s="4"/>
      <c r="BR905" s="4"/>
      <c r="BS905" s="4"/>
      <c r="BT905" s="4"/>
      <c r="BU905" s="4"/>
    </row>
    <row r="906" spans="29:73" s="1" customFormat="1" x14ac:dyDescent="0.25"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  <c r="BG906" s="4"/>
      <c r="BH906" s="4"/>
      <c r="BI906" s="4"/>
      <c r="BJ906" s="4"/>
      <c r="BK906" s="4"/>
      <c r="BL906" s="4"/>
      <c r="BM906" s="4"/>
      <c r="BN906" s="4"/>
      <c r="BO906" s="4"/>
      <c r="BP906" s="4"/>
      <c r="BQ906" s="4"/>
      <c r="BR906" s="4"/>
      <c r="BS906" s="4"/>
      <c r="BT906" s="4"/>
      <c r="BU906" s="4"/>
    </row>
    <row r="907" spans="29:73" s="1" customFormat="1" x14ac:dyDescent="0.25"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  <c r="BG907" s="4"/>
      <c r="BH907" s="4"/>
      <c r="BI907" s="4"/>
      <c r="BJ907" s="4"/>
      <c r="BK907" s="4"/>
      <c r="BL907" s="4"/>
      <c r="BM907" s="4"/>
      <c r="BN907" s="4"/>
      <c r="BO907" s="4"/>
      <c r="BP907" s="4"/>
      <c r="BQ907" s="4"/>
      <c r="BR907" s="4"/>
      <c r="BS907" s="4"/>
      <c r="BT907" s="4"/>
      <c r="BU907" s="4"/>
    </row>
    <row r="908" spans="29:73" s="1" customFormat="1" x14ac:dyDescent="0.25"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  <c r="BG908" s="4"/>
      <c r="BH908" s="4"/>
      <c r="BI908" s="4"/>
      <c r="BJ908" s="4"/>
      <c r="BK908" s="4"/>
      <c r="BL908" s="4"/>
      <c r="BM908" s="4"/>
      <c r="BN908" s="4"/>
      <c r="BO908" s="4"/>
      <c r="BP908" s="4"/>
      <c r="BQ908" s="4"/>
      <c r="BR908" s="4"/>
      <c r="BS908" s="4"/>
      <c r="BT908" s="4"/>
      <c r="BU908" s="4"/>
    </row>
    <row r="909" spans="29:73" s="1" customFormat="1" x14ac:dyDescent="0.25"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  <c r="BG909" s="4"/>
      <c r="BH909" s="4"/>
      <c r="BI909" s="4"/>
      <c r="BJ909" s="4"/>
      <c r="BK909" s="4"/>
      <c r="BL909" s="4"/>
      <c r="BM909" s="4"/>
      <c r="BN909" s="4"/>
      <c r="BO909" s="4"/>
      <c r="BP909" s="4"/>
      <c r="BQ909" s="4"/>
      <c r="BR909" s="4"/>
      <c r="BS909" s="4"/>
      <c r="BT909" s="4"/>
      <c r="BU909" s="4"/>
    </row>
    <row r="910" spans="29:73" s="1" customFormat="1" x14ac:dyDescent="0.25"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  <c r="BG910" s="4"/>
      <c r="BH910" s="4"/>
      <c r="BI910" s="4"/>
      <c r="BJ910" s="4"/>
      <c r="BK910" s="4"/>
      <c r="BL910" s="4"/>
      <c r="BM910" s="4"/>
      <c r="BN910" s="4"/>
      <c r="BO910" s="4"/>
      <c r="BP910" s="4"/>
      <c r="BQ910" s="4"/>
      <c r="BR910" s="4"/>
      <c r="BS910" s="4"/>
      <c r="BT910" s="4"/>
      <c r="BU910" s="4"/>
    </row>
    <row r="911" spans="29:73" s="1" customFormat="1" x14ac:dyDescent="0.25"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  <c r="BG911" s="4"/>
      <c r="BH911" s="4"/>
      <c r="BI911" s="4"/>
      <c r="BJ911" s="4"/>
      <c r="BK911" s="4"/>
      <c r="BL911" s="4"/>
      <c r="BM911" s="4"/>
      <c r="BN911" s="4"/>
      <c r="BO911" s="4"/>
      <c r="BP911" s="4"/>
      <c r="BQ911" s="4"/>
      <c r="BR911" s="4"/>
      <c r="BS911" s="4"/>
      <c r="BT911" s="4"/>
      <c r="BU911" s="4"/>
    </row>
    <row r="912" spans="29:73" s="1" customFormat="1" x14ac:dyDescent="0.25"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  <c r="BG912" s="4"/>
      <c r="BH912" s="4"/>
      <c r="BI912" s="4"/>
      <c r="BJ912" s="4"/>
      <c r="BK912" s="4"/>
      <c r="BL912" s="4"/>
      <c r="BM912" s="4"/>
      <c r="BN912" s="4"/>
      <c r="BO912" s="4"/>
      <c r="BP912" s="4"/>
      <c r="BQ912" s="4"/>
      <c r="BR912" s="4"/>
      <c r="BS912" s="4"/>
      <c r="BT912" s="4"/>
      <c r="BU912" s="4"/>
    </row>
    <row r="913" spans="29:73" s="1" customFormat="1" x14ac:dyDescent="0.25"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  <c r="BG913" s="4"/>
      <c r="BH913" s="4"/>
      <c r="BI913" s="4"/>
      <c r="BJ913" s="4"/>
      <c r="BK913" s="4"/>
      <c r="BL913" s="4"/>
      <c r="BM913" s="4"/>
      <c r="BN913" s="4"/>
      <c r="BO913" s="4"/>
      <c r="BP913" s="4"/>
      <c r="BQ913" s="4"/>
      <c r="BR913" s="4"/>
      <c r="BS913" s="4"/>
      <c r="BT913" s="4"/>
      <c r="BU913" s="4"/>
    </row>
    <row r="914" spans="29:73" s="1" customFormat="1" x14ac:dyDescent="0.25"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  <c r="BG914" s="4"/>
      <c r="BH914" s="4"/>
      <c r="BI914" s="4"/>
      <c r="BJ914" s="4"/>
      <c r="BK914" s="4"/>
      <c r="BL914" s="4"/>
      <c r="BM914" s="4"/>
      <c r="BN914" s="4"/>
      <c r="BO914" s="4"/>
      <c r="BP914" s="4"/>
      <c r="BQ914" s="4"/>
      <c r="BR914" s="4"/>
      <c r="BS914" s="4"/>
      <c r="BT914" s="4"/>
      <c r="BU914" s="4"/>
    </row>
    <row r="915" spans="29:73" s="1" customFormat="1" x14ac:dyDescent="0.25"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  <c r="BG915" s="4"/>
      <c r="BH915" s="4"/>
      <c r="BI915" s="4"/>
      <c r="BJ915" s="4"/>
      <c r="BK915" s="4"/>
      <c r="BL915" s="4"/>
      <c r="BM915" s="4"/>
      <c r="BN915" s="4"/>
      <c r="BO915" s="4"/>
      <c r="BP915" s="4"/>
      <c r="BQ915" s="4"/>
      <c r="BR915" s="4"/>
      <c r="BS915" s="4"/>
      <c r="BT915" s="4"/>
      <c r="BU915" s="4"/>
    </row>
    <row r="916" spans="29:73" s="1" customFormat="1" x14ac:dyDescent="0.25"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  <c r="BG916" s="4"/>
      <c r="BH916" s="4"/>
      <c r="BI916" s="4"/>
      <c r="BJ916" s="4"/>
      <c r="BK916" s="4"/>
      <c r="BL916" s="4"/>
      <c r="BM916" s="4"/>
      <c r="BN916" s="4"/>
      <c r="BO916" s="4"/>
      <c r="BP916" s="4"/>
      <c r="BQ916" s="4"/>
      <c r="BR916" s="4"/>
      <c r="BS916" s="4"/>
      <c r="BT916" s="4"/>
      <c r="BU916" s="4"/>
    </row>
    <row r="917" spans="29:73" s="1" customFormat="1" x14ac:dyDescent="0.25"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  <c r="BG917" s="4"/>
      <c r="BH917" s="4"/>
      <c r="BI917" s="4"/>
      <c r="BJ917" s="4"/>
      <c r="BK917" s="4"/>
      <c r="BL917" s="4"/>
      <c r="BM917" s="4"/>
      <c r="BN917" s="4"/>
      <c r="BO917" s="4"/>
      <c r="BP917" s="4"/>
      <c r="BQ917" s="4"/>
      <c r="BR917" s="4"/>
      <c r="BS917" s="4"/>
      <c r="BT917" s="4"/>
      <c r="BU917" s="4"/>
    </row>
    <row r="918" spans="29:73" s="1" customFormat="1" x14ac:dyDescent="0.25"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  <c r="BG918" s="4"/>
      <c r="BH918" s="4"/>
      <c r="BI918" s="4"/>
      <c r="BJ918" s="4"/>
      <c r="BK918" s="4"/>
      <c r="BL918" s="4"/>
      <c r="BM918" s="4"/>
      <c r="BN918" s="4"/>
      <c r="BO918" s="4"/>
      <c r="BP918" s="4"/>
      <c r="BQ918" s="4"/>
      <c r="BR918" s="4"/>
      <c r="BS918" s="4"/>
      <c r="BT918" s="4"/>
      <c r="BU918" s="4"/>
    </row>
    <row r="919" spans="29:73" s="1" customFormat="1" x14ac:dyDescent="0.25"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  <c r="BG919" s="4"/>
      <c r="BH919" s="4"/>
      <c r="BI919" s="4"/>
      <c r="BJ919" s="4"/>
      <c r="BK919" s="4"/>
      <c r="BL919" s="4"/>
      <c r="BM919" s="4"/>
      <c r="BN919" s="4"/>
      <c r="BO919" s="4"/>
      <c r="BP919" s="4"/>
      <c r="BQ919" s="4"/>
      <c r="BR919" s="4"/>
      <c r="BS919" s="4"/>
      <c r="BT919" s="4"/>
      <c r="BU919" s="4"/>
    </row>
    <row r="920" spans="29:73" s="1" customFormat="1" x14ac:dyDescent="0.25"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  <c r="BG920" s="4"/>
      <c r="BH920" s="4"/>
      <c r="BI920" s="4"/>
      <c r="BJ920" s="4"/>
      <c r="BK920" s="4"/>
      <c r="BL920" s="4"/>
      <c r="BM920" s="4"/>
      <c r="BN920" s="4"/>
      <c r="BO920" s="4"/>
      <c r="BP920" s="4"/>
      <c r="BQ920" s="4"/>
      <c r="BR920" s="4"/>
      <c r="BS920" s="4"/>
      <c r="BT920" s="4"/>
      <c r="BU920" s="4"/>
    </row>
    <row r="921" spans="29:73" s="1" customFormat="1" x14ac:dyDescent="0.25"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  <c r="BG921" s="4"/>
      <c r="BH921" s="4"/>
      <c r="BI921" s="4"/>
      <c r="BJ921" s="4"/>
      <c r="BK921" s="4"/>
      <c r="BL921" s="4"/>
      <c r="BM921" s="4"/>
      <c r="BN921" s="4"/>
      <c r="BO921" s="4"/>
      <c r="BP921" s="4"/>
      <c r="BQ921" s="4"/>
      <c r="BR921" s="4"/>
      <c r="BS921" s="4"/>
      <c r="BT921" s="4"/>
      <c r="BU921" s="4"/>
    </row>
    <row r="922" spans="29:73" s="1" customFormat="1" x14ac:dyDescent="0.25"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  <c r="BG922" s="4"/>
      <c r="BH922" s="4"/>
      <c r="BI922" s="4"/>
      <c r="BJ922" s="4"/>
      <c r="BK922" s="4"/>
      <c r="BL922" s="4"/>
      <c r="BM922" s="4"/>
      <c r="BN922" s="4"/>
      <c r="BO922" s="4"/>
      <c r="BP922" s="4"/>
      <c r="BQ922" s="4"/>
      <c r="BR922" s="4"/>
      <c r="BS922" s="4"/>
      <c r="BT922" s="4"/>
      <c r="BU922" s="4"/>
    </row>
    <row r="923" spans="29:73" s="1" customFormat="1" x14ac:dyDescent="0.25"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  <c r="BG923" s="4"/>
      <c r="BH923" s="4"/>
      <c r="BI923" s="4"/>
      <c r="BJ923" s="4"/>
      <c r="BK923" s="4"/>
      <c r="BL923" s="4"/>
      <c r="BM923" s="4"/>
      <c r="BN923" s="4"/>
      <c r="BO923" s="4"/>
      <c r="BP923" s="4"/>
      <c r="BQ923" s="4"/>
      <c r="BR923" s="4"/>
      <c r="BS923" s="4"/>
      <c r="BT923" s="4"/>
      <c r="BU923" s="4"/>
    </row>
    <row r="924" spans="29:73" s="1" customFormat="1" x14ac:dyDescent="0.25"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  <c r="BG924" s="4"/>
      <c r="BH924" s="4"/>
      <c r="BI924" s="4"/>
      <c r="BJ924" s="4"/>
      <c r="BK924" s="4"/>
      <c r="BL924" s="4"/>
      <c r="BM924" s="4"/>
      <c r="BN924" s="4"/>
      <c r="BO924" s="4"/>
      <c r="BP924" s="4"/>
      <c r="BQ924" s="4"/>
      <c r="BR924" s="4"/>
      <c r="BS924" s="4"/>
      <c r="BT924" s="4"/>
      <c r="BU924" s="4"/>
    </row>
    <row r="925" spans="29:73" s="1" customFormat="1" x14ac:dyDescent="0.25"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  <c r="BG925" s="4"/>
      <c r="BH925" s="4"/>
      <c r="BI925" s="4"/>
      <c r="BJ925" s="4"/>
      <c r="BK925" s="4"/>
      <c r="BL925" s="4"/>
      <c r="BM925" s="4"/>
      <c r="BN925" s="4"/>
      <c r="BO925" s="4"/>
      <c r="BP925" s="4"/>
      <c r="BQ925" s="4"/>
      <c r="BR925" s="4"/>
      <c r="BS925" s="4"/>
      <c r="BT925" s="4"/>
      <c r="BU925" s="4"/>
    </row>
    <row r="926" spans="29:73" s="1" customFormat="1" x14ac:dyDescent="0.25"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  <c r="BG926" s="4"/>
      <c r="BH926" s="4"/>
      <c r="BI926" s="4"/>
      <c r="BJ926" s="4"/>
      <c r="BK926" s="4"/>
      <c r="BL926" s="4"/>
      <c r="BM926" s="4"/>
      <c r="BN926" s="4"/>
      <c r="BO926" s="4"/>
      <c r="BP926" s="4"/>
      <c r="BQ926" s="4"/>
      <c r="BR926" s="4"/>
      <c r="BS926" s="4"/>
      <c r="BT926" s="4"/>
      <c r="BU926" s="4"/>
    </row>
    <row r="927" spans="29:73" s="1" customFormat="1" x14ac:dyDescent="0.25"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  <c r="BG927" s="4"/>
      <c r="BH927" s="4"/>
      <c r="BI927" s="4"/>
      <c r="BJ927" s="4"/>
      <c r="BK927" s="4"/>
      <c r="BL927" s="4"/>
      <c r="BM927" s="4"/>
      <c r="BN927" s="4"/>
      <c r="BO927" s="4"/>
      <c r="BP927" s="4"/>
      <c r="BQ927" s="4"/>
      <c r="BR927" s="4"/>
      <c r="BS927" s="4"/>
      <c r="BT927" s="4"/>
      <c r="BU927" s="4"/>
    </row>
    <row r="928" spans="29:73" s="1" customFormat="1" x14ac:dyDescent="0.25"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  <c r="BG928" s="4"/>
      <c r="BH928" s="4"/>
      <c r="BI928" s="4"/>
      <c r="BJ928" s="4"/>
      <c r="BK928" s="4"/>
      <c r="BL928" s="4"/>
      <c r="BM928" s="4"/>
      <c r="BN928" s="4"/>
      <c r="BO928" s="4"/>
      <c r="BP928" s="4"/>
      <c r="BQ928" s="4"/>
      <c r="BR928" s="4"/>
      <c r="BS928" s="4"/>
      <c r="BT928" s="4"/>
      <c r="BU928" s="4"/>
    </row>
    <row r="929" spans="29:73" s="1" customFormat="1" x14ac:dyDescent="0.25"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  <c r="BG929" s="4"/>
      <c r="BH929" s="4"/>
      <c r="BI929" s="4"/>
      <c r="BJ929" s="4"/>
      <c r="BK929" s="4"/>
      <c r="BL929" s="4"/>
      <c r="BM929" s="4"/>
      <c r="BN929" s="4"/>
      <c r="BO929" s="4"/>
      <c r="BP929" s="4"/>
      <c r="BQ929" s="4"/>
      <c r="BR929" s="4"/>
      <c r="BS929" s="4"/>
      <c r="BT929" s="4"/>
      <c r="BU929" s="4"/>
    </row>
    <row r="930" spans="29:73" s="1" customFormat="1" x14ac:dyDescent="0.25"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  <c r="BG930" s="4"/>
      <c r="BH930" s="4"/>
      <c r="BI930" s="4"/>
      <c r="BJ930" s="4"/>
      <c r="BK930" s="4"/>
      <c r="BL930" s="4"/>
      <c r="BM930" s="4"/>
      <c r="BN930" s="4"/>
      <c r="BO930" s="4"/>
      <c r="BP930" s="4"/>
      <c r="BQ930" s="4"/>
      <c r="BR930" s="4"/>
      <c r="BS930" s="4"/>
      <c r="BT930" s="4"/>
      <c r="BU930" s="4"/>
    </row>
    <row r="931" spans="29:73" s="1" customFormat="1" x14ac:dyDescent="0.25"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  <c r="BG931" s="4"/>
      <c r="BH931" s="4"/>
      <c r="BI931" s="4"/>
      <c r="BJ931" s="4"/>
      <c r="BK931" s="4"/>
      <c r="BL931" s="4"/>
      <c r="BM931" s="4"/>
      <c r="BN931" s="4"/>
      <c r="BO931" s="4"/>
      <c r="BP931" s="4"/>
      <c r="BQ931" s="4"/>
      <c r="BR931" s="4"/>
      <c r="BS931" s="4"/>
      <c r="BT931" s="4"/>
      <c r="BU931" s="4"/>
    </row>
    <row r="932" spans="29:73" s="1" customFormat="1" x14ac:dyDescent="0.25"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  <c r="BG932" s="4"/>
      <c r="BH932" s="4"/>
      <c r="BI932" s="4"/>
      <c r="BJ932" s="4"/>
      <c r="BK932" s="4"/>
      <c r="BL932" s="4"/>
      <c r="BM932" s="4"/>
      <c r="BN932" s="4"/>
      <c r="BO932" s="4"/>
      <c r="BP932" s="4"/>
      <c r="BQ932" s="4"/>
      <c r="BR932" s="4"/>
      <c r="BS932" s="4"/>
      <c r="BT932" s="4"/>
      <c r="BU932" s="4"/>
    </row>
    <row r="933" spans="29:73" s="1" customFormat="1" x14ac:dyDescent="0.25"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  <c r="BG933" s="4"/>
      <c r="BH933" s="4"/>
      <c r="BI933" s="4"/>
      <c r="BJ933" s="4"/>
      <c r="BK933" s="4"/>
      <c r="BL933" s="4"/>
      <c r="BM933" s="4"/>
      <c r="BN933" s="4"/>
      <c r="BO933" s="4"/>
      <c r="BP933" s="4"/>
      <c r="BQ933" s="4"/>
      <c r="BR933" s="4"/>
      <c r="BS933" s="4"/>
      <c r="BT933" s="4"/>
      <c r="BU933" s="4"/>
    </row>
    <row r="934" spans="29:73" s="1" customFormat="1" x14ac:dyDescent="0.25"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  <c r="BG934" s="4"/>
      <c r="BH934" s="4"/>
      <c r="BI934" s="4"/>
      <c r="BJ934" s="4"/>
      <c r="BK934" s="4"/>
      <c r="BL934" s="4"/>
      <c r="BM934" s="4"/>
      <c r="BN934" s="4"/>
      <c r="BO934" s="4"/>
      <c r="BP934" s="4"/>
      <c r="BQ934" s="4"/>
      <c r="BR934" s="4"/>
      <c r="BS934" s="4"/>
      <c r="BT934" s="4"/>
      <c r="BU934" s="4"/>
    </row>
    <row r="935" spans="29:73" s="1" customFormat="1" x14ac:dyDescent="0.25"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  <c r="BG935" s="4"/>
      <c r="BH935" s="4"/>
      <c r="BI935" s="4"/>
      <c r="BJ935" s="4"/>
      <c r="BK935" s="4"/>
      <c r="BL935" s="4"/>
      <c r="BM935" s="4"/>
      <c r="BN935" s="4"/>
      <c r="BO935" s="4"/>
      <c r="BP935" s="4"/>
      <c r="BQ935" s="4"/>
      <c r="BR935" s="4"/>
      <c r="BS935" s="4"/>
      <c r="BT935" s="4"/>
      <c r="BU935" s="4"/>
    </row>
    <row r="936" spans="29:73" s="1" customFormat="1" x14ac:dyDescent="0.25"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  <c r="BG936" s="4"/>
      <c r="BH936" s="4"/>
      <c r="BI936" s="4"/>
      <c r="BJ936" s="4"/>
      <c r="BK936" s="4"/>
      <c r="BL936" s="4"/>
      <c r="BM936" s="4"/>
      <c r="BN936" s="4"/>
      <c r="BO936" s="4"/>
      <c r="BP936" s="4"/>
      <c r="BQ936" s="4"/>
      <c r="BR936" s="4"/>
      <c r="BS936" s="4"/>
      <c r="BT936" s="4"/>
      <c r="BU936" s="4"/>
    </row>
    <row r="937" spans="29:73" s="1" customFormat="1" x14ac:dyDescent="0.25"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  <c r="BG937" s="4"/>
      <c r="BH937" s="4"/>
      <c r="BI937" s="4"/>
      <c r="BJ937" s="4"/>
      <c r="BK937" s="4"/>
      <c r="BL937" s="4"/>
      <c r="BM937" s="4"/>
      <c r="BN937" s="4"/>
      <c r="BO937" s="4"/>
      <c r="BP937" s="4"/>
      <c r="BQ937" s="4"/>
      <c r="BR937" s="4"/>
      <c r="BS937" s="4"/>
      <c r="BT937" s="4"/>
      <c r="BU937" s="4"/>
    </row>
    <row r="938" spans="29:73" s="1" customFormat="1" x14ac:dyDescent="0.25"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  <c r="BG938" s="4"/>
      <c r="BH938" s="4"/>
      <c r="BI938" s="4"/>
      <c r="BJ938" s="4"/>
      <c r="BK938" s="4"/>
      <c r="BL938" s="4"/>
      <c r="BM938" s="4"/>
      <c r="BN938" s="4"/>
      <c r="BO938" s="4"/>
      <c r="BP938" s="4"/>
      <c r="BQ938" s="4"/>
      <c r="BR938" s="4"/>
      <c r="BS938" s="4"/>
      <c r="BT938" s="4"/>
      <c r="BU938" s="4"/>
    </row>
    <row r="939" spans="29:73" s="1" customFormat="1" x14ac:dyDescent="0.25"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  <c r="BG939" s="4"/>
      <c r="BH939" s="4"/>
      <c r="BI939" s="4"/>
      <c r="BJ939" s="4"/>
      <c r="BK939" s="4"/>
      <c r="BL939" s="4"/>
      <c r="BM939" s="4"/>
      <c r="BN939" s="4"/>
      <c r="BO939" s="4"/>
      <c r="BP939" s="4"/>
      <c r="BQ939" s="4"/>
      <c r="BR939" s="4"/>
      <c r="BS939" s="4"/>
      <c r="BT939" s="4"/>
      <c r="BU939" s="4"/>
    </row>
    <row r="940" spans="29:73" s="1" customFormat="1" x14ac:dyDescent="0.25"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  <c r="BG940" s="4"/>
      <c r="BH940" s="4"/>
      <c r="BI940" s="4"/>
      <c r="BJ940" s="4"/>
      <c r="BK940" s="4"/>
      <c r="BL940" s="4"/>
      <c r="BM940" s="4"/>
      <c r="BN940" s="4"/>
      <c r="BO940" s="4"/>
      <c r="BP940" s="4"/>
      <c r="BQ940" s="4"/>
      <c r="BR940" s="4"/>
      <c r="BS940" s="4"/>
      <c r="BT940" s="4"/>
      <c r="BU940" s="4"/>
    </row>
    <row r="941" spans="29:73" s="1" customFormat="1" x14ac:dyDescent="0.25"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  <c r="BG941" s="4"/>
      <c r="BH941" s="4"/>
      <c r="BI941" s="4"/>
      <c r="BJ941" s="4"/>
      <c r="BK941" s="4"/>
      <c r="BL941" s="4"/>
      <c r="BM941" s="4"/>
      <c r="BN941" s="4"/>
      <c r="BO941" s="4"/>
      <c r="BP941" s="4"/>
      <c r="BQ941" s="4"/>
      <c r="BR941" s="4"/>
      <c r="BS941" s="4"/>
      <c r="BT941" s="4"/>
      <c r="BU941" s="4"/>
    </row>
    <row r="942" spans="29:73" s="1" customFormat="1" x14ac:dyDescent="0.25"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  <c r="BG942" s="4"/>
      <c r="BH942" s="4"/>
      <c r="BI942" s="4"/>
      <c r="BJ942" s="4"/>
      <c r="BK942" s="4"/>
      <c r="BL942" s="4"/>
      <c r="BM942" s="4"/>
      <c r="BN942" s="4"/>
      <c r="BO942" s="4"/>
      <c r="BP942" s="4"/>
      <c r="BQ942" s="4"/>
      <c r="BR942" s="4"/>
      <c r="BS942" s="4"/>
      <c r="BT942" s="4"/>
      <c r="BU942" s="4"/>
    </row>
    <row r="943" spans="29:73" s="1" customFormat="1" x14ac:dyDescent="0.25"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  <c r="BG943" s="4"/>
      <c r="BH943" s="4"/>
      <c r="BI943" s="4"/>
      <c r="BJ943" s="4"/>
      <c r="BK943" s="4"/>
      <c r="BL943" s="4"/>
      <c r="BM943" s="4"/>
      <c r="BN943" s="4"/>
      <c r="BO943" s="4"/>
      <c r="BP943" s="4"/>
      <c r="BQ943" s="4"/>
      <c r="BR943" s="4"/>
      <c r="BS943" s="4"/>
      <c r="BT943" s="4"/>
      <c r="BU943" s="4"/>
    </row>
    <row r="944" spans="29:73" s="1" customFormat="1" x14ac:dyDescent="0.25"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  <c r="BG944" s="4"/>
      <c r="BH944" s="4"/>
      <c r="BI944" s="4"/>
      <c r="BJ944" s="4"/>
      <c r="BK944" s="4"/>
      <c r="BL944" s="4"/>
      <c r="BM944" s="4"/>
      <c r="BN944" s="4"/>
      <c r="BO944" s="4"/>
      <c r="BP944" s="4"/>
      <c r="BQ944" s="4"/>
      <c r="BR944" s="4"/>
      <c r="BS944" s="4"/>
      <c r="BT944" s="4"/>
      <c r="BU944" s="4"/>
    </row>
    <row r="945" spans="29:73" s="1" customFormat="1" x14ac:dyDescent="0.25"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  <c r="BG945" s="4"/>
      <c r="BH945" s="4"/>
      <c r="BI945" s="4"/>
      <c r="BJ945" s="4"/>
      <c r="BK945" s="4"/>
      <c r="BL945" s="4"/>
      <c r="BM945" s="4"/>
      <c r="BN945" s="4"/>
      <c r="BO945" s="4"/>
      <c r="BP945" s="4"/>
      <c r="BQ945" s="4"/>
      <c r="BR945" s="4"/>
      <c r="BS945" s="4"/>
      <c r="BT945" s="4"/>
      <c r="BU945" s="4"/>
    </row>
    <row r="946" spans="29:73" s="1" customFormat="1" x14ac:dyDescent="0.25"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  <c r="BG946" s="4"/>
      <c r="BH946" s="4"/>
      <c r="BI946" s="4"/>
      <c r="BJ946" s="4"/>
      <c r="BK946" s="4"/>
      <c r="BL946" s="4"/>
      <c r="BM946" s="4"/>
      <c r="BN946" s="4"/>
      <c r="BO946" s="4"/>
      <c r="BP946" s="4"/>
      <c r="BQ946" s="4"/>
      <c r="BR946" s="4"/>
      <c r="BS946" s="4"/>
      <c r="BT946" s="4"/>
      <c r="BU946" s="4"/>
    </row>
    <row r="947" spans="29:73" s="1" customFormat="1" x14ac:dyDescent="0.25"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  <c r="BG947" s="4"/>
      <c r="BH947" s="4"/>
      <c r="BI947" s="4"/>
      <c r="BJ947" s="4"/>
      <c r="BK947" s="4"/>
      <c r="BL947" s="4"/>
      <c r="BM947" s="4"/>
      <c r="BN947" s="4"/>
      <c r="BO947" s="4"/>
      <c r="BP947" s="4"/>
      <c r="BQ947" s="4"/>
      <c r="BR947" s="4"/>
      <c r="BS947" s="4"/>
      <c r="BT947" s="4"/>
      <c r="BU947" s="4"/>
    </row>
    <row r="948" spans="29:73" s="1" customFormat="1" x14ac:dyDescent="0.25"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  <c r="BG948" s="4"/>
      <c r="BH948" s="4"/>
      <c r="BI948" s="4"/>
      <c r="BJ948" s="4"/>
      <c r="BK948" s="4"/>
      <c r="BL948" s="4"/>
      <c r="BM948" s="4"/>
      <c r="BN948" s="4"/>
      <c r="BO948" s="4"/>
      <c r="BP948" s="4"/>
      <c r="BQ948" s="4"/>
      <c r="BR948" s="4"/>
      <c r="BS948" s="4"/>
      <c r="BT948" s="4"/>
      <c r="BU948" s="4"/>
    </row>
    <row r="949" spans="29:73" s="1" customFormat="1" x14ac:dyDescent="0.25"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  <c r="BG949" s="4"/>
      <c r="BH949" s="4"/>
      <c r="BI949" s="4"/>
      <c r="BJ949" s="4"/>
      <c r="BK949" s="4"/>
      <c r="BL949" s="4"/>
      <c r="BM949" s="4"/>
      <c r="BN949" s="4"/>
      <c r="BO949" s="4"/>
      <c r="BP949" s="4"/>
      <c r="BQ949" s="4"/>
      <c r="BR949" s="4"/>
      <c r="BS949" s="4"/>
      <c r="BT949" s="4"/>
      <c r="BU949" s="4"/>
    </row>
    <row r="950" spans="29:73" s="1" customFormat="1" x14ac:dyDescent="0.25"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  <c r="BG950" s="4"/>
      <c r="BH950" s="4"/>
      <c r="BI950" s="4"/>
      <c r="BJ950" s="4"/>
      <c r="BK950" s="4"/>
      <c r="BL950" s="4"/>
      <c r="BM950" s="4"/>
      <c r="BN950" s="4"/>
      <c r="BO950" s="4"/>
      <c r="BP950" s="4"/>
      <c r="BQ950" s="4"/>
      <c r="BR950" s="4"/>
      <c r="BS950" s="4"/>
      <c r="BT950" s="4"/>
      <c r="BU950" s="4"/>
    </row>
    <row r="951" spans="29:73" s="1" customFormat="1" x14ac:dyDescent="0.25"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  <c r="BG951" s="4"/>
      <c r="BH951" s="4"/>
      <c r="BI951" s="4"/>
      <c r="BJ951" s="4"/>
      <c r="BK951" s="4"/>
      <c r="BL951" s="4"/>
      <c r="BM951" s="4"/>
      <c r="BN951" s="4"/>
      <c r="BO951" s="4"/>
      <c r="BP951" s="4"/>
      <c r="BQ951" s="4"/>
      <c r="BR951" s="4"/>
      <c r="BS951" s="4"/>
      <c r="BT951" s="4"/>
      <c r="BU951" s="4"/>
    </row>
    <row r="952" spans="29:73" s="1" customFormat="1" x14ac:dyDescent="0.25"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  <c r="BG952" s="4"/>
      <c r="BH952" s="4"/>
      <c r="BI952" s="4"/>
      <c r="BJ952" s="4"/>
      <c r="BK952" s="4"/>
      <c r="BL952" s="4"/>
      <c r="BM952" s="4"/>
      <c r="BN952" s="4"/>
      <c r="BO952" s="4"/>
      <c r="BP952" s="4"/>
      <c r="BQ952" s="4"/>
      <c r="BR952" s="4"/>
      <c r="BS952" s="4"/>
      <c r="BT952" s="4"/>
      <c r="BU952" s="4"/>
    </row>
    <row r="953" spans="29:73" s="1" customFormat="1" x14ac:dyDescent="0.25"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  <c r="BG953" s="4"/>
      <c r="BH953" s="4"/>
      <c r="BI953" s="4"/>
      <c r="BJ953" s="4"/>
      <c r="BK953" s="4"/>
      <c r="BL953" s="4"/>
      <c r="BM953" s="4"/>
      <c r="BN953" s="4"/>
      <c r="BO953" s="4"/>
      <c r="BP953" s="4"/>
      <c r="BQ953" s="4"/>
      <c r="BR953" s="4"/>
      <c r="BS953" s="4"/>
      <c r="BT953" s="4"/>
      <c r="BU953" s="4"/>
    </row>
    <row r="954" spans="29:73" s="1" customFormat="1" x14ac:dyDescent="0.25"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  <c r="BG954" s="4"/>
      <c r="BH954" s="4"/>
      <c r="BI954" s="4"/>
      <c r="BJ954" s="4"/>
      <c r="BK954" s="4"/>
      <c r="BL954" s="4"/>
      <c r="BM954" s="4"/>
      <c r="BN954" s="4"/>
      <c r="BO954" s="4"/>
      <c r="BP954" s="4"/>
      <c r="BQ954" s="4"/>
      <c r="BR954" s="4"/>
      <c r="BS954" s="4"/>
      <c r="BT954" s="4"/>
      <c r="BU954" s="4"/>
    </row>
    <row r="955" spans="29:73" s="1" customFormat="1" x14ac:dyDescent="0.25"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  <c r="BG955" s="4"/>
      <c r="BH955" s="4"/>
      <c r="BI955" s="4"/>
      <c r="BJ955" s="4"/>
      <c r="BK955" s="4"/>
      <c r="BL955" s="4"/>
      <c r="BM955" s="4"/>
      <c r="BN955" s="4"/>
      <c r="BO955" s="4"/>
      <c r="BP955" s="4"/>
      <c r="BQ955" s="4"/>
      <c r="BR955" s="4"/>
      <c r="BS955" s="4"/>
      <c r="BT955" s="4"/>
      <c r="BU955" s="4"/>
    </row>
    <row r="956" spans="29:73" s="1" customFormat="1" x14ac:dyDescent="0.25"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  <c r="BG956" s="4"/>
      <c r="BH956" s="4"/>
      <c r="BI956" s="4"/>
      <c r="BJ956" s="4"/>
      <c r="BK956" s="4"/>
      <c r="BL956" s="4"/>
      <c r="BM956" s="4"/>
      <c r="BN956" s="4"/>
      <c r="BO956" s="4"/>
      <c r="BP956" s="4"/>
      <c r="BQ956" s="4"/>
      <c r="BR956" s="4"/>
      <c r="BS956" s="4"/>
      <c r="BT956" s="4"/>
      <c r="BU956" s="4"/>
    </row>
    <row r="957" spans="29:73" s="1" customFormat="1" x14ac:dyDescent="0.25"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  <c r="BG957" s="4"/>
      <c r="BH957" s="4"/>
      <c r="BI957" s="4"/>
      <c r="BJ957" s="4"/>
      <c r="BK957" s="4"/>
      <c r="BL957" s="4"/>
      <c r="BM957" s="4"/>
      <c r="BN957" s="4"/>
      <c r="BO957" s="4"/>
      <c r="BP957" s="4"/>
      <c r="BQ957" s="4"/>
      <c r="BR957" s="4"/>
      <c r="BS957" s="4"/>
      <c r="BT957" s="4"/>
      <c r="BU957" s="4"/>
    </row>
    <row r="958" spans="29:73" s="1" customFormat="1" x14ac:dyDescent="0.25"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  <c r="BG958" s="4"/>
      <c r="BH958" s="4"/>
      <c r="BI958" s="4"/>
      <c r="BJ958" s="4"/>
      <c r="BK958" s="4"/>
      <c r="BL958" s="4"/>
      <c r="BM958" s="4"/>
      <c r="BN958" s="4"/>
      <c r="BO958" s="4"/>
      <c r="BP958" s="4"/>
      <c r="BQ958" s="4"/>
      <c r="BR958" s="4"/>
      <c r="BS958" s="4"/>
      <c r="BT958" s="4"/>
      <c r="BU958" s="4"/>
    </row>
    <row r="959" spans="29:73" s="1" customFormat="1" x14ac:dyDescent="0.25"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  <c r="BG959" s="4"/>
      <c r="BH959" s="4"/>
      <c r="BI959" s="4"/>
      <c r="BJ959" s="4"/>
      <c r="BK959" s="4"/>
      <c r="BL959" s="4"/>
      <c r="BM959" s="4"/>
      <c r="BN959" s="4"/>
      <c r="BO959" s="4"/>
      <c r="BP959" s="4"/>
      <c r="BQ959" s="4"/>
      <c r="BR959" s="4"/>
      <c r="BS959" s="4"/>
      <c r="BT959" s="4"/>
      <c r="BU959" s="4"/>
    </row>
    <row r="960" spans="29:73" s="1" customFormat="1" x14ac:dyDescent="0.25"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  <c r="BG960" s="4"/>
      <c r="BH960" s="4"/>
      <c r="BI960" s="4"/>
      <c r="BJ960" s="4"/>
      <c r="BK960" s="4"/>
      <c r="BL960" s="4"/>
      <c r="BM960" s="4"/>
      <c r="BN960" s="4"/>
      <c r="BO960" s="4"/>
      <c r="BP960" s="4"/>
      <c r="BQ960" s="4"/>
      <c r="BR960" s="4"/>
      <c r="BS960" s="4"/>
      <c r="BT960" s="4"/>
      <c r="BU960" s="4"/>
    </row>
    <row r="961" spans="29:73" s="1" customFormat="1" x14ac:dyDescent="0.25"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  <c r="BG961" s="4"/>
      <c r="BH961" s="4"/>
      <c r="BI961" s="4"/>
      <c r="BJ961" s="4"/>
      <c r="BK961" s="4"/>
      <c r="BL961" s="4"/>
      <c r="BM961" s="4"/>
      <c r="BN961" s="4"/>
      <c r="BO961" s="4"/>
      <c r="BP961" s="4"/>
      <c r="BQ961" s="4"/>
      <c r="BR961" s="4"/>
      <c r="BS961" s="4"/>
      <c r="BT961" s="4"/>
      <c r="BU961" s="4"/>
    </row>
    <row r="962" spans="29:73" s="1" customFormat="1" x14ac:dyDescent="0.25"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  <c r="BG962" s="4"/>
      <c r="BH962" s="4"/>
      <c r="BI962" s="4"/>
      <c r="BJ962" s="4"/>
      <c r="BK962" s="4"/>
      <c r="BL962" s="4"/>
      <c r="BM962" s="4"/>
      <c r="BN962" s="4"/>
      <c r="BO962" s="4"/>
      <c r="BP962" s="4"/>
      <c r="BQ962" s="4"/>
      <c r="BR962" s="4"/>
      <c r="BS962" s="4"/>
      <c r="BT962" s="4"/>
      <c r="BU962" s="4"/>
    </row>
    <row r="963" spans="29:73" s="1" customFormat="1" x14ac:dyDescent="0.25"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  <c r="BG963" s="4"/>
      <c r="BH963" s="4"/>
      <c r="BI963" s="4"/>
      <c r="BJ963" s="4"/>
      <c r="BK963" s="4"/>
      <c r="BL963" s="4"/>
      <c r="BM963" s="4"/>
      <c r="BN963" s="4"/>
      <c r="BO963" s="4"/>
      <c r="BP963" s="4"/>
      <c r="BQ963" s="4"/>
      <c r="BR963" s="4"/>
      <c r="BS963" s="4"/>
      <c r="BT963" s="4"/>
      <c r="BU963" s="4"/>
    </row>
    <row r="964" spans="29:73" s="1" customFormat="1" x14ac:dyDescent="0.25"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  <c r="BG964" s="4"/>
      <c r="BH964" s="4"/>
      <c r="BI964" s="4"/>
      <c r="BJ964" s="4"/>
      <c r="BK964" s="4"/>
      <c r="BL964" s="4"/>
      <c r="BM964" s="4"/>
      <c r="BN964" s="4"/>
      <c r="BO964" s="4"/>
      <c r="BP964" s="4"/>
      <c r="BQ964" s="4"/>
      <c r="BR964" s="4"/>
      <c r="BS964" s="4"/>
      <c r="BT964" s="4"/>
      <c r="BU964" s="4"/>
    </row>
    <row r="965" spans="29:73" s="1" customFormat="1" x14ac:dyDescent="0.25"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  <c r="BG965" s="4"/>
      <c r="BH965" s="4"/>
      <c r="BI965" s="4"/>
      <c r="BJ965" s="4"/>
      <c r="BK965" s="4"/>
      <c r="BL965" s="4"/>
      <c r="BM965" s="4"/>
      <c r="BN965" s="4"/>
      <c r="BO965" s="4"/>
      <c r="BP965" s="4"/>
      <c r="BQ965" s="4"/>
      <c r="BR965" s="4"/>
      <c r="BS965" s="4"/>
      <c r="BT965" s="4"/>
      <c r="BU965" s="4"/>
    </row>
    <row r="966" spans="29:73" s="1" customFormat="1" x14ac:dyDescent="0.25"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  <c r="BG966" s="4"/>
      <c r="BH966" s="4"/>
      <c r="BI966" s="4"/>
      <c r="BJ966" s="4"/>
      <c r="BK966" s="4"/>
      <c r="BL966" s="4"/>
      <c r="BM966" s="4"/>
      <c r="BN966" s="4"/>
      <c r="BO966" s="4"/>
      <c r="BP966" s="4"/>
      <c r="BQ966" s="4"/>
      <c r="BR966" s="4"/>
      <c r="BS966" s="4"/>
      <c r="BT966" s="4"/>
      <c r="BU966" s="4"/>
    </row>
    <row r="967" spans="29:73" s="1" customFormat="1" x14ac:dyDescent="0.25"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  <c r="BG967" s="4"/>
      <c r="BH967" s="4"/>
      <c r="BI967" s="4"/>
      <c r="BJ967" s="4"/>
      <c r="BK967" s="4"/>
      <c r="BL967" s="4"/>
      <c r="BM967" s="4"/>
      <c r="BN967" s="4"/>
      <c r="BO967" s="4"/>
      <c r="BP967" s="4"/>
      <c r="BQ967" s="4"/>
      <c r="BR967" s="4"/>
      <c r="BS967" s="4"/>
      <c r="BT967" s="4"/>
      <c r="BU967" s="4"/>
    </row>
    <row r="968" spans="29:73" s="1" customFormat="1" x14ac:dyDescent="0.25"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  <c r="BG968" s="4"/>
      <c r="BH968" s="4"/>
      <c r="BI968" s="4"/>
      <c r="BJ968" s="4"/>
      <c r="BK968" s="4"/>
      <c r="BL968" s="4"/>
      <c r="BM968" s="4"/>
      <c r="BN968" s="4"/>
      <c r="BO968" s="4"/>
      <c r="BP968" s="4"/>
      <c r="BQ968" s="4"/>
      <c r="BR968" s="4"/>
      <c r="BS968" s="4"/>
      <c r="BT968" s="4"/>
      <c r="BU968" s="4"/>
    </row>
    <row r="969" spans="29:73" s="1" customFormat="1" x14ac:dyDescent="0.25"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  <c r="BG969" s="4"/>
      <c r="BH969" s="4"/>
      <c r="BI969" s="4"/>
      <c r="BJ969" s="4"/>
      <c r="BK969" s="4"/>
      <c r="BL969" s="4"/>
      <c r="BM969" s="4"/>
      <c r="BN969" s="4"/>
      <c r="BO969" s="4"/>
      <c r="BP969" s="4"/>
      <c r="BQ969" s="4"/>
      <c r="BR969" s="4"/>
      <c r="BS969" s="4"/>
      <c r="BT969" s="4"/>
      <c r="BU969" s="4"/>
    </row>
    <row r="970" spans="29:73" s="1" customFormat="1" x14ac:dyDescent="0.25"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  <c r="BG970" s="4"/>
      <c r="BH970" s="4"/>
      <c r="BI970" s="4"/>
      <c r="BJ970" s="4"/>
      <c r="BK970" s="4"/>
      <c r="BL970" s="4"/>
      <c r="BM970" s="4"/>
      <c r="BN970" s="4"/>
      <c r="BO970" s="4"/>
      <c r="BP970" s="4"/>
      <c r="BQ970" s="4"/>
      <c r="BR970" s="4"/>
      <c r="BS970" s="4"/>
      <c r="BT970" s="4"/>
      <c r="BU970" s="4"/>
    </row>
    <row r="971" spans="29:73" s="1" customFormat="1" x14ac:dyDescent="0.25"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  <c r="BG971" s="4"/>
      <c r="BH971" s="4"/>
      <c r="BI971" s="4"/>
      <c r="BJ971" s="4"/>
      <c r="BK971" s="4"/>
      <c r="BL971" s="4"/>
      <c r="BM971" s="4"/>
      <c r="BN971" s="4"/>
      <c r="BO971" s="4"/>
      <c r="BP971" s="4"/>
      <c r="BQ971" s="4"/>
      <c r="BR971" s="4"/>
      <c r="BS971" s="4"/>
      <c r="BT971" s="4"/>
      <c r="BU971" s="4"/>
    </row>
    <row r="972" spans="29:73" s="1" customFormat="1" x14ac:dyDescent="0.25"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  <c r="BG972" s="4"/>
      <c r="BH972" s="4"/>
      <c r="BI972" s="4"/>
      <c r="BJ972" s="4"/>
      <c r="BK972" s="4"/>
      <c r="BL972" s="4"/>
      <c r="BM972" s="4"/>
      <c r="BN972" s="4"/>
      <c r="BO972" s="4"/>
      <c r="BP972" s="4"/>
      <c r="BQ972" s="4"/>
      <c r="BR972" s="4"/>
      <c r="BS972" s="4"/>
      <c r="BT972" s="4"/>
      <c r="BU972" s="4"/>
    </row>
    <row r="973" spans="29:73" s="1" customFormat="1" x14ac:dyDescent="0.25"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  <c r="BG973" s="4"/>
      <c r="BH973" s="4"/>
      <c r="BI973" s="4"/>
      <c r="BJ973" s="4"/>
      <c r="BK973" s="4"/>
      <c r="BL973" s="4"/>
      <c r="BM973" s="4"/>
      <c r="BN973" s="4"/>
      <c r="BO973" s="4"/>
      <c r="BP973" s="4"/>
      <c r="BQ973" s="4"/>
      <c r="BR973" s="4"/>
      <c r="BS973" s="4"/>
      <c r="BT973" s="4"/>
      <c r="BU973" s="4"/>
    </row>
    <row r="974" spans="29:73" s="1" customFormat="1" x14ac:dyDescent="0.25"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  <c r="BG974" s="4"/>
      <c r="BH974" s="4"/>
      <c r="BI974" s="4"/>
      <c r="BJ974" s="4"/>
      <c r="BK974" s="4"/>
      <c r="BL974" s="4"/>
      <c r="BM974" s="4"/>
      <c r="BN974" s="4"/>
      <c r="BO974" s="4"/>
      <c r="BP974" s="4"/>
      <c r="BQ974" s="4"/>
      <c r="BR974" s="4"/>
      <c r="BS974" s="4"/>
      <c r="BT974" s="4"/>
      <c r="BU974" s="4"/>
    </row>
    <row r="975" spans="29:73" s="1" customFormat="1" x14ac:dyDescent="0.25"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  <c r="BG975" s="4"/>
      <c r="BH975" s="4"/>
      <c r="BI975" s="4"/>
      <c r="BJ975" s="4"/>
      <c r="BK975" s="4"/>
      <c r="BL975" s="4"/>
      <c r="BM975" s="4"/>
      <c r="BN975" s="4"/>
      <c r="BO975" s="4"/>
      <c r="BP975" s="4"/>
      <c r="BQ975" s="4"/>
      <c r="BR975" s="4"/>
      <c r="BS975" s="4"/>
      <c r="BT975" s="4"/>
      <c r="BU975" s="4"/>
    </row>
    <row r="976" spans="29:73" s="1" customFormat="1" x14ac:dyDescent="0.25"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  <c r="BG976" s="4"/>
      <c r="BH976" s="4"/>
      <c r="BI976" s="4"/>
      <c r="BJ976" s="4"/>
      <c r="BK976" s="4"/>
      <c r="BL976" s="4"/>
      <c r="BM976" s="4"/>
      <c r="BN976" s="4"/>
      <c r="BO976" s="4"/>
      <c r="BP976" s="4"/>
      <c r="BQ976" s="4"/>
      <c r="BR976" s="4"/>
      <c r="BS976" s="4"/>
      <c r="BT976" s="4"/>
      <c r="BU976" s="4"/>
    </row>
    <row r="977" spans="29:73" s="1" customFormat="1" x14ac:dyDescent="0.25"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  <c r="BG977" s="4"/>
      <c r="BH977" s="4"/>
      <c r="BI977" s="4"/>
      <c r="BJ977" s="4"/>
      <c r="BK977" s="4"/>
      <c r="BL977" s="4"/>
      <c r="BM977" s="4"/>
      <c r="BN977" s="4"/>
      <c r="BO977" s="4"/>
      <c r="BP977" s="4"/>
      <c r="BQ977" s="4"/>
      <c r="BR977" s="4"/>
      <c r="BS977" s="4"/>
      <c r="BT977" s="4"/>
      <c r="BU977" s="4"/>
    </row>
    <row r="978" spans="29:73" s="1" customFormat="1" x14ac:dyDescent="0.25"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  <c r="BG978" s="4"/>
      <c r="BH978" s="4"/>
      <c r="BI978" s="4"/>
      <c r="BJ978" s="4"/>
      <c r="BK978" s="4"/>
      <c r="BL978" s="4"/>
      <c r="BM978" s="4"/>
      <c r="BN978" s="4"/>
      <c r="BO978" s="4"/>
      <c r="BP978" s="4"/>
      <c r="BQ978" s="4"/>
      <c r="BR978" s="4"/>
      <c r="BS978" s="4"/>
      <c r="BT978" s="4"/>
      <c r="BU978" s="4"/>
    </row>
    <row r="979" spans="29:73" s="1" customFormat="1" x14ac:dyDescent="0.25"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  <c r="BG979" s="4"/>
      <c r="BH979" s="4"/>
      <c r="BI979" s="4"/>
      <c r="BJ979" s="4"/>
      <c r="BK979" s="4"/>
      <c r="BL979" s="4"/>
      <c r="BM979" s="4"/>
      <c r="BN979" s="4"/>
      <c r="BO979" s="4"/>
      <c r="BP979" s="4"/>
      <c r="BQ979" s="4"/>
      <c r="BR979" s="4"/>
      <c r="BS979" s="4"/>
      <c r="BT979" s="4"/>
      <c r="BU979" s="4"/>
    </row>
    <row r="980" spans="29:73" s="1" customFormat="1" x14ac:dyDescent="0.25"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  <c r="BG980" s="4"/>
      <c r="BH980" s="4"/>
      <c r="BI980" s="4"/>
      <c r="BJ980" s="4"/>
      <c r="BK980" s="4"/>
      <c r="BL980" s="4"/>
      <c r="BM980" s="4"/>
      <c r="BN980" s="4"/>
      <c r="BO980" s="4"/>
      <c r="BP980" s="4"/>
      <c r="BQ980" s="4"/>
      <c r="BR980" s="4"/>
      <c r="BS980" s="4"/>
      <c r="BT980" s="4"/>
      <c r="BU980" s="4"/>
    </row>
    <row r="981" spans="29:73" s="1" customFormat="1" x14ac:dyDescent="0.25"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  <c r="BG981" s="4"/>
      <c r="BH981" s="4"/>
      <c r="BI981" s="4"/>
      <c r="BJ981" s="4"/>
      <c r="BK981" s="4"/>
      <c r="BL981" s="4"/>
      <c r="BM981" s="4"/>
      <c r="BN981" s="4"/>
      <c r="BO981" s="4"/>
      <c r="BP981" s="4"/>
      <c r="BQ981" s="4"/>
      <c r="BR981" s="4"/>
      <c r="BS981" s="4"/>
      <c r="BT981" s="4"/>
      <c r="BU981" s="4"/>
    </row>
    <row r="982" spans="29:73" s="1" customFormat="1" x14ac:dyDescent="0.25"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  <c r="BG982" s="4"/>
      <c r="BH982" s="4"/>
      <c r="BI982" s="4"/>
      <c r="BJ982" s="4"/>
      <c r="BK982" s="4"/>
      <c r="BL982" s="4"/>
      <c r="BM982" s="4"/>
      <c r="BN982" s="4"/>
      <c r="BO982" s="4"/>
      <c r="BP982" s="4"/>
      <c r="BQ982" s="4"/>
      <c r="BR982" s="4"/>
      <c r="BS982" s="4"/>
      <c r="BT982" s="4"/>
      <c r="BU982" s="4"/>
    </row>
    <row r="983" spans="29:73" s="1" customFormat="1" x14ac:dyDescent="0.25"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  <c r="BG983" s="4"/>
      <c r="BH983" s="4"/>
      <c r="BI983" s="4"/>
      <c r="BJ983" s="4"/>
      <c r="BK983" s="4"/>
      <c r="BL983" s="4"/>
      <c r="BM983" s="4"/>
      <c r="BN983" s="4"/>
      <c r="BO983" s="4"/>
      <c r="BP983" s="4"/>
      <c r="BQ983" s="4"/>
      <c r="BR983" s="4"/>
      <c r="BS983" s="4"/>
      <c r="BT983" s="4"/>
      <c r="BU983" s="4"/>
    </row>
    <row r="984" spans="29:73" s="1" customFormat="1" x14ac:dyDescent="0.25"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  <c r="BG984" s="4"/>
      <c r="BH984" s="4"/>
      <c r="BI984" s="4"/>
      <c r="BJ984" s="4"/>
      <c r="BK984" s="4"/>
      <c r="BL984" s="4"/>
      <c r="BM984" s="4"/>
      <c r="BN984" s="4"/>
      <c r="BO984" s="4"/>
      <c r="BP984" s="4"/>
      <c r="BQ984" s="4"/>
      <c r="BR984" s="4"/>
      <c r="BS984" s="4"/>
      <c r="BT984" s="4"/>
      <c r="BU984" s="4"/>
    </row>
    <row r="985" spans="29:73" s="1" customFormat="1" x14ac:dyDescent="0.25"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  <c r="BG985" s="4"/>
      <c r="BH985" s="4"/>
      <c r="BI985" s="4"/>
      <c r="BJ985" s="4"/>
      <c r="BK985" s="4"/>
      <c r="BL985" s="4"/>
      <c r="BM985" s="4"/>
      <c r="BN985" s="4"/>
      <c r="BO985" s="4"/>
      <c r="BP985" s="4"/>
      <c r="BQ985" s="4"/>
      <c r="BR985" s="4"/>
      <c r="BS985" s="4"/>
      <c r="BT985" s="4"/>
      <c r="BU985" s="4"/>
    </row>
    <row r="986" spans="29:73" s="1" customFormat="1" x14ac:dyDescent="0.25"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  <c r="BG986" s="4"/>
      <c r="BH986" s="4"/>
      <c r="BI986" s="4"/>
      <c r="BJ986" s="4"/>
      <c r="BK986" s="4"/>
      <c r="BL986" s="4"/>
      <c r="BM986" s="4"/>
      <c r="BN986" s="4"/>
      <c r="BO986" s="4"/>
      <c r="BP986" s="4"/>
      <c r="BQ986" s="4"/>
      <c r="BR986" s="4"/>
      <c r="BS986" s="4"/>
      <c r="BT986" s="4"/>
      <c r="BU986" s="4"/>
    </row>
    <row r="987" spans="29:73" s="1" customFormat="1" x14ac:dyDescent="0.25"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  <c r="BG987" s="4"/>
      <c r="BH987" s="4"/>
      <c r="BI987" s="4"/>
      <c r="BJ987" s="4"/>
      <c r="BK987" s="4"/>
      <c r="BL987" s="4"/>
      <c r="BM987" s="4"/>
      <c r="BN987" s="4"/>
      <c r="BO987" s="4"/>
      <c r="BP987" s="4"/>
      <c r="BQ987" s="4"/>
      <c r="BR987" s="4"/>
      <c r="BS987" s="4"/>
      <c r="BT987" s="4"/>
      <c r="BU987" s="4"/>
    </row>
    <row r="988" spans="29:73" s="1" customFormat="1" x14ac:dyDescent="0.25"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  <c r="BG988" s="4"/>
      <c r="BH988" s="4"/>
      <c r="BI988" s="4"/>
      <c r="BJ988" s="4"/>
      <c r="BK988" s="4"/>
      <c r="BL988" s="4"/>
      <c r="BM988" s="4"/>
      <c r="BN988" s="4"/>
      <c r="BO988" s="4"/>
      <c r="BP988" s="4"/>
      <c r="BQ988" s="4"/>
      <c r="BR988" s="4"/>
      <c r="BS988" s="4"/>
      <c r="BT988" s="4"/>
      <c r="BU988" s="4"/>
    </row>
    <row r="989" spans="29:73" s="1" customFormat="1" x14ac:dyDescent="0.25"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  <c r="BG989" s="4"/>
      <c r="BH989" s="4"/>
      <c r="BI989" s="4"/>
      <c r="BJ989" s="4"/>
      <c r="BK989" s="4"/>
      <c r="BL989" s="4"/>
      <c r="BM989" s="4"/>
      <c r="BN989" s="4"/>
      <c r="BO989" s="4"/>
      <c r="BP989" s="4"/>
      <c r="BQ989" s="4"/>
      <c r="BR989" s="4"/>
      <c r="BS989" s="4"/>
      <c r="BT989" s="4"/>
      <c r="BU989" s="4"/>
    </row>
    <row r="990" spans="29:73" s="1" customFormat="1" x14ac:dyDescent="0.25"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  <c r="BG990" s="4"/>
      <c r="BH990" s="4"/>
      <c r="BI990" s="4"/>
      <c r="BJ990" s="4"/>
      <c r="BK990" s="4"/>
      <c r="BL990" s="4"/>
      <c r="BM990" s="4"/>
      <c r="BN990" s="4"/>
      <c r="BO990" s="4"/>
      <c r="BP990" s="4"/>
      <c r="BQ990" s="4"/>
      <c r="BR990" s="4"/>
      <c r="BS990" s="4"/>
      <c r="BT990" s="4"/>
      <c r="BU990" s="4"/>
    </row>
    <row r="991" spans="29:73" s="1" customFormat="1" x14ac:dyDescent="0.25"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  <c r="BG991" s="4"/>
      <c r="BH991" s="4"/>
      <c r="BI991" s="4"/>
      <c r="BJ991" s="4"/>
      <c r="BK991" s="4"/>
      <c r="BL991" s="4"/>
      <c r="BM991" s="4"/>
      <c r="BN991" s="4"/>
      <c r="BO991" s="4"/>
      <c r="BP991" s="4"/>
      <c r="BQ991" s="4"/>
      <c r="BR991" s="4"/>
      <c r="BS991" s="4"/>
      <c r="BT991" s="4"/>
      <c r="BU991" s="4"/>
    </row>
    <row r="992" spans="29:73" s="1" customFormat="1" x14ac:dyDescent="0.25"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  <c r="BG992" s="4"/>
      <c r="BH992" s="4"/>
      <c r="BI992" s="4"/>
      <c r="BJ992" s="4"/>
      <c r="BK992" s="4"/>
      <c r="BL992" s="4"/>
      <c r="BM992" s="4"/>
      <c r="BN992" s="4"/>
      <c r="BO992" s="4"/>
      <c r="BP992" s="4"/>
      <c r="BQ992" s="4"/>
      <c r="BR992" s="4"/>
      <c r="BS992" s="4"/>
      <c r="BT992" s="4"/>
      <c r="BU992" s="4"/>
    </row>
    <row r="993" spans="29:73" s="1" customFormat="1" x14ac:dyDescent="0.25"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  <c r="BG993" s="4"/>
      <c r="BH993" s="4"/>
      <c r="BI993" s="4"/>
      <c r="BJ993" s="4"/>
      <c r="BK993" s="4"/>
      <c r="BL993" s="4"/>
      <c r="BM993" s="4"/>
      <c r="BN993" s="4"/>
      <c r="BO993" s="4"/>
      <c r="BP993" s="4"/>
      <c r="BQ993" s="4"/>
      <c r="BR993" s="4"/>
      <c r="BS993" s="4"/>
      <c r="BT993" s="4"/>
      <c r="BU993" s="4"/>
    </row>
    <row r="994" spans="29:73" s="1" customFormat="1" x14ac:dyDescent="0.25"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  <c r="BG994" s="4"/>
      <c r="BH994" s="4"/>
      <c r="BI994" s="4"/>
      <c r="BJ994" s="4"/>
      <c r="BK994" s="4"/>
      <c r="BL994" s="4"/>
      <c r="BM994" s="4"/>
      <c r="BN994" s="4"/>
      <c r="BO994" s="4"/>
      <c r="BP994" s="4"/>
      <c r="BQ994" s="4"/>
      <c r="BR994" s="4"/>
      <c r="BS994" s="4"/>
      <c r="BT994" s="4"/>
      <c r="BU994" s="4"/>
    </row>
    <row r="995" spans="29:73" s="1" customFormat="1" x14ac:dyDescent="0.25"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  <c r="BG995" s="4"/>
      <c r="BH995" s="4"/>
      <c r="BI995" s="4"/>
      <c r="BJ995" s="4"/>
      <c r="BK995" s="4"/>
      <c r="BL995" s="4"/>
      <c r="BM995" s="4"/>
      <c r="BN995" s="4"/>
      <c r="BO995" s="4"/>
      <c r="BP995" s="4"/>
      <c r="BQ995" s="4"/>
      <c r="BR995" s="4"/>
      <c r="BS995" s="4"/>
      <c r="BT995" s="4"/>
      <c r="BU995" s="4"/>
    </row>
    <row r="996" spans="29:73" s="1" customFormat="1" x14ac:dyDescent="0.25"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  <c r="BG996" s="4"/>
      <c r="BH996" s="4"/>
      <c r="BI996" s="4"/>
      <c r="BJ996" s="4"/>
      <c r="BK996" s="4"/>
      <c r="BL996" s="4"/>
      <c r="BM996" s="4"/>
      <c r="BN996" s="4"/>
      <c r="BO996" s="4"/>
      <c r="BP996" s="4"/>
      <c r="BQ996" s="4"/>
      <c r="BR996" s="4"/>
      <c r="BS996" s="4"/>
      <c r="BT996" s="4"/>
      <c r="BU996" s="4"/>
    </row>
    <row r="997" spans="29:73" s="1" customFormat="1" x14ac:dyDescent="0.25"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  <c r="BG997" s="4"/>
      <c r="BH997" s="4"/>
      <c r="BI997" s="4"/>
      <c r="BJ997" s="4"/>
      <c r="BK997" s="4"/>
      <c r="BL997" s="4"/>
      <c r="BM997" s="4"/>
      <c r="BN997" s="4"/>
      <c r="BO997" s="4"/>
      <c r="BP997" s="4"/>
      <c r="BQ997" s="4"/>
      <c r="BR997" s="4"/>
      <c r="BS997" s="4"/>
      <c r="BT997" s="4"/>
      <c r="BU997" s="4"/>
    </row>
    <row r="998" spans="29:73" s="1" customFormat="1" x14ac:dyDescent="0.25"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  <c r="BG998" s="4"/>
      <c r="BH998" s="4"/>
      <c r="BI998" s="4"/>
      <c r="BJ998" s="4"/>
      <c r="BK998" s="4"/>
      <c r="BL998" s="4"/>
      <c r="BM998" s="4"/>
      <c r="BN998" s="4"/>
      <c r="BO998" s="4"/>
      <c r="BP998" s="4"/>
      <c r="BQ998" s="4"/>
      <c r="BR998" s="4"/>
      <c r="BS998" s="4"/>
      <c r="BT998" s="4"/>
      <c r="BU998" s="4"/>
    </row>
    <row r="999" spans="29:73" s="1" customFormat="1" x14ac:dyDescent="0.25"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  <c r="BG999" s="4"/>
      <c r="BH999" s="4"/>
      <c r="BI999" s="4"/>
      <c r="BJ999" s="4"/>
      <c r="BK999" s="4"/>
      <c r="BL999" s="4"/>
      <c r="BM999" s="4"/>
      <c r="BN999" s="4"/>
      <c r="BO999" s="4"/>
      <c r="BP999" s="4"/>
      <c r="BQ999" s="4"/>
      <c r="BR999" s="4"/>
      <c r="BS999" s="4"/>
      <c r="BT999" s="4"/>
      <c r="BU999" s="4"/>
    </row>
    <row r="1000" spans="29:73" s="1" customFormat="1" x14ac:dyDescent="0.25"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  <c r="BG1000" s="4"/>
      <c r="BH1000" s="4"/>
      <c r="BI1000" s="4"/>
      <c r="BJ1000" s="4"/>
      <c r="BK1000" s="4"/>
      <c r="BL1000" s="4"/>
      <c r="BM1000" s="4"/>
      <c r="BN1000" s="4"/>
      <c r="BO1000" s="4"/>
      <c r="BP1000" s="4"/>
      <c r="BQ1000" s="4"/>
      <c r="BR1000" s="4"/>
      <c r="BS1000" s="4"/>
      <c r="BT1000" s="4"/>
      <c r="BU1000" s="4"/>
    </row>
    <row r="1001" spans="29:73" s="1" customFormat="1" x14ac:dyDescent="0.25"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  <c r="BG1001" s="4"/>
      <c r="BH1001" s="4"/>
      <c r="BI1001" s="4"/>
      <c r="BJ1001" s="4"/>
      <c r="BK1001" s="4"/>
      <c r="BL1001" s="4"/>
      <c r="BM1001" s="4"/>
      <c r="BN1001" s="4"/>
      <c r="BO1001" s="4"/>
      <c r="BP1001" s="4"/>
      <c r="BQ1001" s="4"/>
      <c r="BR1001" s="4"/>
      <c r="BS1001" s="4"/>
      <c r="BT1001" s="4"/>
      <c r="BU1001" s="4"/>
    </row>
    <row r="1002" spans="29:73" s="1" customFormat="1" x14ac:dyDescent="0.25"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  <c r="BG1002" s="4"/>
      <c r="BH1002" s="4"/>
      <c r="BI1002" s="4"/>
      <c r="BJ1002" s="4"/>
      <c r="BK1002" s="4"/>
      <c r="BL1002" s="4"/>
      <c r="BM1002" s="4"/>
      <c r="BN1002" s="4"/>
      <c r="BO1002" s="4"/>
      <c r="BP1002" s="4"/>
      <c r="BQ1002" s="4"/>
      <c r="BR1002" s="4"/>
      <c r="BS1002" s="4"/>
      <c r="BT1002" s="4"/>
      <c r="BU1002" s="4"/>
    </row>
    <row r="1003" spans="29:73" s="1" customFormat="1" x14ac:dyDescent="0.25"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  <c r="BG1003" s="4"/>
      <c r="BH1003" s="4"/>
      <c r="BI1003" s="4"/>
      <c r="BJ1003" s="4"/>
      <c r="BK1003" s="4"/>
      <c r="BL1003" s="4"/>
      <c r="BM1003" s="4"/>
      <c r="BN1003" s="4"/>
      <c r="BO1003" s="4"/>
      <c r="BP1003" s="4"/>
      <c r="BQ1003" s="4"/>
      <c r="BR1003" s="4"/>
      <c r="BS1003" s="4"/>
      <c r="BT1003" s="4"/>
      <c r="BU1003" s="4"/>
    </row>
    <row r="1004" spans="29:73" s="1" customFormat="1" x14ac:dyDescent="0.25"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  <c r="BG1004" s="4"/>
      <c r="BH1004" s="4"/>
      <c r="BI1004" s="4"/>
      <c r="BJ1004" s="4"/>
      <c r="BK1004" s="4"/>
      <c r="BL1004" s="4"/>
      <c r="BM1004" s="4"/>
      <c r="BN1004" s="4"/>
      <c r="BO1004" s="4"/>
      <c r="BP1004" s="4"/>
      <c r="BQ1004" s="4"/>
      <c r="BR1004" s="4"/>
      <c r="BS1004" s="4"/>
      <c r="BT1004" s="4"/>
      <c r="BU1004" s="4"/>
    </row>
    <row r="1005" spans="29:73" s="1" customFormat="1" x14ac:dyDescent="0.25">
      <c r="AC1005" s="4"/>
      <c r="AD1005" s="4"/>
      <c r="AE1005" s="4"/>
      <c r="AF1005" s="4"/>
      <c r="AG1005" s="4"/>
      <c r="AH1005" s="4"/>
      <c r="AI1005" s="4"/>
      <c r="AJ1005" s="4"/>
      <c r="AK1005" s="4"/>
      <c r="AL1005" s="4"/>
      <c r="AM1005" s="4"/>
      <c r="AN1005" s="4"/>
      <c r="AO1005" s="4"/>
      <c r="AP1005" s="4"/>
      <c r="AQ1005" s="4"/>
      <c r="AR1005" s="4"/>
      <c r="AS1005" s="4"/>
      <c r="AT1005" s="4"/>
      <c r="AU1005" s="4"/>
      <c r="AV1005" s="4"/>
      <c r="AW1005" s="4"/>
      <c r="AX1005" s="4"/>
      <c r="AY1005" s="4"/>
      <c r="AZ1005" s="4"/>
      <c r="BA1005" s="4"/>
      <c r="BB1005" s="4"/>
      <c r="BC1005" s="4"/>
      <c r="BD1005" s="4"/>
      <c r="BE1005" s="4"/>
      <c r="BF1005" s="4"/>
      <c r="BG1005" s="4"/>
      <c r="BH1005" s="4"/>
      <c r="BI1005" s="4"/>
      <c r="BJ1005" s="4"/>
      <c r="BK1005" s="4"/>
      <c r="BL1005" s="4"/>
      <c r="BM1005" s="4"/>
      <c r="BN1005" s="4"/>
      <c r="BO1005" s="4"/>
      <c r="BP1005" s="4"/>
      <c r="BQ1005" s="4"/>
      <c r="BR1005" s="4"/>
      <c r="BS1005" s="4"/>
      <c r="BT1005" s="4"/>
      <c r="BU1005" s="4"/>
    </row>
    <row r="1006" spans="29:73" s="1" customFormat="1" x14ac:dyDescent="0.25">
      <c r="AC1006" s="4"/>
      <c r="AD1006" s="4"/>
      <c r="AE1006" s="4"/>
      <c r="AF1006" s="4"/>
      <c r="AG1006" s="4"/>
      <c r="AH1006" s="4"/>
      <c r="AI1006" s="4"/>
      <c r="AJ1006" s="4"/>
      <c r="AK1006" s="4"/>
      <c r="AL1006" s="4"/>
      <c r="AM1006" s="4"/>
      <c r="AN1006" s="4"/>
      <c r="AO1006" s="4"/>
      <c r="AP1006" s="4"/>
      <c r="AQ1006" s="4"/>
      <c r="AR1006" s="4"/>
      <c r="AS1006" s="4"/>
      <c r="AT1006" s="4"/>
      <c r="AU1006" s="4"/>
      <c r="AV1006" s="4"/>
      <c r="AW1006" s="4"/>
      <c r="AX1006" s="4"/>
      <c r="AY1006" s="4"/>
      <c r="AZ1006" s="4"/>
      <c r="BA1006" s="4"/>
      <c r="BB1006" s="4"/>
      <c r="BC1006" s="4"/>
      <c r="BD1006" s="4"/>
      <c r="BE1006" s="4"/>
      <c r="BF1006" s="4"/>
      <c r="BG1006" s="4"/>
      <c r="BH1006" s="4"/>
      <c r="BI1006" s="4"/>
      <c r="BJ1006" s="4"/>
      <c r="BK1006" s="4"/>
      <c r="BL1006" s="4"/>
      <c r="BM1006" s="4"/>
      <c r="BN1006" s="4"/>
      <c r="BO1006" s="4"/>
      <c r="BP1006" s="4"/>
      <c r="BQ1006" s="4"/>
      <c r="BR1006" s="4"/>
      <c r="BS1006" s="4"/>
      <c r="BT1006" s="4"/>
      <c r="BU1006" s="4"/>
    </row>
    <row r="1007" spans="29:73" s="1" customFormat="1" x14ac:dyDescent="0.25">
      <c r="AC1007" s="4"/>
      <c r="AD1007" s="4"/>
      <c r="AE1007" s="4"/>
      <c r="AF1007" s="4"/>
      <c r="AG1007" s="4"/>
      <c r="AH1007" s="4"/>
      <c r="AI1007" s="4"/>
      <c r="AJ1007" s="4"/>
      <c r="AK1007" s="4"/>
      <c r="AL1007" s="4"/>
      <c r="AM1007" s="4"/>
      <c r="AN1007" s="4"/>
      <c r="AO1007" s="4"/>
      <c r="AP1007" s="4"/>
      <c r="AQ1007" s="4"/>
      <c r="AR1007" s="4"/>
      <c r="AS1007" s="4"/>
      <c r="AT1007" s="4"/>
      <c r="AU1007" s="4"/>
      <c r="AV1007" s="4"/>
      <c r="AW1007" s="4"/>
      <c r="AX1007" s="4"/>
      <c r="AY1007" s="4"/>
      <c r="AZ1007" s="4"/>
      <c r="BA1007" s="4"/>
      <c r="BB1007" s="4"/>
      <c r="BC1007" s="4"/>
      <c r="BD1007" s="4"/>
      <c r="BE1007" s="4"/>
      <c r="BF1007" s="4"/>
      <c r="BG1007" s="4"/>
      <c r="BH1007" s="4"/>
      <c r="BI1007" s="4"/>
      <c r="BJ1007" s="4"/>
      <c r="BK1007" s="4"/>
      <c r="BL1007" s="4"/>
      <c r="BM1007" s="4"/>
      <c r="BN1007" s="4"/>
      <c r="BO1007" s="4"/>
      <c r="BP1007" s="4"/>
      <c r="BQ1007" s="4"/>
      <c r="BR1007" s="4"/>
      <c r="BS1007" s="4"/>
      <c r="BT1007" s="4"/>
      <c r="BU1007" s="4"/>
    </row>
    <row r="1008" spans="29:73" s="1" customFormat="1" x14ac:dyDescent="0.25">
      <c r="AC1008" s="4"/>
      <c r="AD1008" s="4"/>
      <c r="AE1008" s="4"/>
      <c r="AF1008" s="4"/>
      <c r="AG1008" s="4"/>
      <c r="AH1008" s="4"/>
      <c r="AI1008" s="4"/>
      <c r="AJ1008" s="4"/>
      <c r="AK1008" s="4"/>
      <c r="AL1008" s="4"/>
      <c r="AM1008" s="4"/>
      <c r="AN1008" s="4"/>
      <c r="AO1008" s="4"/>
      <c r="AP1008" s="4"/>
      <c r="AQ1008" s="4"/>
      <c r="AR1008" s="4"/>
      <c r="AS1008" s="4"/>
      <c r="AT1008" s="4"/>
      <c r="AU1008" s="4"/>
      <c r="AV1008" s="4"/>
      <c r="AW1008" s="4"/>
      <c r="AX1008" s="4"/>
      <c r="AY1008" s="4"/>
      <c r="AZ1008" s="4"/>
      <c r="BA1008" s="4"/>
      <c r="BB1008" s="4"/>
      <c r="BC1008" s="4"/>
      <c r="BD1008" s="4"/>
      <c r="BE1008" s="4"/>
      <c r="BF1008" s="4"/>
      <c r="BG1008" s="4"/>
      <c r="BH1008" s="4"/>
      <c r="BI1008" s="4"/>
      <c r="BJ1008" s="4"/>
      <c r="BK1008" s="4"/>
      <c r="BL1008" s="4"/>
      <c r="BM1008" s="4"/>
      <c r="BN1008" s="4"/>
      <c r="BO1008" s="4"/>
      <c r="BP1008" s="4"/>
      <c r="BQ1008" s="4"/>
      <c r="BR1008" s="4"/>
      <c r="BS1008" s="4"/>
      <c r="BT1008" s="4"/>
      <c r="BU1008" s="4"/>
    </row>
    <row r="1009" spans="29:73" s="1" customFormat="1" x14ac:dyDescent="0.25">
      <c r="AC1009" s="4"/>
      <c r="AD1009" s="4"/>
      <c r="AE1009" s="4"/>
      <c r="AF1009" s="4"/>
      <c r="AG1009" s="4"/>
      <c r="AH1009" s="4"/>
      <c r="AI1009" s="4"/>
      <c r="AJ1009" s="4"/>
      <c r="AK1009" s="4"/>
      <c r="AL1009" s="4"/>
      <c r="AM1009" s="4"/>
      <c r="AN1009" s="4"/>
      <c r="AO1009" s="4"/>
      <c r="AP1009" s="4"/>
      <c r="AQ1009" s="4"/>
      <c r="AR1009" s="4"/>
      <c r="AS1009" s="4"/>
      <c r="AT1009" s="4"/>
      <c r="AU1009" s="4"/>
      <c r="AV1009" s="4"/>
      <c r="AW1009" s="4"/>
      <c r="AX1009" s="4"/>
      <c r="AY1009" s="4"/>
      <c r="AZ1009" s="4"/>
      <c r="BA1009" s="4"/>
      <c r="BB1009" s="4"/>
      <c r="BC1009" s="4"/>
      <c r="BD1009" s="4"/>
      <c r="BE1009" s="4"/>
      <c r="BF1009" s="4"/>
      <c r="BG1009" s="4"/>
      <c r="BH1009" s="4"/>
      <c r="BI1009" s="4"/>
      <c r="BJ1009" s="4"/>
      <c r="BK1009" s="4"/>
      <c r="BL1009" s="4"/>
      <c r="BM1009" s="4"/>
      <c r="BN1009" s="4"/>
      <c r="BO1009" s="4"/>
      <c r="BP1009" s="4"/>
      <c r="BQ1009" s="4"/>
      <c r="BR1009" s="4"/>
      <c r="BS1009" s="4"/>
      <c r="BT1009" s="4"/>
      <c r="BU1009" s="4"/>
    </row>
    <row r="1010" spans="29:73" s="1" customFormat="1" x14ac:dyDescent="0.25">
      <c r="AC1010" s="4"/>
      <c r="AD1010" s="4"/>
      <c r="AE1010" s="4"/>
      <c r="AF1010" s="4"/>
      <c r="AG1010" s="4"/>
      <c r="AH1010" s="4"/>
      <c r="AI1010" s="4"/>
      <c r="AJ1010" s="4"/>
      <c r="AK1010" s="4"/>
      <c r="AL1010" s="4"/>
      <c r="AM1010" s="4"/>
      <c r="AN1010" s="4"/>
      <c r="AO1010" s="4"/>
      <c r="AP1010" s="4"/>
      <c r="AQ1010" s="4"/>
      <c r="AR1010" s="4"/>
      <c r="AS1010" s="4"/>
      <c r="AT1010" s="4"/>
      <c r="AU1010" s="4"/>
      <c r="AV1010" s="4"/>
      <c r="AW1010" s="4"/>
      <c r="AX1010" s="4"/>
      <c r="AY1010" s="4"/>
      <c r="AZ1010" s="4"/>
      <c r="BA1010" s="4"/>
      <c r="BB1010" s="4"/>
      <c r="BC1010" s="4"/>
      <c r="BD1010" s="4"/>
      <c r="BE1010" s="4"/>
      <c r="BF1010" s="4"/>
      <c r="BG1010" s="4"/>
      <c r="BH1010" s="4"/>
      <c r="BI1010" s="4"/>
      <c r="BJ1010" s="4"/>
      <c r="BK1010" s="4"/>
      <c r="BL1010" s="4"/>
      <c r="BM1010" s="4"/>
      <c r="BN1010" s="4"/>
      <c r="BO1010" s="4"/>
      <c r="BP1010" s="4"/>
      <c r="BQ1010" s="4"/>
      <c r="BR1010" s="4"/>
      <c r="BS1010" s="4"/>
      <c r="BT1010" s="4"/>
      <c r="BU1010" s="4"/>
    </row>
    <row r="1011" spans="29:73" s="1" customFormat="1" x14ac:dyDescent="0.25">
      <c r="AC1011" s="4"/>
      <c r="AD1011" s="4"/>
      <c r="AE1011" s="4"/>
      <c r="AF1011" s="4"/>
      <c r="AG1011" s="4"/>
      <c r="AH1011" s="4"/>
      <c r="AI1011" s="4"/>
      <c r="AJ1011" s="4"/>
      <c r="AK1011" s="4"/>
      <c r="AL1011" s="4"/>
      <c r="AM1011" s="4"/>
      <c r="AN1011" s="4"/>
      <c r="AO1011" s="4"/>
      <c r="AP1011" s="4"/>
      <c r="AQ1011" s="4"/>
      <c r="AR1011" s="4"/>
      <c r="AS1011" s="4"/>
      <c r="AT1011" s="4"/>
      <c r="AU1011" s="4"/>
      <c r="AV1011" s="4"/>
      <c r="AW1011" s="4"/>
      <c r="AX1011" s="4"/>
      <c r="AY1011" s="4"/>
      <c r="AZ1011" s="4"/>
      <c r="BA1011" s="4"/>
      <c r="BB1011" s="4"/>
      <c r="BC1011" s="4"/>
      <c r="BD1011" s="4"/>
      <c r="BE1011" s="4"/>
      <c r="BF1011" s="4"/>
      <c r="BG1011" s="4"/>
      <c r="BH1011" s="4"/>
      <c r="BI1011" s="4"/>
      <c r="BJ1011" s="4"/>
      <c r="BK1011" s="4"/>
      <c r="BL1011" s="4"/>
      <c r="BM1011" s="4"/>
      <c r="BN1011" s="4"/>
      <c r="BO1011" s="4"/>
      <c r="BP1011" s="4"/>
      <c r="BQ1011" s="4"/>
      <c r="BR1011" s="4"/>
      <c r="BS1011" s="4"/>
      <c r="BT1011" s="4"/>
      <c r="BU1011" s="4"/>
    </row>
    <row r="1012" spans="29:73" s="1" customFormat="1" x14ac:dyDescent="0.25">
      <c r="AC1012" s="4"/>
      <c r="AD1012" s="4"/>
      <c r="AE1012" s="4"/>
      <c r="AF1012" s="4"/>
      <c r="AG1012" s="4"/>
      <c r="AH1012" s="4"/>
      <c r="AI1012" s="4"/>
      <c r="AJ1012" s="4"/>
      <c r="AK1012" s="4"/>
      <c r="AL1012" s="4"/>
      <c r="AM1012" s="4"/>
      <c r="AN1012" s="4"/>
      <c r="AO1012" s="4"/>
      <c r="AP1012" s="4"/>
      <c r="AQ1012" s="4"/>
      <c r="AR1012" s="4"/>
      <c r="AS1012" s="4"/>
      <c r="AT1012" s="4"/>
      <c r="AU1012" s="4"/>
      <c r="AV1012" s="4"/>
      <c r="AW1012" s="4"/>
      <c r="AX1012" s="4"/>
      <c r="AY1012" s="4"/>
      <c r="AZ1012" s="4"/>
      <c r="BA1012" s="4"/>
      <c r="BB1012" s="4"/>
      <c r="BC1012" s="4"/>
      <c r="BD1012" s="4"/>
      <c r="BE1012" s="4"/>
      <c r="BF1012" s="4"/>
      <c r="BG1012" s="4"/>
      <c r="BH1012" s="4"/>
      <c r="BI1012" s="4"/>
      <c r="BJ1012" s="4"/>
      <c r="BK1012" s="4"/>
      <c r="BL1012" s="4"/>
      <c r="BM1012" s="4"/>
      <c r="BN1012" s="4"/>
      <c r="BO1012" s="4"/>
      <c r="BP1012" s="4"/>
      <c r="BQ1012" s="4"/>
      <c r="BR1012" s="4"/>
      <c r="BS1012" s="4"/>
      <c r="BT1012" s="4"/>
      <c r="BU1012" s="4"/>
    </row>
    <row r="1013" spans="29:73" s="1" customFormat="1" x14ac:dyDescent="0.25">
      <c r="AC1013" s="4"/>
      <c r="AD1013" s="4"/>
      <c r="AE1013" s="4"/>
      <c r="AF1013" s="4"/>
      <c r="AG1013" s="4"/>
      <c r="AH1013" s="4"/>
      <c r="AI1013" s="4"/>
      <c r="AJ1013" s="4"/>
      <c r="AK1013" s="4"/>
      <c r="AL1013" s="4"/>
      <c r="AM1013" s="4"/>
      <c r="AN1013" s="4"/>
      <c r="AO1013" s="4"/>
      <c r="AP1013" s="4"/>
      <c r="AQ1013" s="4"/>
      <c r="AR1013" s="4"/>
      <c r="AS1013" s="4"/>
      <c r="AT1013" s="4"/>
      <c r="AU1013" s="4"/>
      <c r="AV1013" s="4"/>
      <c r="AW1013" s="4"/>
      <c r="AX1013" s="4"/>
      <c r="AY1013" s="4"/>
      <c r="AZ1013" s="4"/>
      <c r="BA1013" s="4"/>
      <c r="BB1013" s="4"/>
      <c r="BC1013" s="4"/>
      <c r="BD1013" s="4"/>
      <c r="BE1013" s="4"/>
      <c r="BF1013" s="4"/>
      <c r="BG1013" s="4"/>
      <c r="BH1013" s="4"/>
      <c r="BI1013" s="4"/>
      <c r="BJ1013" s="4"/>
      <c r="BK1013" s="4"/>
      <c r="BL1013" s="4"/>
      <c r="BM1013" s="4"/>
      <c r="BN1013" s="4"/>
      <c r="BO1013" s="4"/>
      <c r="BP1013" s="4"/>
      <c r="BQ1013" s="4"/>
      <c r="BR1013" s="4"/>
      <c r="BS1013" s="4"/>
      <c r="BT1013" s="4"/>
      <c r="BU1013" s="4"/>
    </row>
    <row r="1014" spans="29:73" s="1" customFormat="1" x14ac:dyDescent="0.25">
      <c r="AC1014" s="4"/>
      <c r="AD1014" s="4"/>
      <c r="AE1014" s="4"/>
      <c r="AF1014" s="4"/>
      <c r="AG1014" s="4"/>
      <c r="AH1014" s="4"/>
      <c r="AI1014" s="4"/>
      <c r="AJ1014" s="4"/>
      <c r="AK1014" s="4"/>
      <c r="AL1014" s="4"/>
      <c r="AM1014" s="4"/>
      <c r="AN1014" s="4"/>
      <c r="AO1014" s="4"/>
      <c r="AP1014" s="4"/>
      <c r="AQ1014" s="4"/>
      <c r="AR1014" s="4"/>
      <c r="AS1014" s="4"/>
      <c r="AT1014" s="4"/>
      <c r="AU1014" s="4"/>
      <c r="AV1014" s="4"/>
      <c r="AW1014" s="4"/>
      <c r="AX1014" s="4"/>
      <c r="AY1014" s="4"/>
      <c r="AZ1014" s="4"/>
      <c r="BA1014" s="4"/>
      <c r="BB1014" s="4"/>
      <c r="BC1014" s="4"/>
      <c r="BD1014" s="4"/>
      <c r="BE1014" s="4"/>
      <c r="BF1014" s="4"/>
      <c r="BG1014" s="4"/>
      <c r="BH1014" s="4"/>
      <c r="BI1014" s="4"/>
      <c r="BJ1014" s="4"/>
      <c r="BK1014" s="4"/>
      <c r="BL1014" s="4"/>
      <c r="BM1014" s="4"/>
      <c r="BN1014" s="4"/>
      <c r="BO1014" s="4"/>
      <c r="BP1014" s="4"/>
      <c r="BQ1014" s="4"/>
      <c r="BR1014" s="4"/>
      <c r="BS1014" s="4"/>
      <c r="BT1014" s="4"/>
      <c r="BU1014" s="4"/>
    </row>
    <row r="1015" spans="29:73" s="1" customFormat="1" x14ac:dyDescent="0.25">
      <c r="AC1015" s="4"/>
      <c r="AD1015" s="4"/>
      <c r="AE1015" s="4"/>
      <c r="AF1015" s="4"/>
      <c r="AG1015" s="4"/>
      <c r="AH1015" s="4"/>
      <c r="AI1015" s="4"/>
      <c r="AJ1015" s="4"/>
      <c r="AK1015" s="4"/>
      <c r="AL1015" s="4"/>
      <c r="AM1015" s="4"/>
      <c r="AN1015" s="4"/>
      <c r="AO1015" s="4"/>
      <c r="AP1015" s="4"/>
      <c r="AQ1015" s="4"/>
      <c r="AR1015" s="4"/>
      <c r="AS1015" s="4"/>
      <c r="AT1015" s="4"/>
      <c r="AU1015" s="4"/>
      <c r="AV1015" s="4"/>
      <c r="AW1015" s="4"/>
      <c r="AX1015" s="4"/>
      <c r="AY1015" s="4"/>
      <c r="AZ1015" s="4"/>
      <c r="BA1015" s="4"/>
      <c r="BB1015" s="4"/>
      <c r="BC1015" s="4"/>
      <c r="BD1015" s="4"/>
      <c r="BE1015" s="4"/>
      <c r="BF1015" s="4"/>
      <c r="BG1015" s="4"/>
      <c r="BH1015" s="4"/>
      <c r="BI1015" s="4"/>
      <c r="BJ1015" s="4"/>
      <c r="BK1015" s="4"/>
      <c r="BL1015" s="4"/>
      <c r="BM1015" s="4"/>
      <c r="BN1015" s="4"/>
      <c r="BO1015" s="4"/>
      <c r="BP1015" s="4"/>
      <c r="BQ1015" s="4"/>
      <c r="BR1015" s="4"/>
      <c r="BS1015" s="4"/>
      <c r="BT1015" s="4"/>
      <c r="BU1015" s="4"/>
    </row>
    <row r="1016" spans="29:73" s="1" customFormat="1" x14ac:dyDescent="0.25">
      <c r="AC1016" s="4"/>
      <c r="AD1016" s="4"/>
      <c r="AE1016" s="4"/>
      <c r="AF1016" s="4"/>
      <c r="AG1016" s="4"/>
      <c r="AH1016" s="4"/>
      <c r="AI1016" s="4"/>
      <c r="AJ1016" s="4"/>
      <c r="AK1016" s="4"/>
      <c r="AL1016" s="4"/>
      <c r="AM1016" s="4"/>
      <c r="AN1016" s="4"/>
      <c r="AO1016" s="4"/>
      <c r="AP1016" s="4"/>
      <c r="AQ1016" s="4"/>
      <c r="AR1016" s="4"/>
      <c r="AS1016" s="4"/>
      <c r="AT1016" s="4"/>
      <c r="AU1016" s="4"/>
      <c r="AV1016" s="4"/>
      <c r="AW1016" s="4"/>
      <c r="AX1016" s="4"/>
      <c r="AY1016" s="4"/>
      <c r="AZ1016" s="4"/>
      <c r="BA1016" s="4"/>
      <c r="BB1016" s="4"/>
      <c r="BC1016" s="4"/>
      <c r="BD1016" s="4"/>
      <c r="BE1016" s="4"/>
      <c r="BF1016" s="4"/>
      <c r="BG1016" s="4"/>
      <c r="BH1016" s="4"/>
      <c r="BI1016" s="4"/>
      <c r="BJ1016" s="4"/>
      <c r="BK1016" s="4"/>
      <c r="BL1016" s="4"/>
      <c r="BM1016" s="4"/>
      <c r="BN1016" s="4"/>
      <c r="BO1016" s="4"/>
      <c r="BP1016" s="4"/>
      <c r="BQ1016" s="4"/>
      <c r="BR1016" s="4"/>
      <c r="BS1016" s="4"/>
      <c r="BT1016" s="4"/>
      <c r="BU1016" s="4"/>
    </row>
    <row r="1017" spans="29:73" s="1" customFormat="1" x14ac:dyDescent="0.25">
      <c r="AC1017" s="4"/>
      <c r="AD1017" s="4"/>
      <c r="AE1017" s="4"/>
      <c r="AF1017" s="4"/>
      <c r="AG1017" s="4"/>
      <c r="AH1017" s="4"/>
      <c r="AI1017" s="4"/>
      <c r="AJ1017" s="4"/>
      <c r="AK1017" s="4"/>
      <c r="AL1017" s="4"/>
      <c r="AM1017" s="4"/>
      <c r="AN1017" s="4"/>
      <c r="AO1017" s="4"/>
      <c r="AP1017" s="4"/>
      <c r="AQ1017" s="4"/>
      <c r="AR1017" s="4"/>
      <c r="AS1017" s="4"/>
      <c r="AT1017" s="4"/>
      <c r="AU1017" s="4"/>
      <c r="AV1017" s="4"/>
      <c r="AW1017" s="4"/>
      <c r="AX1017" s="4"/>
      <c r="AY1017" s="4"/>
      <c r="AZ1017" s="4"/>
      <c r="BA1017" s="4"/>
      <c r="BB1017" s="4"/>
      <c r="BC1017" s="4"/>
      <c r="BD1017" s="4"/>
      <c r="BE1017" s="4"/>
      <c r="BF1017" s="4"/>
      <c r="BG1017" s="4"/>
      <c r="BH1017" s="4"/>
      <c r="BI1017" s="4"/>
      <c r="BJ1017" s="4"/>
      <c r="BK1017" s="4"/>
      <c r="BL1017" s="4"/>
      <c r="BM1017" s="4"/>
      <c r="BN1017" s="4"/>
      <c r="BO1017" s="4"/>
      <c r="BP1017" s="4"/>
      <c r="BQ1017" s="4"/>
      <c r="BR1017" s="4"/>
      <c r="BS1017" s="4"/>
      <c r="BT1017" s="4"/>
      <c r="BU1017" s="4"/>
    </row>
    <row r="1018" spans="29:73" s="1" customFormat="1" x14ac:dyDescent="0.25">
      <c r="AC1018" s="4"/>
      <c r="AD1018" s="4"/>
      <c r="AE1018" s="4"/>
      <c r="AF1018" s="4"/>
      <c r="AG1018" s="4"/>
      <c r="AH1018" s="4"/>
      <c r="AI1018" s="4"/>
      <c r="AJ1018" s="4"/>
      <c r="AK1018" s="4"/>
      <c r="AL1018" s="4"/>
      <c r="AM1018" s="4"/>
      <c r="AN1018" s="4"/>
      <c r="AO1018" s="4"/>
      <c r="AP1018" s="4"/>
      <c r="AQ1018" s="4"/>
      <c r="AR1018" s="4"/>
      <c r="AS1018" s="4"/>
      <c r="AT1018" s="4"/>
      <c r="AU1018" s="4"/>
      <c r="AV1018" s="4"/>
      <c r="AW1018" s="4"/>
      <c r="AX1018" s="4"/>
      <c r="AY1018" s="4"/>
      <c r="AZ1018" s="4"/>
      <c r="BA1018" s="4"/>
      <c r="BB1018" s="4"/>
      <c r="BC1018" s="4"/>
      <c r="BD1018" s="4"/>
      <c r="BE1018" s="4"/>
      <c r="BF1018" s="4"/>
      <c r="BG1018" s="4"/>
      <c r="BH1018" s="4"/>
      <c r="BI1018" s="4"/>
      <c r="BJ1018" s="4"/>
      <c r="BK1018" s="4"/>
      <c r="BL1018" s="4"/>
      <c r="BM1018" s="4"/>
      <c r="BN1018" s="4"/>
      <c r="BO1018" s="4"/>
      <c r="BP1018" s="4"/>
      <c r="BQ1018" s="4"/>
      <c r="BR1018" s="4"/>
      <c r="BS1018" s="4"/>
      <c r="BT1018" s="4"/>
      <c r="BU1018" s="4"/>
    </row>
    <row r="1019" spans="29:73" s="1" customFormat="1" x14ac:dyDescent="0.25">
      <c r="AC1019" s="4"/>
      <c r="AD1019" s="4"/>
      <c r="AE1019" s="4"/>
      <c r="AF1019" s="4"/>
      <c r="AG1019" s="4"/>
      <c r="AH1019" s="4"/>
      <c r="AI1019" s="4"/>
      <c r="AJ1019" s="4"/>
      <c r="AK1019" s="4"/>
      <c r="AL1019" s="4"/>
      <c r="AM1019" s="4"/>
      <c r="AN1019" s="4"/>
      <c r="AO1019" s="4"/>
      <c r="AP1019" s="4"/>
      <c r="AQ1019" s="4"/>
      <c r="AR1019" s="4"/>
      <c r="AS1019" s="4"/>
      <c r="AT1019" s="4"/>
      <c r="AU1019" s="4"/>
      <c r="AV1019" s="4"/>
      <c r="AW1019" s="4"/>
      <c r="AX1019" s="4"/>
      <c r="AY1019" s="4"/>
      <c r="AZ1019" s="4"/>
      <c r="BA1019" s="4"/>
      <c r="BB1019" s="4"/>
      <c r="BC1019" s="4"/>
      <c r="BD1019" s="4"/>
      <c r="BE1019" s="4"/>
      <c r="BF1019" s="4"/>
      <c r="BG1019" s="4"/>
      <c r="BH1019" s="4"/>
      <c r="BI1019" s="4"/>
      <c r="BJ1019" s="4"/>
      <c r="BK1019" s="4"/>
      <c r="BL1019" s="4"/>
      <c r="BM1019" s="4"/>
      <c r="BN1019" s="4"/>
      <c r="BO1019" s="4"/>
      <c r="BP1019" s="4"/>
      <c r="BQ1019" s="4"/>
      <c r="BR1019" s="4"/>
      <c r="BS1019" s="4"/>
      <c r="BT1019" s="4"/>
      <c r="BU1019" s="4"/>
    </row>
    <row r="1020" spans="29:73" s="1" customFormat="1" x14ac:dyDescent="0.25">
      <c r="AC1020" s="4"/>
      <c r="AD1020" s="4"/>
      <c r="AE1020" s="4"/>
      <c r="AF1020" s="4"/>
      <c r="AG1020" s="4"/>
      <c r="AH1020" s="4"/>
      <c r="AI1020" s="4"/>
      <c r="AJ1020" s="4"/>
      <c r="AK1020" s="4"/>
      <c r="AL1020" s="4"/>
      <c r="AM1020" s="4"/>
      <c r="AN1020" s="4"/>
      <c r="AO1020" s="4"/>
      <c r="AP1020" s="4"/>
      <c r="AQ1020" s="4"/>
      <c r="AR1020" s="4"/>
      <c r="AS1020" s="4"/>
      <c r="AT1020" s="4"/>
      <c r="AU1020" s="4"/>
      <c r="AV1020" s="4"/>
      <c r="AW1020" s="4"/>
      <c r="AX1020" s="4"/>
      <c r="AY1020" s="4"/>
      <c r="AZ1020" s="4"/>
      <c r="BA1020" s="4"/>
      <c r="BB1020" s="4"/>
      <c r="BC1020" s="4"/>
      <c r="BD1020" s="4"/>
      <c r="BE1020" s="4"/>
      <c r="BF1020" s="4"/>
      <c r="BG1020" s="4"/>
      <c r="BH1020" s="4"/>
      <c r="BI1020" s="4"/>
      <c r="BJ1020" s="4"/>
      <c r="BK1020" s="4"/>
      <c r="BL1020" s="4"/>
      <c r="BM1020" s="4"/>
      <c r="BN1020" s="4"/>
      <c r="BO1020" s="4"/>
      <c r="BP1020" s="4"/>
      <c r="BQ1020" s="4"/>
      <c r="BR1020" s="4"/>
      <c r="BS1020" s="4"/>
      <c r="BT1020" s="4"/>
      <c r="BU1020" s="4"/>
    </row>
    <row r="1021" spans="29:73" s="1" customFormat="1" x14ac:dyDescent="0.25">
      <c r="AC1021" s="4"/>
      <c r="AD1021" s="4"/>
      <c r="AE1021" s="4"/>
      <c r="AF1021" s="4"/>
      <c r="AG1021" s="4"/>
      <c r="AH1021" s="4"/>
      <c r="AI1021" s="4"/>
      <c r="AJ1021" s="4"/>
      <c r="AK1021" s="4"/>
      <c r="AL1021" s="4"/>
      <c r="AM1021" s="4"/>
      <c r="AN1021" s="4"/>
      <c r="AO1021" s="4"/>
      <c r="AP1021" s="4"/>
      <c r="AQ1021" s="4"/>
      <c r="AR1021" s="4"/>
      <c r="AS1021" s="4"/>
      <c r="AT1021" s="4"/>
      <c r="AU1021" s="4"/>
      <c r="AV1021" s="4"/>
      <c r="AW1021" s="4"/>
      <c r="AX1021" s="4"/>
      <c r="AY1021" s="4"/>
      <c r="AZ1021" s="4"/>
      <c r="BA1021" s="4"/>
      <c r="BB1021" s="4"/>
      <c r="BC1021" s="4"/>
      <c r="BD1021" s="4"/>
      <c r="BE1021" s="4"/>
      <c r="BF1021" s="4"/>
      <c r="BG1021" s="4"/>
      <c r="BH1021" s="4"/>
      <c r="BI1021" s="4"/>
      <c r="BJ1021" s="4"/>
      <c r="BK1021" s="4"/>
      <c r="BL1021" s="4"/>
      <c r="BM1021" s="4"/>
      <c r="BN1021" s="4"/>
      <c r="BO1021" s="4"/>
      <c r="BP1021" s="4"/>
      <c r="BQ1021" s="4"/>
      <c r="BR1021" s="4"/>
      <c r="BS1021" s="4"/>
      <c r="BT1021" s="4"/>
      <c r="BU1021" s="4"/>
    </row>
    <row r="1022" spans="29:73" s="1" customFormat="1" x14ac:dyDescent="0.25">
      <c r="AC1022" s="4"/>
      <c r="AD1022" s="4"/>
      <c r="AE1022" s="4"/>
      <c r="AF1022" s="4"/>
      <c r="AG1022" s="4"/>
      <c r="AH1022" s="4"/>
      <c r="AI1022" s="4"/>
      <c r="AJ1022" s="4"/>
      <c r="AK1022" s="4"/>
      <c r="AL1022" s="4"/>
      <c r="AM1022" s="4"/>
      <c r="AN1022" s="4"/>
      <c r="AO1022" s="4"/>
      <c r="AP1022" s="4"/>
      <c r="AQ1022" s="4"/>
      <c r="AR1022" s="4"/>
      <c r="AS1022" s="4"/>
      <c r="AT1022" s="4"/>
      <c r="AU1022" s="4"/>
      <c r="AV1022" s="4"/>
      <c r="AW1022" s="4"/>
      <c r="AX1022" s="4"/>
      <c r="AY1022" s="4"/>
      <c r="AZ1022" s="4"/>
      <c r="BA1022" s="4"/>
      <c r="BB1022" s="4"/>
      <c r="BC1022" s="4"/>
      <c r="BD1022" s="4"/>
      <c r="BE1022" s="4"/>
      <c r="BF1022" s="4"/>
      <c r="BG1022" s="4"/>
      <c r="BH1022" s="4"/>
      <c r="BI1022" s="4"/>
      <c r="BJ1022" s="4"/>
      <c r="BK1022" s="4"/>
      <c r="BL1022" s="4"/>
      <c r="BM1022" s="4"/>
      <c r="BN1022" s="4"/>
      <c r="BO1022" s="4"/>
      <c r="BP1022" s="4"/>
      <c r="BQ1022" s="4"/>
      <c r="BR1022" s="4"/>
      <c r="BS1022" s="4"/>
      <c r="BT1022" s="4"/>
      <c r="BU1022" s="4"/>
    </row>
    <row r="1023" spans="29:73" s="1" customFormat="1" x14ac:dyDescent="0.25">
      <c r="AC1023" s="4"/>
      <c r="AD1023" s="4"/>
      <c r="AE1023" s="4"/>
      <c r="AF1023" s="4"/>
      <c r="AG1023" s="4"/>
      <c r="AH1023" s="4"/>
      <c r="AI1023" s="4"/>
      <c r="AJ1023" s="4"/>
      <c r="AK1023" s="4"/>
      <c r="AL1023" s="4"/>
      <c r="AM1023" s="4"/>
      <c r="AN1023" s="4"/>
      <c r="AO1023" s="4"/>
      <c r="AP1023" s="4"/>
      <c r="AQ1023" s="4"/>
      <c r="AR1023" s="4"/>
      <c r="AS1023" s="4"/>
      <c r="AT1023" s="4"/>
      <c r="AU1023" s="4"/>
      <c r="AV1023" s="4"/>
      <c r="AW1023" s="4"/>
      <c r="AX1023" s="4"/>
      <c r="AY1023" s="4"/>
      <c r="AZ1023" s="4"/>
      <c r="BA1023" s="4"/>
      <c r="BB1023" s="4"/>
      <c r="BC1023" s="4"/>
      <c r="BD1023" s="4"/>
      <c r="BE1023" s="4"/>
      <c r="BF1023" s="4"/>
      <c r="BG1023" s="4"/>
      <c r="BH1023" s="4"/>
      <c r="BI1023" s="4"/>
      <c r="BJ1023" s="4"/>
      <c r="BK1023" s="4"/>
      <c r="BL1023" s="4"/>
      <c r="BM1023" s="4"/>
      <c r="BN1023" s="4"/>
      <c r="BO1023" s="4"/>
      <c r="BP1023" s="4"/>
      <c r="BQ1023" s="4"/>
      <c r="BR1023" s="4"/>
      <c r="BS1023" s="4"/>
      <c r="BT1023" s="4"/>
      <c r="BU1023" s="4"/>
    </row>
    <row r="1024" spans="29:73" s="1" customFormat="1" x14ac:dyDescent="0.25">
      <c r="AC1024" s="4"/>
      <c r="AD1024" s="4"/>
      <c r="AE1024" s="4"/>
      <c r="AF1024" s="4"/>
      <c r="AG1024" s="4"/>
      <c r="AH1024" s="4"/>
      <c r="AI1024" s="4"/>
      <c r="AJ1024" s="4"/>
      <c r="AK1024" s="4"/>
      <c r="AL1024" s="4"/>
      <c r="AM1024" s="4"/>
      <c r="AN1024" s="4"/>
      <c r="AO1024" s="4"/>
      <c r="AP1024" s="4"/>
      <c r="AQ1024" s="4"/>
      <c r="AR1024" s="4"/>
      <c r="AS1024" s="4"/>
      <c r="AT1024" s="4"/>
      <c r="AU1024" s="4"/>
      <c r="AV1024" s="4"/>
      <c r="AW1024" s="4"/>
      <c r="AX1024" s="4"/>
      <c r="AY1024" s="4"/>
      <c r="AZ1024" s="4"/>
      <c r="BA1024" s="4"/>
      <c r="BB1024" s="4"/>
      <c r="BC1024" s="4"/>
      <c r="BD1024" s="4"/>
      <c r="BE1024" s="4"/>
      <c r="BF1024" s="4"/>
      <c r="BG1024" s="4"/>
      <c r="BH1024" s="4"/>
      <c r="BI1024" s="4"/>
      <c r="BJ1024" s="4"/>
      <c r="BK1024" s="4"/>
      <c r="BL1024" s="4"/>
      <c r="BM1024" s="4"/>
      <c r="BN1024" s="4"/>
      <c r="BO1024" s="4"/>
      <c r="BP1024" s="4"/>
      <c r="BQ1024" s="4"/>
      <c r="BR1024" s="4"/>
      <c r="BS1024" s="4"/>
      <c r="BT1024" s="4"/>
      <c r="BU1024" s="4"/>
    </row>
    <row r="1025" spans="29:73" s="1" customFormat="1" x14ac:dyDescent="0.25">
      <c r="AC1025" s="4"/>
      <c r="AD1025" s="4"/>
      <c r="AE1025" s="4"/>
      <c r="AF1025" s="4"/>
      <c r="AG1025" s="4"/>
      <c r="AH1025" s="4"/>
      <c r="AI1025" s="4"/>
      <c r="AJ1025" s="4"/>
      <c r="AK1025" s="4"/>
      <c r="AL1025" s="4"/>
      <c r="AM1025" s="4"/>
      <c r="AN1025" s="4"/>
      <c r="AO1025" s="4"/>
      <c r="AP1025" s="4"/>
      <c r="AQ1025" s="4"/>
      <c r="AR1025" s="4"/>
      <c r="AS1025" s="4"/>
      <c r="AT1025" s="4"/>
      <c r="AU1025" s="4"/>
      <c r="AV1025" s="4"/>
      <c r="AW1025" s="4"/>
      <c r="AX1025" s="4"/>
      <c r="AY1025" s="4"/>
      <c r="AZ1025" s="4"/>
      <c r="BA1025" s="4"/>
      <c r="BB1025" s="4"/>
      <c r="BC1025" s="4"/>
      <c r="BD1025" s="4"/>
      <c r="BE1025" s="4"/>
      <c r="BF1025" s="4"/>
      <c r="BG1025" s="4"/>
      <c r="BH1025" s="4"/>
      <c r="BI1025" s="4"/>
      <c r="BJ1025" s="4"/>
      <c r="BK1025" s="4"/>
      <c r="BL1025" s="4"/>
      <c r="BM1025" s="4"/>
      <c r="BN1025" s="4"/>
      <c r="BO1025" s="4"/>
      <c r="BP1025" s="4"/>
      <c r="BQ1025" s="4"/>
      <c r="BR1025" s="4"/>
      <c r="BS1025" s="4"/>
      <c r="BT1025" s="4"/>
      <c r="BU1025" s="4"/>
    </row>
    <row r="1026" spans="29:73" s="1" customFormat="1" x14ac:dyDescent="0.25">
      <c r="AC1026" s="4"/>
      <c r="AD1026" s="4"/>
      <c r="AE1026" s="4"/>
      <c r="AF1026" s="4"/>
      <c r="AG1026" s="4"/>
      <c r="AH1026" s="4"/>
      <c r="AI1026" s="4"/>
      <c r="AJ1026" s="4"/>
      <c r="AK1026" s="4"/>
      <c r="AL1026" s="4"/>
      <c r="AM1026" s="4"/>
      <c r="AN1026" s="4"/>
      <c r="AO1026" s="4"/>
      <c r="AP1026" s="4"/>
      <c r="AQ1026" s="4"/>
      <c r="AR1026" s="4"/>
      <c r="AS1026" s="4"/>
      <c r="AT1026" s="4"/>
      <c r="AU1026" s="4"/>
      <c r="AV1026" s="4"/>
      <c r="AW1026" s="4"/>
      <c r="AX1026" s="4"/>
      <c r="AY1026" s="4"/>
      <c r="AZ1026" s="4"/>
      <c r="BA1026" s="4"/>
      <c r="BB1026" s="4"/>
      <c r="BC1026" s="4"/>
      <c r="BD1026" s="4"/>
      <c r="BE1026" s="4"/>
      <c r="BF1026" s="4"/>
      <c r="BG1026" s="4"/>
      <c r="BH1026" s="4"/>
      <c r="BI1026" s="4"/>
      <c r="BJ1026" s="4"/>
      <c r="BK1026" s="4"/>
      <c r="BL1026" s="4"/>
      <c r="BM1026" s="4"/>
      <c r="BN1026" s="4"/>
      <c r="BO1026" s="4"/>
      <c r="BP1026" s="4"/>
      <c r="BQ1026" s="4"/>
      <c r="BR1026" s="4"/>
      <c r="BS1026" s="4"/>
      <c r="BT1026" s="4"/>
      <c r="BU1026" s="4"/>
    </row>
    <row r="1027" spans="29:73" s="1" customFormat="1" x14ac:dyDescent="0.25">
      <c r="AC1027" s="4"/>
      <c r="AD1027" s="4"/>
      <c r="AE1027" s="4"/>
      <c r="AF1027" s="4"/>
      <c r="AG1027" s="4"/>
      <c r="AH1027" s="4"/>
      <c r="AI1027" s="4"/>
      <c r="AJ1027" s="4"/>
      <c r="AK1027" s="4"/>
      <c r="AL1027" s="4"/>
      <c r="AM1027" s="4"/>
      <c r="AN1027" s="4"/>
      <c r="AO1027" s="4"/>
      <c r="AP1027" s="4"/>
      <c r="AQ1027" s="4"/>
      <c r="AR1027" s="4"/>
      <c r="AS1027" s="4"/>
      <c r="AT1027" s="4"/>
      <c r="AU1027" s="4"/>
      <c r="AV1027" s="4"/>
      <c r="AW1027" s="4"/>
      <c r="AX1027" s="4"/>
      <c r="AY1027" s="4"/>
      <c r="AZ1027" s="4"/>
      <c r="BA1027" s="4"/>
      <c r="BB1027" s="4"/>
      <c r="BC1027" s="4"/>
      <c r="BD1027" s="4"/>
      <c r="BE1027" s="4"/>
      <c r="BF1027" s="4"/>
      <c r="BG1027" s="4"/>
      <c r="BH1027" s="4"/>
      <c r="BI1027" s="4"/>
      <c r="BJ1027" s="4"/>
      <c r="BK1027" s="4"/>
      <c r="BL1027" s="4"/>
      <c r="BM1027" s="4"/>
      <c r="BN1027" s="4"/>
      <c r="BO1027" s="4"/>
      <c r="BP1027" s="4"/>
      <c r="BQ1027" s="4"/>
      <c r="BR1027" s="4"/>
      <c r="BS1027" s="4"/>
      <c r="BT1027" s="4"/>
      <c r="BU1027" s="4"/>
    </row>
    <row r="1028" spans="29:73" s="1" customFormat="1" x14ac:dyDescent="0.25">
      <c r="AC1028" s="4"/>
      <c r="AD1028" s="4"/>
      <c r="AE1028" s="4"/>
      <c r="AF1028" s="4"/>
      <c r="AG1028" s="4"/>
      <c r="AH1028" s="4"/>
      <c r="AI1028" s="4"/>
      <c r="AJ1028" s="4"/>
      <c r="AK1028" s="4"/>
      <c r="AL1028" s="4"/>
      <c r="AM1028" s="4"/>
      <c r="AN1028" s="4"/>
      <c r="AO1028" s="4"/>
      <c r="AP1028" s="4"/>
      <c r="AQ1028" s="4"/>
      <c r="AR1028" s="4"/>
      <c r="AS1028" s="4"/>
      <c r="AT1028" s="4"/>
      <c r="AU1028" s="4"/>
      <c r="AV1028" s="4"/>
      <c r="AW1028" s="4"/>
      <c r="AX1028" s="4"/>
      <c r="AY1028" s="4"/>
      <c r="AZ1028" s="4"/>
      <c r="BA1028" s="4"/>
      <c r="BB1028" s="4"/>
      <c r="BC1028" s="4"/>
      <c r="BD1028" s="4"/>
      <c r="BE1028" s="4"/>
      <c r="BF1028" s="4"/>
      <c r="BG1028" s="4"/>
      <c r="BH1028" s="4"/>
      <c r="BI1028" s="4"/>
      <c r="BJ1028" s="4"/>
      <c r="BK1028" s="4"/>
      <c r="BL1028" s="4"/>
      <c r="BM1028" s="4"/>
      <c r="BN1028" s="4"/>
      <c r="BO1028" s="4"/>
      <c r="BP1028" s="4"/>
      <c r="BQ1028" s="4"/>
      <c r="BR1028" s="4"/>
      <c r="BS1028" s="4"/>
      <c r="BT1028" s="4"/>
      <c r="BU1028" s="4"/>
    </row>
    <row r="1029" spans="29:73" s="1" customFormat="1" x14ac:dyDescent="0.25">
      <c r="AC1029" s="4"/>
      <c r="AD1029" s="4"/>
      <c r="AE1029" s="4"/>
      <c r="AF1029" s="4"/>
      <c r="AG1029" s="4"/>
      <c r="AH1029" s="4"/>
      <c r="AI1029" s="4"/>
      <c r="AJ1029" s="4"/>
      <c r="AK1029" s="4"/>
      <c r="AL1029" s="4"/>
      <c r="AM1029" s="4"/>
      <c r="AN1029" s="4"/>
      <c r="AO1029" s="4"/>
      <c r="AP1029" s="4"/>
      <c r="AQ1029" s="4"/>
      <c r="AR1029" s="4"/>
      <c r="AS1029" s="4"/>
      <c r="AT1029" s="4"/>
      <c r="AU1029" s="4"/>
      <c r="AV1029" s="4"/>
      <c r="AW1029" s="4"/>
      <c r="AX1029" s="4"/>
      <c r="AY1029" s="4"/>
      <c r="AZ1029" s="4"/>
      <c r="BA1029" s="4"/>
      <c r="BB1029" s="4"/>
      <c r="BC1029" s="4"/>
      <c r="BD1029" s="4"/>
      <c r="BE1029" s="4"/>
      <c r="BF1029" s="4"/>
      <c r="BG1029" s="4"/>
      <c r="BH1029" s="4"/>
      <c r="BI1029" s="4"/>
      <c r="BJ1029" s="4"/>
      <c r="BK1029" s="4"/>
      <c r="BL1029" s="4"/>
      <c r="BM1029" s="4"/>
      <c r="BN1029" s="4"/>
      <c r="BO1029" s="4"/>
      <c r="BP1029" s="4"/>
      <c r="BQ1029" s="4"/>
      <c r="BR1029" s="4"/>
      <c r="BS1029" s="4"/>
      <c r="BT1029" s="4"/>
      <c r="BU1029" s="4"/>
    </row>
    <row r="1030" spans="29:73" s="1" customFormat="1" x14ac:dyDescent="0.25">
      <c r="AC1030" s="4"/>
      <c r="AD1030" s="4"/>
      <c r="AE1030" s="4"/>
      <c r="AF1030" s="4"/>
      <c r="AG1030" s="4"/>
      <c r="AH1030" s="4"/>
      <c r="AI1030" s="4"/>
      <c r="AJ1030" s="4"/>
      <c r="AK1030" s="4"/>
      <c r="AL1030" s="4"/>
      <c r="AM1030" s="4"/>
      <c r="AN1030" s="4"/>
      <c r="AO1030" s="4"/>
      <c r="AP1030" s="4"/>
      <c r="AQ1030" s="4"/>
      <c r="AR1030" s="4"/>
      <c r="AS1030" s="4"/>
      <c r="AT1030" s="4"/>
      <c r="AU1030" s="4"/>
      <c r="AV1030" s="4"/>
      <c r="AW1030" s="4"/>
      <c r="AX1030" s="4"/>
      <c r="AY1030" s="4"/>
      <c r="AZ1030" s="4"/>
      <c r="BA1030" s="4"/>
      <c r="BB1030" s="4"/>
      <c r="BC1030" s="4"/>
      <c r="BD1030" s="4"/>
      <c r="BE1030" s="4"/>
      <c r="BF1030" s="4"/>
      <c r="BG1030" s="4"/>
      <c r="BH1030" s="4"/>
      <c r="BI1030" s="4"/>
      <c r="BJ1030" s="4"/>
      <c r="BK1030" s="4"/>
      <c r="BL1030" s="4"/>
      <c r="BM1030" s="4"/>
      <c r="BN1030" s="4"/>
      <c r="BO1030" s="4"/>
      <c r="BP1030" s="4"/>
      <c r="BQ1030" s="4"/>
      <c r="BR1030" s="4"/>
      <c r="BS1030" s="4"/>
      <c r="BT1030" s="4"/>
      <c r="BU1030" s="4"/>
    </row>
    <row r="1031" spans="29:73" s="1" customFormat="1" x14ac:dyDescent="0.25">
      <c r="AC1031" s="4"/>
      <c r="AD1031" s="4"/>
      <c r="AE1031" s="4"/>
      <c r="AF1031" s="4"/>
      <c r="AG1031" s="4"/>
      <c r="AH1031" s="4"/>
      <c r="AI1031" s="4"/>
      <c r="AJ1031" s="4"/>
      <c r="AK1031" s="4"/>
      <c r="AL1031" s="4"/>
      <c r="AM1031" s="4"/>
      <c r="AN1031" s="4"/>
      <c r="AO1031" s="4"/>
      <c r="AP1031" s="4"/>
      <c r="AQ1031" s="4"/>
      <c r="AR1031" s="4"/>
      <c r="AS1031" s="4"/>
      <c r="AT1031" s="4"/>
      <c r="AU1031" s="4"/>
      <c r="AV1031" s="4"/>
      <c r="AW1031" s="4"/>
      <c r="AX1031" s="4"/>
      <c r="AY1031" s="4"/>
      <c r="AZ1031" s="4"/>
      <c r="BA1031" s="4"/>
      <c r="BB1031" s="4"/>
      <c r="BC1031" s="4"/>
      <c r="BD1031" s="4"/>
      <c r="BE1031" s="4"/>
      <c r="BF1031" s="4"/>
      <c r="BG1031" s="4"/>
      <c r="BH1031" s="4"/>
      <c r="BI1031" s="4"/>
      <c r="BJ1031" s="4"/>
      <c r="BK1031" s="4"/>
      <c r="BL1031" s="4"/>
      <c r="BM1031" s="4"/>
      <c r="BN1031" s="4"/>
      <c r="BO1031" s="4"/>
      <c r="BP1031" s="4"/>
      <c r="BQ1031" s="4"/>
      <c r="BR1031" s="4"/>
      <c r="BS1031" s="4"/>
      <c r="BT1031" s="4"/>
      <c r="BU1031" s="4"/>
    </row>
    <row r="1032" spans="29:73" s="1" customFormat="1" x14ac:dyDescent="0.25">
      <c r="AC1032" s="4"/>
      <c r="AD1032" s="4"/>
      <c r="AE1032" s="4"/>
      <c r="AF1032" s="4"/>
      <c r="AG1032" s="4"/>
      <c r="AH1032" s="4"/>
      <c r="AI1032" s="4"/>
      <c r="AJ1032" s="4"/>
      <c r="AK1032" s="4"/>
      <c r="AL1032" s="4"/>
      <c r="AM1032" s="4"/>
      <c r="AN1032" s="4"/>
      <c r="AO1032" s="4"/>
      <c r="AP1032" s="4"/>
      <c r="AQ1032" s="4"/>
      <c r="AR1032" s="4"/>
      <c r="AS1032" s="4"/>
      <c r="AT1032" s="4"/>
      <c r="AU1032" s="4"/>
      <c r="AV1032" s="4"/>
      <c r="AW1032" s="4"/>
      <c r="AX1032" s="4"/>
      <c r="AY1032" s="4"/>
      <c r="AZ1032" s="4"/>
      <c r="BA1032" s="4"/>
      <c r="BB1032" s="4"/>
      <c r="BC1032" s="4"/>
      <c r="BD1032" s="4"/>
      <c r="BE1032" s="4"/>
      <c r="BF1032" s="4"/>
      <c r="BG1032" s="4"/>
      <c r="BH1032" s="4"/>
      <c r="BI1032" s="4"/>
      <c r="BJ1032" s="4"/>
      <c r="BK1032" s="4"/>
      <c r="BL1032" s="4"/>
      <c r="BM1032" s="4"/>
      <c r="BN1032" s="4"/>
      <c r="BO1032" s="4"/>
      <c r="BP1032" s="4"/>
      <c r="BQ1032" s="4"/>
      <c r="BR1032" s="4"/>
      <c r="BS1032" s="4"/>
      <c r="BT1032" s="4"/>
      <c r="BU1032" s="4"/>
    </row>
    <row r="1033" spans="29:73" s="1" customFormat="1" x14ac:dyDescent="0.25">
      <c r="AC1033" s="4"/>
      <c r="AD1033" s="4"/>
      <c r="AE1033" s="4"/>
      <c r="AF1033" s="4"/>
      <c r="AG1033" s="4"/>
      <c r="AH1033" s="4"/>
      <c r="AI1033" s="4"/>
      <c r="AJ1033" s="4"/>
      <c r="AK1033" s="4"/>
      <c r="AL1033" s="4"/>
      <c r="AM1033" s="4"/>
      <c r="AN1033" s="4"/>
      <c r="AO1033" s="4"/>
      <c r="AP1033" s="4"/>
      <c r="AQ1033" s="4"/>
      <c r="AR1033" s="4"/>
      <c r="AS1033" s="4"/>
      <c r="AT1033" s="4"/>
      <c r="AU1033" s="4"/>
      <c r="AV1033" s="4"/>
      <c r="AW1033" s="4"/>
      <c r="AX1033" s="4"/>
      <c r="AY1033" s="4"/>
      <c r="AZ1033" s="4"/>
      <c r="BA1033" s="4"/>
      <c r="BB1033" s="4"/>
      <c r="BC1033" s="4"/>
      <c r="BD1033" s="4"/>
      <c r="BE1033" s="4"/>
      <c r="BF1033" s="4"/>
      <c r="BG1033" s="4"/>
      <c r="BH1033" s="4"/>
      <c r="BI1033" s="4"/>
      <c r="BJ1033" s="4"/>
      <c r="BK1033" s="4"/>
      <c r="BL1033" s="4"/>
      <c r="BM1033" s="4"/>
      <c r="BN1033" s="4"/>
      <c r="BO1033" s="4"/>
      <c r="BP1033" s="4"/>
      <c r="BQ1033" s="4"/>
      <c r="BR1033" s="4"/>
      <c r="BS1033" s="4"/>
      <c r="BT1033" s="4"/>
      <c r="BU1033" s="4"/>
    </row>
    <row r="1034" spans="29:73" s="1" customFormat="1" x14ac:dyDescent="0.25">
      <c r="AC1034" s="4"/>
      <c r="AD1034" s="4"/>
      <c r="AE1034" s="4"/>
      <c r="AF1034" s="4"/>
      <c r="AG1034" s="4"/>
      <c r="AH1034" s="4"/>
      <c r="AI1034" s="4"/>
      <c r="AJ1034" s="4"/>
      <c r="AK1034" s="4"/>
      <c r="AL1034" s="4"/>
      <c r="AM1034" s="4"/>
      <c r="AN1034" s="4"/>
      <c r="AO1034" s="4"/>
      <c r="AP1034" s="4"/>
      <c r="AQ1034" s="4"/>
      <c r="AR1034" s="4"/>
      <c r="AS1034" s="4"/>
      <c r="AT1034" s="4"/>
      <c r="AU1034" s="4"/>
      <c r="AV1034" s="4"/>
      <c r="AW1034" s="4"/>
      <c r="AX1034" s="4"/>
      <c r="AY1034" s="4"/>
      <c r="AZ1034" s="4"/>
      <c r="BA1034" s="4"/>
      <c r="BB1034" s="4"/>
      <c r="BC1034" s="4"/>
      <c r="BD1034" s="4"/>
      <c r="BE1034" s="4"/>
      <c r="BF1034" s="4"/>
      <c r="BG1034" s="4"/>
      <c r="BH1034" s="4"/>
      <c r="BI1034" s="4"/>
      <c r="BJ1034" s="4"/>
      <c r="BK1034" s="4"/>
      <c r="BL1034" s="4"/>
      <c r="BM1034" s="4"/>
      <c r="BN1034" s="4"/>
      <c r="BO1034" s="4"/>
      <c r="BP1034" s="4"/>
      <c r="BQ1034" s="4"/>
      <c r="BR1034" s="4"/>
      <c r="BS1034" s="4"/>
      <c r="BT1034" s="4"/>
      <c r="BU1034" s="4"/>
    </row>
    <row r="1035" spans="29:73" s="1" customFormat="1" x14ac:dyDescent="0.25">
      <c r="AC1035" s="4"/>
      <c r="AD1035" s="4"/>
      <c r="AE1035" s="4"/>
      <c r="AF1035" s="4"/>
      <c r="AG1035" s="4"/>
      <c r="AH1035" s="4"/>
      <c r="AI1035" s="4"/>
      <c r="AJ1035" s="4"/>
      <c r="AK1035" s="4"/>
      <c r="AL1035" s="4"/>
      <c r="AM1035" s="4"/>
      <c r="AN1035" s="4"/>
      <c r="AO1035" s="4"/>
      <c r="AP1035" s="4"/>
      <c r="AQ1035" s="4"/>
      <c r="AR1035" s="4"/>
      <c r="AS1035" s="4"/>
      <c r="AT1035" s="4"/>
      <c r="AU1035" s="4"/>
      <c r="AV1035" s="4"/>
      <c r="AW1035" s="4"/>
      <c r="AX1035" s="4"/>
      <c r="AY1035" s="4"/>
      <c r="AZ1035" s="4"/>
      <c r="BA1035" s="4"/>
      <c r="BB1035" s="4"/>
      <c r="BC1035" s="4"/>
      <c r="BD1035" s="4"/>
      <c r="BE1035" s="4"/>
      <c r="BF1035" s="4"/>
      <c r="BG1035" s="4"/>
      <c r="BH1035" s="4"/>
      <c r="BI1035" s="4"/>
      <c r="BJ1035" s="4"/>
      <c r="BK1035" s="4"/>
      <c r="BL1035" s="4"/>
      <c r="BM1035" s="4"/>
      <c r="BN1035" s="4"/>
      <c r="BO1035" s="4"/>
      <c r="BP1035" s="4"/>
      <c r="BQ1035" s="4"/>
      <c r="BR1035" s="4"/>
      <c r="BS1035" s="4"/>
      <c r="BT1035" s="4"/>
      <c r="BU1035" s="4"/>
    </row>
    <row r="1036" spans="29:73" s="1" customFormat="1" x14ac:dyDescent="0.25">
      <c r="AC1036" s="4"/>
      <c r="AD1036" s="4"/>
      <c r="AE1036" s="4"/>
      <c r="AF1036" s="4"/>
      <c r="AG1036" s="4"/>
      <c r="AH1036" s="4"/>
      <c r="AI1036" s="4"/>
      <c r="AJ1036" s="4"/>
      <c r="AK1036" s="4"/>
      <c r="AL1036" s="4"/>
      <c r="AM1036" s="4"/>
      <c r="AN1036" s="4"/>
      <c r="AO1036" s="4"/>
      <c r="AP1036" s="4"/>
      <c r="AQ1036" s="4"/>
      <c r="AR1036" s="4"/>
      <c r="AS1036" s="4"/>
      <c r="AT1036" s="4"/>
      <c r="AU1036" s="4"/>
      <c r="AV1036" s="4"/>
      <c r="AW1036" s="4"/>
      <c r="AX1036" s="4"/>
      <c r="AY1036" s="4"/>
      <c r="AZ1036" s="4"/>
      <c r="BA1036" s="4"/>
      <c r="BB1036" s="4"/>
      <c r="BC1036" s="4"/>
      <c r="BD1036" s="4"/>
      <c r="BE1036" s="4"/>
      <c r="BF1036" s="4"/>
      <c r="BG1036" s="4"/>
      <c r="BH1036" s="4"/>
      <c r="BI1036" s="4"/>
      <c r="BJ1036" s="4"/>
      <c r="BK1036" s="4"/>
      <c r="BL1036" s="4"/>
      <c r="BM1036" s="4"/>
      <c r="BN1036" s="4"/>
      <c r="BO1036" s="4"/>
      <c r="BP1036" s="4"/>
      <c r="BQ1036" s="4"/>
      <c r="BR1036" s="4"/>
      <c r="BS1036" s="4"/>
      <c r="BT1036" s="4"/>
      <c r="BU1036" s="4"/>
    </row>
    <row r="1037" spans="29:73" s="1" customFormat="1" x14ac:dyDescent="0.25">
      <c r="AC1037" s="4"/>
      <c r="AD1037" s="4"/>
      <c r="AE1037" s="4"/>
      <c r="AF1037" s="4"/>
      <c r="AG1037" s="4"/>
      <c r="AH1037" s="4"/>
      <c r="AI1037" s="4"/>
      <c r="AJ1037" s="4"/>
      <c r="AK1037" s="4"/>
      <c r="AL1037" s="4"/>
      <c r="AM1037" s="4"/>
      <c r="AN1037" s="4"/>
      <c r="AO1037" s="4"/>
      <c r="AP1037" s="4"/>
      <c r="AQ1037" s="4"/>
      <c r="AR1037" s="4"/>
      <c r="AS1037" s="4"/>
      <c r="AT1037" s="4"/>
      <c r="AU1037" s="4"/>
      <c r="AV1037" s="4"/>
      <c r="AW1037" s="4"/>
      <c r="AX1037" s="4"/>
      <c r="AY1037" s="4"/>
      <c r="AZ1037" s="4"/>
      <c r="BA1037" s="4"/>
      <c r="BB1037" s="4"/>
      <c r="BC1037" s="4"/>
      <c r="BD1037" s="4"/>
      <c r="BE1037" s="4"/>
      <c r="BF1037" s="4"/>
      <c r="BG1037" s="4"/>
      <c r="BH1037" s="4"/>
      <c r="BI1037" s="4"/>
      <c r="BJ1037" s="4"/>
      <c r="BK1037" s="4"/>
      <c r="BL1037" s="4"/>
      <c r="BM1037" s="4"/>
      <c r="BN1037" s="4"/>
      <c r="BO1037" s="4"/>
      <c r="BP1037" s="4"/>
      <c r="BQ1037" s="4"/>
      <c r="BR1037" s="4"/>
      <c r="BS1037" s="4"/>
      <c r="BT1037" s="4"/>
      <c r="BU1037" s="4"/>
    </row>
    <row r="1038" spans="29:73" s="1" customFormat="1" x14ac:dyDescent="0.25">
      <c r="AC1038" s="4"/>
      <c r="AD1038" s="4"/>
      <c r="AE1038" s="4"/>
      <c r="AF1038" s="4"/>
      <c r="AG1038" s="4"/>
      <c r="AH1038" s="4"/>
      <c r="AI1038" s="4"/>
      <c r="AJ1038" s="4"/>
      <c r="AK1038" s="4"/>
      <c r="AL1038" s="4"/>
      <c r="AM1038" s="4"/>
      <c r="AN1038" s="4"/>
      <c r="AO1038" s="4"/>
      <c r="AP1038" s="4"/>
      <c r="AQ1038" s="4"/>
      <c r="AR1038" s="4"/>
      <c r="AS1038" s="4"/>
      <c r="AT1038" s="4"/>
      <c r="AU1038" s="4"/>
      <c r="AV1038" s="4"/>
      <c r="AW1038" s="4"/>
      <c r="AX1038" s="4"/>
      <c r="AY1038" s="4"/>
      <c r="AZ1038" s="4"/>
      <c r="BA1038" s="4"/>
      <c r="BB1038" s="4"/>
      <c r="BC1038" s="4"/>
      <c r="BD1038" s="4"/>
      <c r="BE1038" s="4"/>
      <c r="BF1038" s="4"/>
      <c r="BG1038" s="4"/>
      <c r="BH1038" s="4"/>
      <c r="BI1038" s="4"/>
      <c r="BJ1038" s="4"/>
      <c r="BK1038" s="4"/>
      <c r="BL1038" s="4"/>
      <c r="BM1038" s="4"/>
      <c r="BN1038" s="4"/>
      <c r="BO1038" s="4"/>
      <c r="BP1038" s="4"/>
      <c r="BQ1038" s="4"/>
      <c r="BR1038" s="4"/>
      <c r="BS1038" s="4"/>
      <c r="BT1038" s="4"/>
      <c r="BU1038" s="4"/>
    </row>
    <row r="1039" spans="29:73" s="1" customFormat="1" x14ac:dyDescent="0.25">
      <c r="AC1039" s="4"/>
      <c r="AD1039" s="4"/>
      <c r="AE1039" s="4"/>
      <c r="AF1039" s="4"/>
      <c r="AG1039" s="4"/>
      <c r="AH1039" s="4"/>
      <c r="AI1039" s="4"/>
      <c r="AJ1039" s="4"/>
      <c r="AK1039" s="4"/>
      <c r="AL1039" s="4"/>
      <c r="AM1039" s="4"/>
      <c r="AN1039" s="4"/>
      <c r="AO1039" s="4"/>
      <c r="AP1039" s="4"/>
      <c r="AQ1039" s="4"/>
      <c r="AR1039" s="4"/>
      <c r="AS1039" s="4"/>
      <c r="AT1039" s="4"/>
      <c r="AU1039" s="4"/>
      <c r="AV1039" s="4"/>
      <c r="AW1039" s="4"/>
      <c r="AX1039" s="4"/>
      <c r="AY1039" s="4"/>
      <c r="AZ1039" s="4"/>
      <c r="BA1039" s="4"/>
      <c r="BB1039" s="4"/>
      <c r="BC1039" s="4"/>
      <c r="BD1039" s="4"/>
      <c r="BE1039" s="4"/>
      <c r="BF1039" s="4"/>
      <c r="BG1039" s="4"/>
      <c r="BH1039" s="4"/>
      <c r="BI1039" s="4"/>
      <c r="BJ1039" s="4"/>
      <c r="BK1039" s="4"/>
      <c r="BL1039" s="4"/>
      <c r="BM1039" s="4"/>
      <c r="BN1039" s="4"/>
      <c r="BO1039" s="4"/>
      <c r="BP1039" s="4"/>
      <c r="BQ1039" s="4"/>
      <c r="BR1039" s="4"/>
      <c r="BS1039" s="4"/>
      <c r="BT1039" s="4"/>
      <c r="BU1039" s="4"/>
    </row>
    <row r="1040" spans="29:73" s="1" customFormat="1" x14ac:dyDescent="0.25">
      <c r="AC1040" s="4"/>
      <c r="AD1040" s="4"/>
      <c r="AE1040" s="4"/>
      <c r="AF1040" s="4"/>
      <c r="AG1040" s="4"/>
      <c r="AH1040" s="4"/>
      <c r="AI1040" s="4"/>
      <c r="AJ1040" s="4"/>
      <c r="AK1040" s="4"/>
      <c r="AL1040" s="4"/>
      <c r="AM1040" s="4"/>
      <c r="AN1040" s="4"/>
      <c r="AO1040" s="4"/>
      <c r="AP1040" s="4"/>
      <c r="AQ1040" s="4"/>
      <c r="AR1040" s="4"/>
      <c r="AS1040" s="4"/>
      <c r="AT1040" s="4"/>
      <c r="AU1040" s="4"/>
      <c r="AV1040" s="4"/>
      <c r="AW1040" s="4"/>
      <c r="AX1040" s="4"/>
      <c r="AY1040" s="4"/>
      <c r="AZ1040" s="4"/>
      <c r="BA1040" s="4"/>
      <c r="BB1040" s="4"/>
      <c r="BC1040" s="4"/>
      <c r="BD1040" s="4"/>
      <c r="BE1040" s="4"/>
      <c r="BF1040" s="4"/>
      <c r="BG1040" s="4"/>
      <c r="BH1040" s="4"/>
      <c r="BI1040" s="4"/>
      <c r="BJ1040" s="4"/>
      <c r="BK1040" s="4"/>
      <c r="BL1040" s="4"/>
      <c r="BM1040" s="4"/>
      <c r="BN1040" s="4"/>
      <c r="BO1040" s="4"/>
      <c r="BP1040" s="4"/>
      <c r="BQ1040" s="4"/>
      <c r="BR1040" s="4"/>
      <c r="BS1040" s="4"/>
      <c r="BT1040" s="4"/>
      <c r="BU1040" s="4"/>
    </row>
    <row r="1041" spans="29:73" s="1" customFormat="1" x14ac:dyDescent="0.25">
      <c r="AC1041" s="4"/>
      <c r="AD1041" s="4"/>
      <c r="AE1041" s="4"/>
      <c r="AF1041" s="4"/>
      <c r="AG1041" s="4"/>
      <c r="AH1041" s="4"/>
      <c r="AI1041" s="4"/>
      <c r="AJ1041" s="4"/>
      <c r="AK1041" s="4"/>
      <c r="AL1041" s="4"/>
      <c r="AM1041" s="4"/>
      <c r="AN1041" s="4"/>
      <c r="AO1041" s="4"/>
      <c r="AP1041" s="4"/>
      <c r="AQ1041" s="4"/>
      <c r="AR1041" s="4"/>
      <c r="AS1041" s="4"/>
      <c r="AT1041" s="4"/>
      <c r="AU1041" s="4"/>
      <c r="AV1041" s="4"/>
      <c r="AW1041" s="4"/>
      <c r="AX1041" s="4"/>
      <c r="AY1041" s="4"/>
      <c r="AZ1041" s="4"/>
      <c r="BA1041" s="4"/>
      <c r="BB1041" s="4"/>
      <c r="BC1041" s="4"/>
      <c r="BD1041" s="4"/>
      <c r="BE1041" s="4"/>
      <c r="BF1041" s="4"/>
      <c r="BG1041" s="4"/>
      <c r="BH1041" s="4"/>
      <c r="BI1041" s="4"/>
      <c r="BJ1041" s="4"/>
      <c r="BK1041" s="4"/>
      <c r="BL1041" s="4"/>
      <c r="BM1041" s="4"/>
      <c r="BN1041" s="4"/>
      <c r="BO1041" s="4"/>
      <c r="BP1041" s="4"/>
      <c r="BQ1041" s="4"/>
      <c r="BR1041" s="4"/>
      <c r="BS1041" s="4"/>
      <c r="BT1041" s="4"/>
      <c r="BU1041" s="4"/>
    </row>
    <row r="1042" spans="29:73" s="1" customFormat="1" x14ac:dyDescent="0.25">
      <c r="AC1042" s="4"/>
      <c r="AD1042" s="4"/>
      <c r="AE1042" s="4"/>
      <c r="AF1042" s="4"/>
      <c r="AG1042" s="4"/>
      <c r="AH1042" s="4"/>
      <c r="AI1042" s="4"/>
      <c r="AJ1042" s="4"/>
      <c r="AK1042" s="4"/>
      <c r="AL1042" s="4"/>
      <c r="AM1042" s="4"/>
      <c r="AN1042" s="4"/>
      <c r="AO1042" s="4"/>
      <c r="AP1042" s="4"/>
      <c r="AQ1042" s="4"/>
      <c r="AR1042" s="4"/>
      <c r="AS1042" s="4"/>
      <c r="AT1042" s="4"/>
      <c r="AU1042" s="4"/>
      <c r="AV1042" s="4"/>
      <c r="AW1042" s="4"/>
      <c r="AX1042" s="4"/>
      <c r="AY1042" s="4"/>
      <c r="AZ1042" s="4"/>
      <c r="BA1042" s="4"/>
      <c r="BB1042" s="4"/>
      <c r="BC1042" s="4"/>
      <c r="BD1042" s="4"/>
      <c r="BE1042" s="4"/>
      <c r="BF1042" s="4"/>
      <c r="BG1042" s="4"/>
      <c r="BH1042" s="4"/>
      <c r="BI1042" s="4"/>
      <c r="BJ1042" s="4"/>
      <c r="BK1042" s="4"/>
      <c r="BL1042" s="4"/>
      <c r="BM1042" s="4"/>
      <c r="BN1042" s="4"/>
      <c r="BO1042" s="4"/>
      <c r="BP1042" s="4"/>
      <c r="BQ1042" s="4"/>
      <c r="BR1042" s="4"/>
      <c r="BS1042" s="4"/>
      <c r="BT1042" s="4"/>
      <c r="BU1042" s="4"/>
    </row>
    <row r="1043" spans="29:73" s="1" customFormat="1" x14ac:dyDescent="0.25">
      <c r="AC1043" s="4"/>
      <c r="AD1043" s="4"/>
      <c r="AE1043" s="4"/>
      <c r="AF1043" s="4"/>
      <c r="AG1043" s="4"/>
      <c r="AH1043" s="4"/>
      <c r="AI1043" s="4"/>
      <c r="AJ1043" s="4"/>
      <c r="AK1043" s="4"/>
      <c r="AL1043" s="4"/>
      <c r="AM1043" s="4"/>
      <c r="AN1043" s="4"/>
      <c r="AO1043" s="4"/>
      <c r="AP1043" s="4"/>
      <c r="AQ1043" s="4"/>
      <c r="AR1043" s="4"/>
      <c r="AS1043" s="4"/>
      <c r="AT1043" s="4"/>
      <c r="AU1043" s="4"/>
      <c r="AV1043" s="4"/>
      <c r="AW1043" s="4"/>
      <c r="AX1043" s="4"/>
      <c r="AY1043" s="4"/>
      <c r="AZ1043" s="4"/>
      <c r="BA1043" s="4"/>
      <c r="BB1043" s="4"/>
      <c r="BC1043" s="4"/>
      <c r="BD1043" s="4"/>
      <c r="BE1043" s="4"/>
      <c r="BF1043" s="4"/>
      <c r="BG1043" s="4"/>
      <c r="BH1043" s="4"/>
      <c r="BI1043" s="4"/>
      <c r="BJ1043" s="4"/>
      <c r="BK1043" s="4"/>
      <c r="BL1043" s="4"/>
      <c r="BM1043" s="4"/>
      <c r="BN1043" s="4"/>
      <c r="BO1043" s="4"/>
      <c r="BP1043" s="4"/>
      <c r="BQ1043" s="4"/>
      <c r="BR1043" s="4"/>
      <c r="BS1043" s="4"/>
      <c r="BT1043" s="4"/>
      <c r="BU1043" s="4"/>
    </row>
    <row r="1044" spans="29:73" s="1" customFormat="1" x14ac:dyDescent="0.25">
      <c r="AC1044" s="4"/>
      <c r="AD1044" s="4"/>
      <c r="AE1044" s="4"/>
      <c r="AF1044" s="4"/>
      <c r="AG1044" s="4"/>
      <c r="AH1044" s="4"/>
      <c r="AI1044" s="4"/>
      <c r="AJ1044" s="4"/>
      <c r="AK1044" s="4"/>
      <c r="AL1044" s="4"/>
      <c r="AM1044" s="4"/>
      <c r="AN1044" s="4"/>
      <c r="AO1044" s="4"/>
      <c r="AP1044" s="4"/>
      <c r="AQ1044" s="4"/>
      <c r="AR1044" s="4"/>
      <c r="AS1044" s="4"/>
      <c r="AT1044" s="4"/>
      <c r="AU1044" s="4"/>
      <c r="AV1044" s="4"/>
      <c r="AW1044" s="4"/>
      <c r="AX1044" s="4"/>
      <c r="AY1044" s="4"/>
      <c r="AZ1044" s="4"/>
      <c r="BA1044" s="4"/>
      <c r="BB1044" s="4"/>
      <c r="BC1044" s="4"/>
      <c r="BD1044" s="4"/>
      <c r="BE1044" s="4"/>
      <c r="BF1044" s="4"/>
      <c r="BG1044" s="4"/>
      <c r="BH1044" s="4"/>
      <c r="BI1044" s="4"/>
      <c r="BJ1044" s="4"/>
      <c r="BK1044" s="4"/>
      <c r="BL1044" s="4"/>
      <c r="BM1044" s="4"/>
      <c r="BN1044" s="4"/>
      <c r="BO1044" s="4"/>
      <c r="BP1044" s="4"/>
      <c r="BQ1044" s="4"/>
      <c r="BR1044" s="4"/>
      <c r="BS1044" s="4"/>
      <c r="BT1044" s="4"/>
      <c r="BU1044" s="4"/>
    </row>
    <row r="1045" spans="29:73" s="1" customFormat="1" x14ac:dyDescent="0.25">
      <c r="AC1045" s="4"/>
      <c r="AD1045" s="4"/>
      <c r="AE1045" s="4"/>
      <c r="AF1045" s="4"/>
      <c r="AG1045" s="4"/>
      <c r="AH1045" s="4"/>
      <c r="AI1045" s="4"/>
      <c r="AJ1045" s="4"/>
      <c r="AK1045" s="4"/>
      <c r="AL1045" s="4"/>
      <c r="AM1045" s="4"/>
      <c r="AN1045" s="4"/>
      <c r="AO1045" s="4"/>
      <c r="AP1045" s="4"/>
      <c r="AQ1045" s="4"/>
      <c r="AR1045" s="4"/>
      <c r="AS1045" s="4"/>
      <c r="AT1045" s="4"/>
      <c r="AU1045" s="4"/>
      <c r="AV1045" s="4"/>
      <c r="AW1045" s="4"/>
      <c r="AX1045" s="4"/>
      <c r="AY1045" s="4"/>
      <c r="AZ1045" s="4"/>
      <c r="BA1045" s="4"/>
      <c r="BB1045" s="4"/>
      <c r="BC1045" s="4"/>
      <c r="BD1045" s="4"/>
      <c r="BE1045" s="4"/>
      <c r="BF1045" s="4"/>
      <c r="BG1045" s="4"/>
      <c r="BH1045" s="4"/>
      <c r="BI1045" s="4"/>
      <c r="BJ1045" s="4"/>
      <c r="BK1045" s="4"/>
      <c r="BL1045" s="4"/>
      <c r="BM1045" s="4"/>
      <c r="BN1045" s="4"/>
      <c r="BO1045" s="4"/>
      <c r="BP1045" s="4"/>
      <c r="BQ1045" s="4"/>
      <c r="BR1045" s="4"/>
      <c r="BS1045" s="4"/>
      <c r="BT1045" s="4"/>
      <c r="BU1045" s="4"/>
    </row>
    <row r="1046" spans="29:73" s="1" customFormat="1" x14ac:dyDescent="0.25">
      <c r="AC1046" s="4"/>
      <c r="AD1046" s="4"/>
      <c r="AE1046" s="4"/>
      <c r="AF1046" s="4"/>
      <c r="AG1046" s="4"/>
      <c r="AH1046" s="4"/>
      <c r="AI1046" s="4"/>
      <c r="AJ1046" s="4"/>
      <c r="AK1046" s="4"/>
      <c r="AL1046" s="4"/>
      <c r="AM1046" s="4"/>
      <c r="AN1046" s="4"/>
      <c r="AO1046" s="4"/>
      <c r="AP1046" s="4"/>
      <c r="AQ1046" s="4"/>
      <c r="AR1046" s="4"/>
      <c r="AS1046" s="4"/>
      <c r="AT1046" s="4"/>
      <c r="AU1046" s="4"/>
      <c r="AV1046" s="4"/>
      <c r="AW1046" s="4"/>
      <c r="AX1046" s="4"/>
      <c r="AY1046" s="4"/>
      <c r="AZ1046" s="4"/>
      <c r="BA1046" s="4"/>
      <c r="BB1046" s="4"/>
      <c r="BC1046" s="4"/>
      <c r="BD1046" s="4"/>
      <c r="BE1046" s="4"/>
      <c r="BF1046" s="4"/>
      <c r="BG1046" s="4"/>
      <c r="BH1046" s="4"/>
      <c r="BI1046" s="4"/>
      <c r="BJ1046" s="4"/>
      <c r="BK1046" s="4"/>
      <c r="BL1046" s="4"/>
      <c r="BM1046" s="4"/>
      <c r="BN1046" s="4"/>
      <c r="BO1046" s="4"/>
      <c r="BP1046" s="4"/>
      <c r="BQ1046" s="4"/>
      <c r="BR1046" s="4"/>
      <c r="BS1046" s="4"/>
      <c r="BT1046" s="4"/>
      <c r="BU1046" s="4"/>
    </row>
    <row r="1047" spans="29:73" s="1" customFormat="1" x14ac:dyDescent="0.25">
      <c r="AC1047" s="4"/>
      <c r="AD1047" s="4"/>
      <c r="AE1047" s="4"/>
      <c r="AF1047" s="4"/>
      <c r="AG1047" s="4"/>
      <c r="AH1047" s="4"/>
      <c r="AI1047" s="4"/>
      <c r="AJ1047" s="4"/>
      <c r="AK1047" s="4"/>
      <c r="AL1047" s="4"/>
      <c r="AM1047" s="4"/>
      <c r="AN1047" s="4"/>
      <c r="AO1047" s="4"/>
      <c r="AP1047" s="4"/>
      <c r="AQ1047" s="4"/>
      <c r="AR1047" s="4"/>
      <c r="AS1047" s="4"/>
      <c r="AT1047" s="4"/>
      <c r="AU1047" s="4"/>
      <c r="AV1047" s="4"/>
      <c r="AW1047" s="4"/>
      <c r="AX1047" s="4"/>
      <c r="AY1047" s="4"/>
      <c r="AZ1047" s="4"/>
      <c r="BA1047" s="4"/>
      <c r="BB1047" s="4"/>
      <c r="BC1047" s="4"/>
      <c r="BD1047" s="4"/>
      <c r="BE1047" s="4"/>
      <c r="BF1047" s="4"/>
      <c r="BG1047" s="4"/>
      <c r="BH1047" s="4"/>
      <c r="BI1047" s="4"/>
      <c r="BJ1047" s="4"/>
      <c r="BK1047" s="4"/>
      <c r="BL1047" s="4"/>
      <c r="BM1047" s="4"/>
      <c r="BN1047" s="4"/>
      <c r="BO1047" s="4"/>
      <c r="BP1047" s="4"/>
      <c r="BQ1047" s="4"/>
      <c r="BR1047" s="4"/>
      <c r="BS1047" s="4"/>
      <c r="BT1047" s="4"/>
      <c r="BU1047" s="4"/>
    </row>
    <row r="1048" spans="29:73" s="1" customFormat="1" x14ac:dyDescent="0.25">
      <c r="AC1048" s="4"/>
      <c r="AD1048" s="4"/>
      <c r="AE1048" s="4"/>
      <c r="AF1048" s="4"/>
      <c r="AG1048" s="4"/>
      <c r="AH1048" s="4"/>
      <c r="AI1048" s="4"/>
      <c r="AJ1048" s="4"/>
      <c r="AK1048" s="4"/>
      <c r="AL1048" s="4"/>
      <c r="AM1048" s="4"/>
      <c r="AN1048" s="4"/>
      <c r="AO1048" s="4"/>
      <c r="AP1048" s="4"/>
      <c r="AQ1048" s="4"/>
      <c r="AR1048" s="4"/>
      <c r="AS1048" s="4"/>
      <c r="AT1048" s="4"/>
      <c r="AU1048" s="4"/>
      <c r="AV1048" s="4"/>
      <c r="AW1048" s="4"/>
      <c r="AX1048" s="4"/>
      <c r="AY1048" s="4"/>
      <c r="AZ1048" s="4"/>
      <c r="BA1048" s="4"/>
      <c r="BB1048" s="4"/>
      <c r="BC1048" s="4"/>
      <c r="BD1048" s="4"/>
      <c r="BE1048" s="4"/>
      <c r="BF1048" s="4"/>
      <c r="BG1048" s="4"/>
      <c r="BH1048" s="4"/>
      <c r="BI1048" s="4"/>
      <c r="BJ1048" s="4"/>
      <c r="BK1048" s="4"/>
      <c r="BL1048" s="4"/>
      <c r="BM1048" s="4"/>
      <c r="BN1048" s="4"/>
      <c r="BO1048" s="4"/>
      <c r="BP1048" s="4"/>
      <c r="BQ1048" s="4"/>
      <c r="BR1048" s="4"/>
      <c r="BS1048" s="4"/>
      <c r="BT1048" s="4"/>
      <c r="BU1048" s="4"/>
    </row>
    <row r="1049" spans="29:73" s="1" customFormat="1" x14ac:dyDescent="0.25">
      <c r="AC1049" s="4"/>
      <c r="AD1049" s="4"/>
      <c r="AE1049" s="4"/>
      <c r="AF1049" s="4"/>
      <c r="AG1049" s="4"/>
      <c r="AH1049" s="4"/>
      <c r="AI1049" s="4"/>
      <c r="AJ1049" s="4"/>
      <c r="AK1049" s="4"/>
      <c r="AL1049" s="4"/>
      <c r="AM1049" s="4"/>
      <c r="AN1049" s="4"/>
      <c r="AO1049" s="4"/>
      <c r="AP1049" s="4"/>
      <c r="AQ1049" s="4"/>
      <c r="AR1049" s="4"/>
      <c r="AS1049" s="4"/>
      <c r="AT1049" s="4"/>
      <c r="AU1049" s="4"/>
      <c r="AV1049" s="4"/>
      <c r="AW1049" s="4"/>
      <c r="AX1049" s="4"/>
      <c r="AY1049" s="4"/>
      <c r="AZ1049" s="4"/>
      <c r="BA1049" s="4"/>
      <c r="BB1049" s="4"/>
      <c r="BC1049" s="4"/>
      <c r="BD1049" s="4"/>
      <c r="BE1049" s="4"/>
      <c r="BF1049" s="4"/>
      <c r="BG1049" s="4"/>
      <c r="BH1049" s="4"/>
      <c r="BI1049" s="4"/>
      <c r="BJ1049" s="4"/>
      <c r="BK1049" s="4"/>
      <c r="BL1049" s="4"/>
      <c r="BM1049" s="4"/>
      <c r="BN1049" s="4"/>
      <c r="BO1049" s="4"/>
      <c r="BP1049" s="4"/>
      <c r="BQ1049" s="4"/>
      <c r="BR1049" s="4"/>
      <c r="BS1049" s="4"/>
      <c r="BT1049" s="4"/>
      <c r="BU1049" s="4"/>
    </row>
    <row r="1050" spans="29:73" s="1" customFormat="1" x14ac:dyDescent="0.25">
      <c r="AC1050" s="4"/>
      <c r="AD1050" s="4"/>
      <c r="AE1050" s="4"/>
      <c r="AF1050" s="4"/>
      <c r="AG1050" s="4"/>
      <c r="AH1050" s="4"/>
      <c r="AI1050" s="4"/>
      <c r="AJ1050" s="4"/>
      <c r="AK1050" s="4"/>
      <c r="AL1050" s="4"/>
      <c r="AM1050" s="4"/>
      <c r="AN1050" s="4"/>
      <c r="AO1050" s="4"/>
      <c r="AP1050" s="4"/>
      <c r="AQ1050" s="4"/>
      <c r="AR1050" s="4"/>
      <c r="AS1050" s="4"/>
      <c r="AT1050" s="4"/>
      <c r="AU1050" s="4"/>
      <c r="AV1050" s="4"/>
      <c r="AW1050" s="4"/>
      <c r="AX1050" s="4"/>
      <c r="AY1050" s="4"/>
      <c r="AZ1050" s="4"/>
      <c r="BA1050" s="4"/>
      <c r="BB1050" s="4"/>
      <c r="BC1050" s="4"/>
      <c r="BD1050" s="4"/>
      <c r="BE1050" s="4"/>
      <c r="BF1050" s="4"/>
      <c r="BG1050" s="4"/>
      <c r="BH1050" s="4"/>
      <c r="BI1050" s="4"/>
      <c r="BJ1050" s="4"/>
      <c r="BK1050" s="4"/>
      <c r="BL1050" s="4"/>
      <c r="BM1050" s="4"/>
      <c r="BN1050" s="4"/>
      <c r="BO1050" s="4"/>
      <c r="BP1050" s="4"/>
      <c r="BQ1050" s="4"/>
      <c r="BR1050" s="4"/>
      <c r="BS1050" s="4"/>
      <c r="BT1050" s="4"/>
      <c r="BU1050" s="4"/>
    </row>
    <row r="1051" spans="29:73" s="1" customFormat="1" x14ac:dyDescent="0.25">
      <c r="AC1051" s="4"/>
      <c r="AD1051" s="4"/>
      <c r="AE1051" s="4"/>
      <c r="AF1051" s="4"/>
      <c r="AG1051" s="4"/>
      <c r="AH1051" s="4"/>
      <c r="AI1051" s="4"/>
      <c r="AJ1051" s="4"/>
      <c r="AK1051" s="4"/>
      <c r="AL1051" s="4"/>
      <c r="AM1051" s="4"/>
      <c r="AN1051" s="4"/>
      <c r="AO1051" s="4"/>
      <c r="AP1051" s="4"/>
      <c r="AQ1051" s="4"/>
      <c r="AR1051" s="4"/>
      <c r="AS1051" s="4"/>
      <c r="AT1051" s="4"/>
      <c r="AU1051" s="4"/>
      <c r="AV1051" s="4"/>
      <c r="AW1051" s="4"/>
      <c r="AX1051" s="4"/>
      <c r="AY1051" s="4"/>
      <c r="AZ1051" s="4"/>
      <c r="BA1051" s="4"/>
      <c r="BB1051" s="4"/>
      <c r="BC1051" s="4"/>
      <c r="BD1051" s="4"/>
      <c r="BE1051" s="4"/>
      <c r="BF1051" s="4"/>
      <c r="BG1051" s="4"/>
      <c r="BH1051" s="4"/>
      <c r="BI1051" s="4"/>
      <c r="BJ1051" s="4"/>
      <c r="BK1051" s="4"/>
      <c r="BL1051" s="4"/>
      <c r="BM1051" s="4"/>
      <c r="BN1051" s="4"/>
      <c r="BO1051" s="4"/>
      <c r="BP1051" s="4"/>
      <c r="BQ1051" s="4"/>
      <c r="BR1051" s="4"/>
      <c r="BS1051" s="4"/>
      <c r="BT1051" s="4"/>
      <c r="BU1051" s="4"/>
    </row>
    <row r="1052" spans="29:73" s="1" customFormat="1" x14ac:dyDescent="0.25">
      <c r="AC1052" s="4"/>
      <c r="AD1052" s="4"/>
      <c r="AE1052" s="4"/>
      <c r="AF1052" s="4"/>
      <c r="AG1052" s="4"/>
      <c r="AH1052" s="4"/>
      <c r="AI1052" s="4"/>
      <c r="AJ1052" s="4"/>
      <c r="AK1052" s="4"/>
      <c r="AL1052" s="4"/>
      <c r="AM1052" s="4"/>
      <c r="AN1052" s="4"/>
      <c r="AO1052" s="4"/>
      <c r="AP1052" s="4"/>
      <c r="AQ1052" s="4"/>
      <c r="AR1052" s="4"/>
      <c r="AS1052" s="4"/>
      <c r="AT1052" s="4"/>
      <c r="AU1052" s="4"/>
      <c r="AV1052" s="4"/>
      <c r="AW1052" s="4"/>
      <c r="AX1052" s="4"/>
      <c r="AY1052" s="4"/>
      <c r="AZ1052" s="4"/>
      <c r="BA1052" s="4"/>
      <c r="BB1052" s="4"/>
      <c r="BC1052" s="4"/>
      <c r="BD1052" s="4"/>
      <c r="BE1052" s="4"/>
      <c r="BF1052" s="4"/>
      <c r="BG1052" s="4"/>
      <c r="BH1052" s="4"/>
      <c r="BI1052" s="4"/>
      <c r="BJ1052" s="4"/>
      <c r="BK1052" s="4"/>
      <c r="BL1052" s="4"/>
      <c r="BM1052" s="4"/>
      <c r="BN1052" s="4"/>
      <c r="BO1052" s="4"/>
      <c r="BP1052" s="4"/>
      <c r="BQ1052" s="4"/>
      <c r="BR1052" s="4"/>
      <c r="BS1052" s="4"/>
      <c r="BT1052" s="4"/>
      <c r="BU1052" s="4"/>
    </row>
    <row r="1053" spans="29:73" s="1" customFormat="1" x14ac:dyDescent="0.25">
      <c r="AC1053" s="4"/>
      <c r="AD1053" s="4"/>
      <c r="AE1053" s="4"/>
      <c r="AF1053" s="4"/>
      <c r="AG1053" s="4"/>
      <c r="AH1053" s="4"/>
      <c r="AI1053" s="4"/>
      <c r="AJ1053" s="4"/>
      <c r="AK1053" s="4"/>
      <c r="AL1053" s="4"/>
      <c r="AM1053" s="4"/>
      <c r="AN1053" s="4"/>
      <c r="AO1053" s="4"/>
      <c r="AP1053" s="4"/>
      <c r="AQ1053" s="4"/>
      <c r="AR1053" s="4"/>
      <c r="AS1053" s="4"/>
      <c r="AT1053" s="4"/>
      <c r="AU1053" s="4"/>
      <c r="AV1053" s="4"/>
      <c r="AW1053" s="4"/>
      <c r="AX1053" s="4"/>
      <c r="AY1053" s="4"/>
      <c r="AZ1053" s="4"/>
      <c r="BA1053" s="4"/>
      <c r="BB1053" s="4"/>
      <c r="BC1053" s="4"/>
      <c r="BD1053" s="4"/>
      <c r="BE1053" s="4"/>
      <c r="BF1053" s="4"/>
      <c r="BG1053" s="4"/>
      <c r="BH1053" s="4"/>
      <c r="BI1053" s="4"/>
      <c r="BJ1053" s="4"/>
      <c r="BK1053" s="4"/>
      <c r="BL1053" s="4"/>
      <c r="BM1053" s="4"/>
      <c r="BN1053" s="4"/>
      <c r="BO1053" s="4"/>
      <c r="BP1053" s="4"/>
      <c r="BQ1053" s="4"/>
      <c r="BR1053" s="4"/>
      <c r="BS1053" s="4"/>
      <c r="BT1053" s="4"/>
      <c r="BU1053" s="4"/>
    </row>
    <row r="1054" spans="29:73" s="1" customFormat="1" x14ac:dyDescent="0.25">
      <c r="AC1054" s="4"/>
      <c r="AD1054" s="4"/>
      <c r="AE1054" s="4"/>
      <c r="AF1054" s="4"/>
      <c r="AG1054" s="4"/>
      <c r="AH1054" s="4"/>
      <c r="AI1054" s="4"/>
      <c r="AJ1054" s="4"/>
      <c r="AK1054" s="4"/>
      <c r="AL1054" s="4"/>
      <c r="AM1054" s="4"/>
      <c r="AN1054" s="4"/>
      <c r="AO1054" s="4"/>
      <c r="AP1054" s="4"/>
      <c r="AQ1054" s="4"/>
      <c r="AR1054" s="4"/>
      <c r="AS1054" s="4"/>
      <c r="AT1054" s="4"/>
      <c r="AU1054" s="4"/>
      <c r="AV1054" s="4"/>
      <c r="AW1054" s="4"/>
      <c r="AX1054" s="4"/>
      <c r="AY1054" s="4"/>
      <c r="AZ1054" s="4"/>
      <c r="BA1054" s="4"/>
      <c r="BB1054" s="4"/>
      <c r="BC1054" s="4"/>
      <c r="BD1054" s="4"/>
      <c r="BE1054" s="4"/>
      <c r="BF1054" s="4"/>
      <c r="BG1054" s="4"/>
      <c r="BH1054" s="4"/>
      <c r="BI1054" s="4"/>
      <c r="BJ1054" s="4"/>
      <c r="BK1054" s="4"/>
      <c r="BL1054" s="4"/>
      <c r="BM1054" s="4"/>
      <c r="BN1054" s="4"/>
      <c r="BO1054" s="4"/>
      <c r="BP1054" s="4"/>
      <c r="BQ1054" s="4"/>
      <c r="BR1054" s="4"/>
      <c r="BS1054" s="4"/>
      <c r="BT1054" s="4"/>
      <c r="BU1054" s="4"/>
    </row>
    <row r="1055" spans="29:73" s="1" customFormat="1" x14ac:dyDescent="0.25">
      <c r="AC1055" s="4"/>
      <c r="AD1055" s="4"/>
      <c r="AE1055" s="4"/>
      <c r="AF1055" s="4"/>
      <c r="AG1055" s="4"/>
      <c r="AH1055" s="4"/>
      <c r="AI1055" s="4"/>
      <c r="AJ1055" s="4"/>
      <c r="AK1055" s="4"/>
      <c r="AL1055" s="4"/>
      <c r="AM1055" s="4"/>
      <c r="AN1055" s="4"/>
      <c r="AO1055" s="4"/>
      <c r="AP1055" s="4"/>
      <c r="AQ1055" s="4"/>
      <c r="AR1055" s="4"/>
      <c r="AS1055" s="4"/>
      <c r="AT1055" s="4"/>
      <c r="AU1055" s="4"/>
      <c r="AV1055" s="4"/>
      <c r="AW1055" s="4"/>
      <c r="AX1055" s="4"/>
      <c r="AY1055" s="4"/>
      <c r="AZ1055" s="4"/>
      <c r="BA1055" s="4"/>
      <c r="BB1055" s="4"/>
      <c r="BC1055" s="4"/>
      <c r="BD1055" s="4"/>
      <c r="BE1055" s="4"/>
      <c r="BF1055" s="4"/>
      <c r="BG1055" s="4"/>
      <c r="BH1055" s="4"/>
      <c r="BI1055" s="4"/>
      <c r="BJ1055" s="4"/>
      <c r="BK1055" s="4"/>
      <c r="BL1055" s="4"/>
      <c r="BM1055" s="4"/>
      <c r="BN1055" s="4"/>
      <c r="BO1055" s="4"/>
      <c r="BP1055" s="4"/>
      <c r="BQ1055" s="4"/>
      <c r="BR1055" s="4"/>
      <c r="BS1055" s="4"/>
      <c r="BT1055" s="4"/>
      <c r="BU1055" s="4"/>
    </row>
    <row r="1056" spans="29:73" s="1" customFormat="1" x14ac:dyDescent="0.25">
      <c r="AC1056" s="4"/>
      <c r="AD1056" s="4"/>
      <c r="AE1056" s="4"/>
      <c r="AF1056" s="4"/>
      <c r="AG1056" s="4"/>
      <c r="AH1056" s="4"/>
      <c r="AI1056" s="4"/>
      <c r="AJ1056" s="4"/>
      <c r="AK1056" s="4"/>
      <c r="AL1056" s="4"/>
      <c r="AM1056" s="4"/>
      <c r="AN1056" s="4"/>
      <c r="AO1056" s="4"/>
      <c r="AP1056" s="4"/>
      <c r="AQ1056" s="4"/>
      <c r="AR1056" s="4"/>
      <c r="AS1056" s="4"/>
      <c r="AT1056" s="4"/>
      <c r="AU1056" s="4"/>
      <c r="AV1056" s="4"/>
      <c r="AW1056" s="4"/>
      <c r="AX1056" s="4"/>
      <c r="AY1056" s="4"/>
      <c r="AZ1056" s="4"/>
      <c r="BA1056" s="4"/>
      <c r="BB1056" s="4"/>
      <c r="BC1056" s="4"/>
      <c r="BD1056" s="4"/>
      <c r="BE1056" s="4"/>
      <c r="BF1056" s="4"/>
      <c r="BG1056" s="4"/>
      <c r="BH1056" s="4"/>
      <c r="BI1056" s="4"/>
      <c r="BJ1056" s="4"/>
      <c r="BK1056" s="4"/>
      <c r="BL1056" s="4"/>
      <c r="BM1056" s="4"/>
      <c r="BN1056" s="4"/>
      <c r="BO1056" s="4"/>
      <c r="BP1056" s="4"/>
      <c r="BQ1056" s="4"/>
      <c r="BR1056" s="4"/>
      <c r="BS1056" s="4"/>
      <c r="BT1056" s="4"/>
      <c r="BU1056" s="4"/>
    </row>
    <row r="1057" spans="29:73" s="1" customFormat="1" x14ac:dyDescent="0.25">
      <c r="AC1057" s="4"/>
      <c r="AD1057" s="4"/>
      <c r="AE1057" s="4"/>
      <c r="AF1057" s="4"/>
      <c r="AG1057" s="4"/>
      <c r="AH1057" s="4"/>
      <c r="AI1057" s="4"/>
      <c r="AJ1057" s="4"/>
      <c r="AK1057" s="4"/>
      <c r="AL1057" s="4"/>
      <c r="AM1057" s="4"/>
      <c r="AN1057" s="4"/>
      <c r="AO1057" s="4"/>
      <c r="AP1057" s="4"/>
      <c r="AQ1057" s="4"/>
      <c r="AR1057" s="4"/>
      <c r="AS1057" s="4"/>
      <c r="AT1057" s="4"/>
      <c r="AU1057" s="4"/>
      <c r="AV1057" s="4"/>
      <c r="AW1057" s="4"/>
      <c r="AX1057" s="4"/>
      <c r="AY1057" s="4"/>
      <c r="AZ1057" s="4"/>
      <c r="BA1057" s="4"/>
      <c r="BB1057" s="4"/>
      <c r="BC1057" s="4"/>
      <c r="BD1057" s="4"/>
      <c r="BE1057" s="4"/>
      <c r="BF1057" s="4"/>
      <c r="BG1057" s="4"/>
      <c r="BH1057" s="4"/>
      <c r="BI1057" s="4"/>
      <c r="BJ1057" s="4"/>
      <c r="BK1057" s="4"/>
      <c r="BL1057" s="4"/>
      <c r="BM1057" s="4"/>
      <c r="BN1057" s="4"/>
      <c r="BO1057" s="4"/>
      <c r="BP1057" s="4"/>
      <c r="BQ1057" s="4"/>
      <c r="BR1057" s="4"/>
      <c r="BS1057" s="4"/>
      <c r="BT1057" s="4"/>
      <c r="BU1057" s="4"/>
    </row>
    <row r="1058" spans="29:73" s="1" customFormat="1" x14ac:dyDescent="0.25">
      <c r="AC1058" s="4"/>
      <c r="AD1058" s="4"/>
      <c r="AE1058" s="4"/>
      <c r="AF1058" s="4"/>
      <c r="AG1058" s="4"/>
      <c r="AH1058" s="4"/>
      <c r="AI1058" s="4"/>
      <c r="AJ1058" s="4"/>
      <c r="AK1058" s="4"/>
      <c r="AL1058" s="4"/>
      <c r="AM1058" s="4"/>
      <c r="AN1058" s="4"/>
      <c r="AO1058" s="4"/>
      <c r="AP1058" s="4"/>
      <c r="AQ1058" s="4"/>
      <c r="AR1058" s="4"/>
      <c r="AS1058" s="4"/>
      <c r="AT1058" s="4"/>
      <c r="AU1058" s="4"/>
      <c r="AV1058" s="4"/>
      <c r="AW1058" s="4"/>
      <c r="AX1058" s="4"/>
      <c r="AY1058" s="4"/>
      <c r="AZ1058" s="4"/>
      <c r="BA1058" s="4"/>
      <c r="BB1058" s="4"/>
      <c r="BC1058" s="4"/>
      <c r="BD1058" s="4"/>
      <c r="BE1058" s="4"/>
      <c r="BF1058" s="4"/>
      <c r="BG1058" s="4"/>
      <c r="BH1058" s="4"/>
      <c r="BI1058" s="4"/>
      <c r="BJ1058" s="4"/>
      <c r="BK1058" s="4"/>
      <c r="BL1058" s="4"/>
      <c r="BM1058" s="4"/>
      <c r="BN1058" s="4"/>
      <c r="BO1058" s="4"/>
      <c r="BP1058" s="4"/>
      <c r="BQ1058" s="4"/>
      <c r="BR1058" s="4"/>
      <c r="BS1058" s="4"/>
      <c r="BT1058" s="4"/>
      <c r="BU1058" s="4"/>
    </row>
    <row r="1059" spans="29:73" s="1" customFormat="1" x14ac:dyDescent="0.25">
      <c r="AC1059" s="4"/>
      <c r="AD1059" s="4"/>
      <c r="AE1059" s="4"/>
      <c r="AF1059" s="4"/>
      <c r="AG1059" s="4"/>
      <c r="AH1059" s="4"/>
      <c r="AI1059" s="4"/>
      <c r="AJ1059" s="4"/>
      <c r="AK1059" s="4"/>
      <c r="AL1059" s="4"/>
      <c r="AM1059" s="4"/>
      <c r="AN1059" s="4"/>
      <c r="AO1059" s="4"/>
      <c r="AP1059" s="4"/>
      <c r="AQ1059" s="4"/>
      <c r="AR1059" s="4"/>
      <c r="AS1059" s="4"/>
      <c r="AT1059" s="4"/>
      <c r="AU1059" s="4"/>
      <c r="AV1059" s="4"/>
      <c r="AW1059" s="4"/>
      <c r="AX1059" s="4"/>
      <c r="AY1059" s="4"/>
      <c r="AZ1059" s="4"/>
      <c r="BA1059" s="4"/>
      <c r="BB1059" s="4"/>
      <c r="BC1059" s="4"/>
      <c r="BD1059" s="4"/>
      <c r="BE1059" s="4"/>
      <c r="BF1059" s="4"/>
      <c r="BG1059" s="4"/>
      <c r="BH1059" s="4"/>
      <c r="BI1059" s="4"/>
      <c r="BJ1059" s="4"/>
      <c r="BK1059" s="4"/>
      <c r="BL1059" s="4"/>
      <c r="BM1059" s="4"/>
      <c r="BN1059" s="4"/>
      <c r="BO1059" s="4"/>
      <c r="BP1059" s="4"/>
      <c r="BQ1059" s="4"/>
      <c r="BR1059" s="4"/>
      <c r="BS1059" s="4"/>
      <c r="BT1059" s="4"/>
      <c r="BU1059" s="4"/>
    </row>
    <row r="1060" spans="29:73" s="1" customFormat="1" x14ac:dyDescent="0.25">
      <c r="AC1060" s="4"/>
      <c r="AD1060" s="4"/>
      <c r="AE1060" s="4"/>
      <c r="AF1060" s="4"/>
      <c r="AG1060" s="4"/>
      <c r="AH1060" s="4"/>
      <c r="AI1060" s="4"/>
      <c r="AJ1060" s="4"/>
      <c r="AK1060" s="4"/>
      <c r="AL1060" s="4"/>
      <c r="AM1060" s="4"/>
      <c r="AN1060" s="4"/>
      <c r="AO1060" s="4"/>
      <c r="AP1060" s="4"/>
      <c r="AQ1060" s="4"/>
      <c r="AR1060" s="4"/>
      <c r="AS1060" s="4"/>
      <c r="AT1060" s="4"/>
      <c r="AU1060" s="4"/>
      <c r="AV1060" s="4"/>
      <c r="AW1060" s="4"/>
      <c r="AX1060" s="4"/>
      <c r="AY1060" s="4"/>
      <c r="AZ1060" s="4"/>
      <c r="BA1060" s="4"/>
      <c r="BB1060" s="4"/>
      <c r="BC1060" s="4"/>
      <c r="BD1060" s="4"/>
      <c r="BE1060" s="4"/>
      <c r="BF1060" s="4"/>
      <c r="BG1060" s="4"/>
      <c r="BH1060" s="4"/>
      <c r="BI1060" s="4"/>
      <c r="BJ1060" s="4"/>
      <c r="BK1060" s="4"/>
      <c r="BL1060" s="4"/>
      <c r="BM1060" s="4"/>
      <c r="BN1060" s="4"/>
      <c r="BO1060" s="4"/>
      <c r="BP1060" s="4"/>
      <c r="BQ1060" s="4"/>
      <c r="BR1060" s="4"/>
      <c r="BS1060" s="4"/>
      <c r="BT1060" s="4"/>
      <c r="BU1060" s="4"/>
    </row>
    <row r="1061" spans="29:73" s="1" customFormat="1" x14ac:dyDescent="0.25">
      <c r="AC1061" s="4"/>
      <c r="AD1061" s="4"/>
      <c r="AE1061" s="4"/>
      <c r="AF1061" s="4"/>
      <c r="AG1061" s="4"/>
      <c r="AH1061" s="4"/>
      <c r="AI1061" s="4"/>
      <c r="AJ1061" s="4"/>
      <c r="AK1061" s="4"/>
      <c r="AL1061" s="4"/>
      <c r="AM1061" s="4"/>
      <c r="AN1061" s="4"/>
      <c r="AO1061" s="4"/>
      <c r="AP1061" s="4"/>
      <c r="AQ1061" s="4"/>
      <c r="AR1061" s="4"/>
      <c r="AS1061" s="4"/>
      <c r="AT1061" s="4"/>
      <c r="AU1061" s="4"/>
      <c r="AV1061" s="4"/>
      <c r="AW1061" s="4"/>
      <c r="AX1061" s="4"/>
      <c r="AY1061" s="4"/>
      <c r="AZ1061" s="4"/>
      <c r="BA1061" s="4"/>
      <c r="BB1061" s="4"/>
      <c r="BC1061" s="4"/>
      <c r="BD1061" s="4"/>
      <c r="BE1061" s="4"/>
      <c r="BF1061" s="4"/>
      <c r="BG1061" s="4"/>
      <c r="BH1061" s="4"/>
      <c r="BI1061" s="4"/>
      <c r="BJ1061" s="4"/>
      <c r="BK1061" s="4"/>
      <c r="BL1061" s="4"/>
      <c r="BM1061" s="4"/>
      <c r="BN1061" s="4"/>
      <c r="BO1061" s="4"/>
      <c r="BP1061" s="4"/>
      <c r="BQ1061" s="4"/>
      <c r="BR1061" s="4"/>
      <c r="BS1061" s="4"/>
      <c r="BT1061" s="4"/>
      <c r="BU1061" s="4"/>
    </row>
    <row r="1062" spans="29:73" s="1" customFormat="1" x14ac:dyDescent="0.25">
      <c r="AC1062" s="4"/>
      <c r="AD1062" s="4"/>
      <c r="AE1062" s="4"/>
      <c r="AF1062" s="4"/>
      <c r="AG1062" s="4"/>
      <c r="AH1062" s="4"/>
      <c r="AI1062" s="4"/>
      <c r="AJ1062" s="4"/>
      <c r="AK1062" s="4"/>
      <c r="AL1062" s="4"/>
      <c r="AM1062" s="4"/>
      <c r="AN1062" s="4"/>
      <c r="AO1062" s="4"/>
      <c r="AP1062" s="4"/>
      <c r="AQ1062" s="4"/>
      <c r="AR1062" s="4"/>
      <c r="AS1062" s="4"/>
      <c r="AT1062" s="4"/>
      <c r="AU1062" s="4"/>
      <c r="AV1062" s="4"/>
      <c r="AW1062" s="4"/>
      <c r="AX1062" s="4"/>
      <c r="AY1062" s="4"/>
      <c r="AZ1062" s="4"/>
      <c r="BA1062" s="4"/>
      <c r="BB1062" s="4"/>
      <c r="BC1062" s="4"/>
      <c r="BD1062" s="4"/>
      <c r="BE1062" s="4"/>
      <c r="BF1062" s="4"/>
      <c r="BG1062" s="4"/>
      <c r="BH1062" s="4"/>
      <c r="BI1062" s="4"/>
      <c r="BJ1062" s="4"/>
      <c r="BK1062" s="4"/>
      <c r="BL1062" s="4"/>
      <c r="BM1062" s="4"/>
      <c r="BN1062" s="4"/>
      <c r="BO1062" s="4"/>
      <c r="BP1062" s="4"/>
      <c r="BQ1062" s="4"/>
      <c r="BR1062" s="4"/>
      <c r="BS1062" s="4"/>
      <c r="BT1062" s="4"/>
      <c r="BU1062" s="4"/>
    </row>
    <row r="1063" spans="29:73" s="1" customFormat="1" x14ac:dyDescent="0.25">
      <c r="AC1063" s="4"/>
      <c r="AD1063" s="4"/>
      <c r="AE1063" s="4"/>
      <c r="AF1063" s="4"/>
      <c r="AG1063" s="4"/>
      <c r="AH1063" s="4"/>
      <c r="AI1063" s="4"/>
      <c r="AJ1063" s="4"/>
      <c r="AK1063" s="4"/>
      <c r="AL1063" s="4"/>
      <c r="AM1063" s="4"/>
      <c r="AN1063" s="4"/>
      <c r="AO1063" s="4"/>
      <c r="AP1063" s="4"/>
      <c r="AQ1063" s="4"/>
      <c r="AR1063" s="4"/>
      <c r="AS1063" s="4"/>
      <c r="AT1063" s="4"/>
      <c r="AU1063" s="4"/>
      <c r="AV1063" s="4"/>
      <c r="AW1063" s="4"/>
      <c r="AX1063" s="4"/>
      <c r="AY1063" s="4"/>
      <c r="AZ1063" s="4"/>
      <c r="BA1063" s="4"/>
      <c r="BB1063" s="4"/>
      <c r="BC1063" s="4"/>
      <c r="BD1063" s="4"/>
      <c r="BE1063" s="4"/>
      <c r="BF1063" s="4"/>
      <c r="BG1063" s="4"/>
      <c r="BH1063" s="4"/>
      <c r="BI1063" s="4"/>
      <c r="BJ1063" s="4"/>
      <c r="BK1063" s="4"/>
      <c r="BL1063" s="4"/>
      <c r="BM1063" s="4"/>
      <c r="BN1063" s="4"/>
      <c r="BO1063" s="4"/>
      <c r="BP1063" s="4"/>
      <c r="BQ1063" s="4"/>
      <c r="BR1063" s="4"/>
      <c r="BS1063" s="4"/>
      <c r="BT1063" s="4"/>
      <c r="BU1063" s="4"/>
    </row>
    <row r="1064" spans="29:73" s="1" customFormat="1" x14ac:dyDescent="0.25">
      <c r="AC1064" s="4"/>
      <c r="AD1064" s="4"/>
      <c r="AE1064" s="4"/>
      <c r="AF1064" s="4"/>
      <c r="AG1064" s="4"/>
      <c r="AH1064" s="4"/>
      <c r="AI1064" s="4"/>
      <c r="AJ1064" s="4"/>
      <c r="AK1064" s="4"/>
      <c r="AL1064" s="4"/>
      <c r="AM1064" s="4"/>
      <c r="AN1064" s="4"/>
      <c r="AO1064" s="4"/>
      <c r="AP1064" s="4"/>
      <c r="AQ1064" s="4"/>
      <c r="AR1064" s="4"/>
      <c r="AS1064" s="4"/>
      <c r="AT1064" s="4"/>
      <c r="AU1064" s="4"/>
      <c r="AV1064" s="4"/>
      <c r="AW1064" s="4"/>
      <c r="AX1064" s="4"/>
      <c r="AY1064" s="4"/>
      <c r="AZ1064" s="4"/>
      <c r="BA1064" s="4"/>
      <c r="BB1064" s="4"/>
      <c r="BC1064" s="4"/>
      <c r="BD1064" s="4"/>
      <c r="BE1064" s="4"/>
      <c r="BF1064" s="4"/>
      <c r="BG1064" s="4"/>
      <c r="BH1064" s="4"/>
      <c r="BI1064" s="4"/>
      <c r="BJ1064" s="4"/>
      <c r="BK1064" s="4"/>
      <c r="BL1064" s="4"/>
      <c r="BM1064" s="4"/>
      <c r="BN1064" s="4"/>
      <c r="BO1064" s="4"/>
      <c r="BP1064" s="4"/>
      <c r="BQ1064" s="4"/>
      <c r="BR1064" s="4"/>
      <c r="BS1064" s="4"/>
      <c r="BT1064" s="4"/>
      <c r="BU1064" s="4"/>
    </row>
    <row r="1065" spans="29:73" s="1" customFormat="1" x14ac:dyDescent="0.25">
      <c r="AC1065" s="4"/>
      <c r="AD1065" s="4"/>
      <c r="AE1065" s="4"/>
      <c r="AF1065" s="4"/>
      <c r="AG1065" s="4"/>
      <c r="AH1065" s="4"/>
      <c r="AI1065" s="4"/>
      <c r="AJ1065" s="4"/>
      <c r="AK1065" s="4"/>
      <c r="AL1065" s="4"/>
      <c r="AM1065" s="4"/>
      <c r="AN1065" s="4"/>
      <c r="AO1065" s="4"/>
      <c r="AP1065" s="4"/>
      <c r="AQ1065" s="4"/>
      <c r="AR1065" s="4"/>
      <c r="AS1065" s="4"/>
      <c r="AT1065" s="4"/>
      <c r="AU1065" s="4"/>
      <c r="AV1065" s="4"/>
      <c r="AW1065" s="4"/>
      <c r="AX1065" s="4"/>
      <c r="AY1065" s="4"/>
      <c r="AZ1065" s="4"/>
      <c r="BA1065" s="4"/>
      <c r="BB1065" s="4"/>
      <c r="BC1065" s="4"/>
      <c r="BD1065" s="4"/>
      <c r="BE1065" s="4"/>
      <c r="BF1065" s="4"/>
      <c r="BG1065" s="4"/>
      <c r="BH1065" s="4"/>
      <c r="BI1065" s="4"/>
      <c r="BJ1065" s="4"/>
      <c r="BK1065" s="4"/>
      <c r="BL1065" s="4"/>
      <c r="BM1065" s="4"/>
      <c r="BN1065" s="4"/>
      <c r="BO1065" s="4"/>
      <c r="BP1065" s="4"/>
      <c r="BQ1065" s="4"/>
      <c r="BR1065" s="4"/>
      <c r="BS1065" s="4"/>
      <c r="BT1065" s="4"/>
      <c r="BU1065" s="4"/>
    </row>
    <row r="1066" spans="29:73" s="1" customFormat="1" x14ac:dyDescent="0.25">
      <c r="AC1066" s="4"/>
      <c r="AD1066" s="4"/>
      <c r="AE1066" s="4"/>
      <c r="AF1066" s="4"/>
      <c r="AG1066" s="4"/>
      <c r="AH1066" s="4"/>
      <c r="AI1066" s="4"/>
      <c r="AJ1066" s="4"/>
      <c r="AK1066" s="4"/>
      <c r="AL1066" s="4"/>
      <c r="AM1066" s="4"/>
      <c r="AN1066" s="4"/>
      <c r="AO1066" s="4"/>
      <c r="AP1066" s="4"/>
      <c r="AQ1066" s="4"/>
      <c r="AR1066" s="4"/>
      <c r="AS1066" s="4"/>
      <c r="AT1066" s="4"/>
      <c r="AU1066" s="4"/>
      <c r="AV1066" s="4"/>
      <c r="AW1066" s="4"/>
      <c r="AX1066" s="4"/>
      <c r="AY1066" s="4"/>
      <c r="AZ1066" s="4"/>
      <c r="BA1066" s="4"/>
      <c r="BB1066" s="4"/>
      <c r="BC1066" s="4"/>
      <c r="BD1066" s="4"/>
      <c r="BE1066" s="4"/>
      <c r="BF1066" s="4"/>
      <c r="BG1066" s="4"/>
      <c r="BH1066" s="4"/>
      <c r="BI1066" s="4"/>
      <c r="BJ1066" s="4"/>
      <c r="BK1066" s="4"/>
      <c r="BL1066" s="4"/>
      <c r="BM1066" s="4"/>
      <c r="BN1066" s="4"/>
      <c r="BO1066" s="4"/>
      <c r="BP1066" s="4"/>
      <c r="BQ1066" s="4"/>
      <c r="BR1066" s="4"/>
      <c r="BS1066" s="4"/>
      <c r="BT1066" s="4"/>
      <c r="BU1066" s="4"/>
    </row>
    <row r="1067" spans="29:73" s="1" customFormat="1" x14ac:dyDescent="0.25">
      <c r="AC1067" s="4"/>
      <c r="AD1067" s="4"/>
      <c r="AE1067" s="4"/>
      <c r="AF1067" s="4"/>
      <c r="AG1067" s="4"/>
      <c r="AH1067" s="4"/>
      <c r="AI1067" s="4"/>
      <c r="AJ1067" s="4"/>
      <c r="AK1067" s="4"/>
      <c r="AL1067" s="4"/>
      <c r="AM1067" s="4"/>
      <c r="AN1067" s="4"/>
      <c r="AO1067" s="4"/>
      <c r="AP1067" s="4"/>
      <c r="AQ1067" s="4"/>
      <c r="AR1067" s="4"/>
      <c r="AS1067" s="4"/>
      <c r="AT1067" s="4"/>
      <c r="AU1067" s="4"/>
      <c r="AV1067" s="4"/>
      <c r="AW1067" s="4"/>
      <c r="AX1067" s="4"/>
      <c r="AY1067" s="4"/>
      <c r="AZ1067" s="4"/>
      <c r="BA1067" s="4"/>
      <c r="BB1067" s="4"/>
      <c r="BC1067" s="4"/>
      <c r="BD1067" s="4"/>
      <c r="BE1067" s="4"/>
      <c r="BF1067" s="4"/>
      <c r="BG1067" s="4"/>
      <c r="BH1067" s="4"/>
      <c r="BI1067" s="4"/>
      <c r="BJ1067" s="4"/>
      <c r="BK1067" s="4"/>
      <c r="BL1067" s="4"/>
      <c r="BM1067" s="4"/>
      <c r="BN1067" s="4"/>
      <c r="BO1067" s="4"/>
      <c r="BP1067" s="4"/>
      <c r="BQ1067" s="4"/>
      <c r="BR1067" s="4"/>
      <c r="BS1067" s="4"/>
      <c r="BT1067" s="4"/>
      <c r="BU1067" s="4"/>
    </row>
    <row r="1068" spans="29:73" s="1" customFormat="1" x14ac:dyDescent="0.25">
      <c r="AC1068" s="4"/>
      <c r="AD1068" s="4"/>
      <c r="AE1068" s="4"/>
      <c r="AF1068" s="4"/>
      <c r="AG1068" s="4"/>
      <c r="AH1068" s="4"/>
      <c r="AI1068" s="4"/>
      <c r="AJ1068" s="4"/>
      <c r="AK1068" s="4"/>
      <c r="AL1068" s="4"/>
      <c r="AM1068" s="4"/>
      <c r="AN1068" s="4"/>
      <c r="AO1068" s="4"/>
      <c r="AP1068" s="4"/>
      <c r="AQ1068" s="4"/>
      <c r="AR1068" s="4"/>
      <c r="AS1068" s="4"/>
      <c r="AT1068" s="4"/>
      <c r="AU1068" s="4"/>
      <c r="AV1068" s="4"/>
      <c r="AW1068" s="4"/>
      <c r="AX1068" s="4"/>
      <c r="AY1068" s="4"/>
      <c r="AZ1068" s="4"/>
      <c r="BA1068" s="4"/>
      <c r="BB1068" s="4"/>
      <c r="BC1068" s="4"/>
      <c r="BD1068" s="4"/>
      <c r="BE1068" s="4"/>
      <c r="BF1068" s="4"/>
      <c r="BG1068" s="4"/>
      <c r="BH1068" s="4"/>
      <c r="BI1068" s="4"/>
      <c r="BJ1068" s="4"/>
      <c r="BK1068" s="4"/>
      <c r="BL1068" s="4"/>
      <c r="BM1068" s="4"/>
      <c r="BN1068" s="4"/>
      <c r="BO1068" s="4"/>
      <c r="BP1068" s="4"/>
      <c r="BQ1068" s="4"/>
      <c r="BR1068" s="4"/>
      <c r="BS1068" s="4"/>
      <c r="BT1068" s="4"/>
      <c r="BU1068" s="4"/>
    </row>
    <row r="1069" spans="29:73" s="1" customFormat="1" x14ac:dyDescent="0.25">
      <c r="AC1069" s="4"/>
      <c r="AD1069" s="4"/>
      <c r="AE1069" s="4"/>
      <c r="AF1069" s="4"/>
      <c r="AG1069" s="4"/>
      <c r="AH1069" s="4"/>
      <c r="AI1069" s="4"/>
      <c r="AJ1069" s="4"/>
      <c r="AK1069" s="4"/>
      <c r="AL1069" s="4"/>
      <c r="AM1069" s="4"/>
      <c r="AN1069" s="4"/>
      <c r="AO1069" s="4"/>
      <c r="AP1069" s="4"/>
      <c r="AQ1069" s="4"/>
      <c r="AR1069" s="4"/>
      <c r="AS1069" s="4"/>
      <c r="AT1069" s="4"/>
      <c r="AU1069" s="4"/>
      <c r="AV1069" s="4"/>
      <c r="AW1069" s="4"/>
      <c r="AX1069" s="4"/>
      <c r="AY1069" s="4"/>
      <c r="AZ1069" s="4"/>
      <c r="BA1069" s="4"/>
      <c r="BB1069" s="4"/>
      <c r="BC1069" s="4"/>
      <c r="BD1069" s="4"/>
      <c r="BE1069" s="4"/>
      <c r="BF1069" s="4"/>
      <c r="BG1069" s="4"/>
      <c r="BH1069" s="4"/>
      <c r="BI1069" s="4"/>
      <c r="BJ1069" s="4"/>
      <c r="BK1069" s="4"/>
      <c r="BL1069" s="4"/>
      <c r="BM1069" s="4"/>
      <c r="BN1069" s="4"/>
      <c r="BO1069" s="4"/>
      <c r="BP1069" s="4"/>
      <c r="BQ1069" s="4"/>
      <c r="BR1069" s="4"/>
      <c r="BS1069" s="4"/>
      <c r="BT1069" s="4"/>
      <c r="BU1069" s="4"/>
    </row>
    <row r="1070" spans="29:73" s="1" customFormat="1" x14ac:dyDescent="0.25">
      <c r="AC1070" s="4"/>
      <c r="AD1070" s="4"/>
      <c r="AE1070" s="4"/>
      <c r="AF1070" s="4"/>
      <c r="AG1070" s="4"/>
      <c r="AH1070" s="4"/>
      <c r="AI1070" s="4"/>
      <c r="AJ1070" s="4"/>
      <c r="AK1070" s="4"/>
      <c r="AL1070" s="4"/>
      <c r="AM1070" s="4"/>
      <c r="AN1070" s="4"/>
      <c r="AO1070" s="4"/>
      <c r="AP1070" s="4"/>
      <c r="AQ1070" s="4"/>
      <c r="AR1070" s="4"/>
      <c r="AS1070" s="4"/>
      <c r="AT1070" s="4"/>
      <c r="AU1070" s="4"/>
      <c r="AV1070" s="4"/>
      <c r="AW1070" s="4"/>
      <c r="AX1070" s="4"/>
      <c r="AY1070" s="4"/>
      <c r="AZ1070" s="4"/>
      <c r="BA1070" s="4"/>
      <c r="BB1070" s="4"/>
      <c r="BC1070" s="4"/>
      <c r="BD1070" s="4"/>
      <c r="BE1070" s="4"/>
      <c r="BF1070" s="4"/>
      <c r="BG1070" s="4"/>
      <c r="BH1070" s="4"/>
      <c r="BI1070" s="4"/>
      <c r="BJ1070" s="4"/>
      <c r="BK1070" s="4"/>
      <c r="BL1070" s="4"/>
      <c r="BM1070" s="4"/>
      <c r="BN1070" s="4"/>
      <c r="BO1070" s="4"/>
      <c r="BP1070" s="4"/>
      <c r="BQ1070" s="4"/>
      <c r="BR1070" s="4"/>
      <c r="BS1070" s="4"/>
      <c r="BT1070" s="4"/>
      <c r="BU1070" s="4"/>
    </row>
    <row r="1071" spans="29:73" s="1" customFormat="1" x14ac:dyDescent="0.25">
      <c r="AC1071" s="4"/>
      <c r="AD1071" s="4"/>
      <c r="AE1071" s="4"/>
      <c r="AF1071" s="4"/>
      <c r="AG1071" s="4"/>
      <c r="AH1071" s="4"/>
      <c r="AI1071" s="4"/>
      <c r="AJ1071" s="4"/>
      <c r="AK1071" s="4"/>
      <c r="AL1071" s="4"/>
      <c r="AM1071" s="4"/>
      <c r="AN1071" s="4"/>
      <c r="AO1071" s="4"/>
      <c r="AP1071" s="4"/>
      <c r="AQ1071" s="4"/>
      <c r="AR1071" s="4"/>
      <c r="AS1071" s="4"/>
      <c r="AT1071" s="4"/>
      <c r="AU1071" s="4"/>
      <c r="AV1071" s="4"/>
      <c r="AW1071" s="4"/>
      <c r="AX1071" s="4"/>
      <c r="AY1071" s="4"/>
      <c r="AZ1071" s="4"/>
      <c r="BA1071" s="4"/>
      <c r="BB1071" s="4"/>
      <c r="BC1071" s="4"/>
      <c r="BD1071" s="4"/>
      <c r="BE1071" s="4"/>
      <c r="BF1071" s="4"/>
      <c r="BG1071" s="4"/>
      <c r="BH1071" s="4"/>
      <c r="BI1071" s="4"/>
      <c r="BJ1071" s="4"/>
      <c r="BK1071" s="4"/>
      <c r="BL1071" s="4"/>
      <c r="BM1071" s="4"/>
      <c r="BN1071" s="4"/>
      <c r="BO1071" s="4"/>
      <c r="BP1071" s="4"/>
      <c r="BQ1071" s="4"/>
      <c r="BR1071" s="4"/>
      <c r="BS1071" s="4"/>
      <c r="BT1071" s="4"/>
      <c r="BU1071" s="4"/>
    </row>
    <row r="1072" spans="29:73" s="1" customFormat="1" x14ac:dyDescent="0.25">
      <c r="AC1072" s="4"/>
      <c r="AD1072" s="4"/>
      <c r="AE1072" s="4"/>
      <c r="AF1072" s="4"/>
      <c r="AG1072" s="4"/>
      <c r="AH1072" s="4"/>
      <c r="AI1072" s="4"/>
      <c r="AJ1072" s="4"/>
      <c r="AK1072" s="4"/>
      <c r="AL1072" s="4"/>
      <c r="AM1072" s="4"/>
      <c r="AN1072" s="4"/>
      <c r="AO1072" s="4"/>
      <c r="AP1072" s="4"/>
      <c r="AQ1072" s="4"/>
      <c r="AR1072" s="4"/>
      <c r="AS1072" s="4"/>
      <c r="AT1072" s="4"/>
      <c r="AU1072" s="4"/>
      <c r="AV1072" s="4"/>
      <c r="AW1072" s="4"/>
      <c r="AX1072" s="4"/>
      <c r="AY1072" s="4"/>
      <c r="AZ1072" s="4"/>
      <c r="BA1072" s="4"/>
      <c r="BB1072" s="4"/>
      <c r="BC1072" s="4"/>
      <c r="BD1072" s="4"/>
      <c r="BE1072" s="4"/>
      <c r="BF1072" s="4"/>
      <c r="BG1072" s="4"/>
      <c r="BH1072" s="4"/>
      <c r="BI1072" s="4"/>
      <c r="BJ1072" s="4"/>
      <c r="BK1072" s="4"/>
      <c r="BL1072" s="4"/>
      <c r="BM1072" s="4"/>
      <c r="BN1072" s="4"/>
      <c r="BO1072" s="4"/>
      <c r="BP1072" s="4"/>
      <c r="BQ1072" s="4"/>
      <c r="BR1072" s="4"/>
      <c r="BS1072" s="4"/>
      <c r="BT1072" s="4"/>
      <c r="BU1072" s="4"/>
    </row>
    <row r="1073" spans="29:73" s="1" customFormat="1" x14ac:dyDescent="0.25">
      <c r="AC1073" s="4"/>
      <c r="AD1073" s="4"/>
      <c r="AE1073" s="4"/>
      <c r="AF1073" s="4"/>
      <c r="AG1073" s="4"/>
      <c r="AH1073" s="4"/>
      <c r="AI1073" s="4"/>
      <c r="AJ1073" s="4"/>
      <c r="AK1073" s="4"/>
      <c r="AL1073" s="4"/>
      <c r="AM1073" s="4"/>
      <c r="AN1073" s="4"/>
      <c r="AO1073" s="4"/>
      <c r="AP1073" s="4"/>
      <c r="AQ1073" s="4"/>
      <c r="AR1073" s="4"/>
      <c r="AS1073" s="4"/>
      <c r="AT1073" s="4"/>
      <c r="AU1073" s="4"/>
      <c r="AV1073" s="4"/>
      <c r="AW1073" s="4"/>
      <c r="AX1073" s="4"/>
      <c r="AY1073" s="4"/>
      <c r="AZ1073" s="4"/>
      <c r="BA1073" s="4"/>
      <c r="BB1073" s="4"/>
      <c r="BC1073" s="4"/>
      <c r="BD1073" s="4"/>
      <c r="BE1073" s="4"/>
      <c r="BF1073" s="4"/>
      <c r="BG1073" s="4"/>
      <c r="BH1073" s="4"/>
      <c r="BI1073" s="4"/>
      <c r="BJ1073" s="4"/>
      <c r="BK1073" s="4"/>
      <c r="BL1073" s="4"/>
      <c r="BM1073" s="4"/>
      <c r="BN1073" s="4"/>
      <c r="BO1073" s="4"/>
      <c r="BP1073" s="4"/>
      <c r="BQ1073" s="4"/>
      <c r="BR1073" s="4"/>
      <c r="BS1073" s="4"/>
      <c r="BT1073" s="4"/>
      <c r="BU1073" s="4"/>
    </row>
    <row r="1074" spans="29:73" s="1" customFormat="1" x14ac:dyDescent="0.25">
      <c r="AC1074" s="4"/>
      <c r="AD1074" s="4"/>
      <c r="AE1074" s="4"/>
      <c r="AF1074" s="4"/>
      <c r="AG1074" s="4"/>
      <c r="AH1074" s="4"/>
      <c r="AI1074" s="4"/>
      <c r="AJ1074" s="4"/>
      <c r="AK1074" s="4"/>
      <c r="AL1074" s="4"/>
      <c r="AM1074" s="4"/>
      <c r="AN1074" s="4"/>
      <c r="AO1074" s="4"/>
      <c r="AP1074" s="4"/>
      <c r="AQ1074" s="4"/>
      <c r="AR1074" s="4"/>
      <c r="AS1074" s="4"/>
      <c r="AT1074" s="4"/>
      <c r="AU1074" s="4"/>
      <c r="AV1074" s="4"/>
      <c r="AW1074" s="4"/>
      <c r="AX1074" s="4"/>
      <c r="AY1074" s="4"/>
      <c r="AZ1074" s="4"/>
      <c r="BA1074" s="4"/>
      <c r="BB1074" s="4"/>
      <c r="BC1074" s="4"/>
      <c r="BD1074" s="4"/>
      <c r="BE1074" s="4"/>
      <c r="BF1074" s="4"/>
      <c r="BG1074" s="4"/>
      <c r="BH1074" s="4"/>
      <c r="BI1074" s="4"/>
      <c r="BJ1074" s="4"/>
      <c r="BK1074" s="4"/>
      <c r="BL1074" s="4"/>
      <c r="BM1074" s="4"/>
      <c r="BN1074" s="4"/>
      <c r="BO1074" s="4"/>
      <c r="BP1074" s="4"/>
      <c r="BQ1074" s="4"/>
      <c r="BR1074" s="4"/>
      <c r="BS1074" s="4"/>
      <c r="BT1074" s="4"/>
      <c r="BU1074" s="4"/>
    </row>
    <row r="1075" spans="29:73" s="1" customFormat="1" x14ac:dyDescent="0.25">
      <c r="AC1075" s="4"/>
      <c r="AD1075" s="4"/>
      <c r="AE1075" s="4"/>
      <c r="AF1075" s="4"/>
      <c r="AG1075" s="4"/>
      <c r="AH1075" s="4"/>
      <c r="AI1075" s="4"/>
      <c r="AJ1075" s="4"/>
      <c r="AK1075" s="4"/>
      <c r="AL1075" s="4"/>
      <c r="AM1075" s="4"/>
      <c r="AN1075" s="4"/>
      <c r="AO1075" s="4"/>
      <c r="AP1075" s="4"/>
      <c r="AQ1075" s="4"/>
      <c r="AR1075" s="4"/>
      <c r="AS1075" s="4"/>
      <c r="AT1075" s="4"/>
      <c r="AU1075" s="4"/>
      <c r="AV1075" s="4"/>
      <c r="AW1075" s="4"/>
      <c r="AX1075" s="4"/>
      <c r="AY1075" s="4"/>
      <c r="AZ1075" s="4"/>
      <c r="BA1075" s="4"/>
      <c r="BB1075" s="4"/>
      <c r="BC1075" s="4"/>
      <c r="BD1075" s="4"/>
      <c r="BE1075" s="4"/>
      <c r="BF1075" s="4"/>
      <c r="BG1075" s="4"/>
      <c r="BH1075" s="4"/>
      <c r="BI1075" s="4"/>
      <c r="BJ1075" s="4"/>
      <c r="BK1075" s="4"/>
      <c r="BL1075" s="4"/>
      <c r="BM1075" s="4"/>
      <c r="BN1075" s="4"/>
      <c r="BO1075" s="4"/>
      <c r="BP1075" s="4"/>
      <c r="BQ1075" s="4"/>
      <c r="BR1075" s="4"/>
      <c r="BS1075" s="4"/>
      <c r="BT1075" s="4"/>
      <c r="BU1075" s="4"/>
    </row>
    <row r="1076" spans="29:73" s="1" customFormat="1" x14ac:dyDescent="0.25">
      <c r="AC1076" s="4"/>
      <c r="AD1076" s="4"/>
      <c r="AE1076" s="4"/>
      <c r="AF1076" s="4"/>
      <c r="AG1076" s="4"/>
      <c r="AH1076" s="4"/>
      <c r="AI1076" s="4"/>
      <c r="AJ1076" s="4"/>
      <c r="AK1076" s="4"/>
      <c r="AL1076" s="4"/>
      <c r="AM1076" s="4"/>
      <c r="AN1076" s="4"/>
      <c r="AO1076" s="4"/>
      <c r="AP1076" s="4"/>
      <c r="AQ1076" s="4"/>
      <c r="AR1076" s="4"/>
      <c r="AS1076" s="4"/>
      <c r="AT1076" s="4"/>
      <c r="AU1076" s="4"/>
      <c r="AV1076" s="4"/>
      <c r="AW1076" s="4"/>
      <c r="AX1076" s="4"/>
      <c r="AY1076" s="4"/>
      <c r="AZ1076" s="4"/>
      <c r="BA1076" s="4"/>
      <c r="BB1076" s="4"/>
      <c r="BC1076" s="4"/>
      <c r="BD1076" s="4"/>
      <c r="BE1076" s="4"/>
      <c r="BF1076" s="4"/>
      <c r="BG1076" s="4"/>
      <c r="BH1076" s="4"/>
      <c r="BI1076" s="4"/>
      <c r="BJ1076" s="4"/>
      <c r="BK1076" s="4"/>
      <c r="BL1076" s="4"/>
      <c r="BM1076" s="4"/>
      <c r="BN1076" s="4"/>
      <c r="BO1076" s="4"/>
      <c r="BP1076" s="4"/>
      <c r="BQ1076" s="4"/>
      <c r="BR1076" s="4"/>
      <c r="BS1076" s="4"/>
      <c r="BT1076" s="4"/>
      <c r="BU1076" s="4"/>
    </row>
    <row r="1077" spans="29:73" s="1" customFormat="1" x14ac:dyDescent="0.25">
      <c r="AC1077" s="4"/>
      <c r="AD1077" s="4"/>
      <c r="AE1077" s="4"/>
      <c r="AF1077" s="4"/>
      <c r="AG1077" s="4"/>
      <c r="AH1077" s="4"/>
      <c r="AI1077" s="4"/>
      <c r="AJ1077" s="4"/>
      <c r="AK1077" s="4"/>
      <c r="AL1077" s="4"/>
      <c r="AM1077" s="4"/>
      <c r="AN1077" s="4"/>
      <c r="AO1077" s="4"/>
      <c r="AP1077" s="4"/>
      <c r="AQ1077" s="4"/>
      <c r="AR1077" s="4"/>
      <c r="AS1077" s="4"/>
      <c r="AT1077" s="4"/>
      <c r="AU1077" s="4"/>
      <c r="AV1077" s="4"/>
      <c r="AW1077" s="4"/>
      <c r="AX1077" s="4"/>
      <c r="AY1077" s="4"/>
      <c r="AZ1077" s="4"/>
      <c r="BA1077" s="4"/>
      <c r="BB1077" s="4"/>
      <c r="BC1077" s="4"/>
      <c r="BD1077" s="4"/>
      <c r="BE1077" s="4"/>
      <c r="BF1077" s="4"/>
      <c r="BG1077" s="4"/>
      <c r="BH1077" s="4"/>
      <c r="BI1077" s="4"/>
      <c r="BJ1077" s="4"/>
      <c r="BK1077" s="4"/>
      <c r="BL1077" s="4"/>
      <c r="BM1077" s="4"/>
      <c r="BN1077" s="4"/>
      <c r="BO1077" s="4"/>
      <c r="BP1077" s="4"/>
      <c r="BQ1077" s="4"/>
      <c r="BR1077" s="4"/>
      <c r="BS1077" s="4"/>
      <c r="BT1077" s="4"/>
      <c r="BU1077" s="4"/>
    </row>
    <row r="1078" spans="29:73" s="1" customFormat="1" x14ac:dyDescent="0.25">
      <c r="AC1078" s="4"/>
      <c r="AD1078" s="4"/>
      <c r="AE1078" s="4"/>
      <c r="AF1078" s="4"/>
      <c r="AG1078" s="4"/>
      <c r="AH1078" s="4"/>
      <c r="AI1078" s="4"/>
      <c r="AJ1078" s="4"/>
      <c r="AK1078" s="4"/>
      <c r="AL1078" s="4"/>
      <c r="AM1078" s="4"/>
      <c r="AN1078" s="4"/>
      <c r="AO1078" s="4"/>
      <c r="AP1078" s="4"/>
      <c r="AQ1078" s="4"/>
      <c r="AR1078" s="4"/>
      <c r="AS1078" s="4"/>
      <c r="AT1078" s="4"/>
      <c r="AU1078" s="4"/>
      <c r="AV1078" s="4"/>
      <c r="AW1078" s="4"/>
      <c r="AX1078" s="4"/>
      <c r="AY1078" s="4"/>
      <c r="AZ1078" s="4"/>
      <c r="BA1078" s="4"/>
      <c r="BB1078" s="4"/>
      <c r="BC1078" s="4"/>
      <c r="BD1078" s="4"/>
      <c r="BE1078" s="4"/>
      <c r="BF1078" s="4"/>
      <c r="BG1078" s="4"/>
      <c r="BH1078" s="4"/>
      <c r="BI1078" s="4"/>
      <c r="BJ1078" s="4"/>
      <c r="BK1078" s="4"/>
      <c r="BL1078" s="4"/>
      <c r="BM1078" s="4"/>
      <c r="BN1078" s="4"/>
      <c r="BO1078" s="4"/>
      <c r="BP1078" s="4"/>
      <c r="BQ1078" s="4"/>
      <c r="BR1078" s="4"/>
      <c r="BS1078" s="4"/>
      <c r="BT1078" s="4"/>
      <c r="BU1078" s="4"/>
    </row>
    <row r="1079" spans="29:73" s="1" customFormat="1" x14ac:dyDescent="0.25">
      <c r="AC1079" s="4"/>
      <c r="AD1079" s="4"/>
      <c r="AE1079" s="4"/>
      <c r="AF1079" s="4"/>
      <c r="AG1079" s="4"/>
      <c r="AH1079" s="4"/>
      <c r="AI1079" s="4"/>
      <c r="AJ1079" s="4"/>
      <c r="AK1079" s="4"/>
      <c r="AL1079" s="4"/>
      <c r="AM1079" s="4"/>
      <c r="AN1079" s="4"/>
      <c r="AO1079" s="4"/>
      <c r="AP1079" s="4"/>
      <c r="AQ1079" s="4"/>
      <c r="AR1079" s="4"/>
      <c r="AS1079" s="4"/>
      <c r="AT1079" s="4"/>
      <c r="AU1079" s="4"/>
      <c r="AV1079" s="4"/>
      <c r="AW1079" s="4"/>
      <c r="AX1079" s="4"/>
      <c r="AY1079" s="4"/>
      <c r="AZ1079" s="4"/>
      <c r="BA1079" s="4"/>
      <c r="BB1079" s="4"/>
      <c r="BC1079" s="4"/>
      <c r="BD1079" s="4"/>
      <c r="BE1079" s="4"/>
      <c r="BF1079" s="4"/>
      <c r="BG1079" s="4"/>
      <c r="BH1079" s="4"/>
      <c r="BI1079" s="4"/>
      <c r="BJ1079" s="4"/>
      <c r="BK1079" s="4"/>
      <c r="BL1079" s="4"/>
      <c r="BM1079" s="4"/>
      <c r="BN1079" s="4"/>
      <c r="BO1079" s="4"/>
      <c r="BP1079" s="4"/>
      <c r="BQ1079" s="4"/>
      <c r="BR1079" s="4"/>
      <c r="BS1079" s="4"/>
      <c r="BT1079" s="4"/>
      <c r="BU1079" s="4"/>
    </row>
    <row r="1080" spans="29:73" s="1" customFormat="1" x14ac:dyDescent="0.25">
      <c r="AC1080" s="4"/>
      <c r="AD1080" s="4"/>
      <c r="AE1080" s="4"/>
      <c r="AF1080" s="4"/>
      <c r="AG1080" s="4"/>
      <c r="AH1080" s="4"/>
      <c r="AI1080" s="4"/>
      <c r="AJ1080" s="4"/>
      <c r="AK1080" s="4"/>
      <c r="AL1080" s="4"/>
      <c r="AM1080" s="4"/>
      <c r="AN1080" s="4"/>
      <c r="AO1080" s="4"/>
      <c r="AP1080" s="4"/>
      <c r="AQ1080" s="4"/>
      <c r="AR1080" s="4"/>
      <c r="AS1080" s="4"/>
      <c r="AT1080" s="4"/>
      <c r="AU1080" s="4"/>
      <c r="AV1080" s="4"/>
      <c r="AW1080" s="4"/>
      <c r="AX1080" s="4"/>
      <c r="AY1080" s="4"/>
      <c r="AZ1080" s="4"/>
      <c r="BA1080" s="4"/>
      <c r="BB1080" s="4"/>
      <c r="BC1080" s="4"/>
      <c r="BD1080" s="4"/>
      <c r="BE1080" s="4"/>
      <c r="BF1080" s="4"/>
      <c r="BG1080" s="4"/>
      <c r="BH1080" s="4"/>
      <c r="BI1080" s="4"/>
      <c r="BJ1080" s="4"/>
      <c r="BK1080" s="4"/>
      <c r="BL1080" s="4"/>
      <c r="BM1080" s="4"/>
      <c r="BN1080" s="4"/>
      <c r="BO1080" s="4"/>
      <c r="BP1080" s="4"/>
      <c r="BQ1080" s="4"/>
      <c r="BR1080" s="4"/>
      <c r="BS1080" s="4"/>
      <c r="BT1080" s="4"/>
      <c r="BU1080" s="4"/>
    </row>
    <row r="1081" spans="29:73" s="1" customFormat="1" x14ac:dyDescent="0.25">
      <c r="AC1081" s="4"/>
      <c r="AD1081" s="4"/>
      <c r="AE1081" s="4"/>
      <c r="AF1081" s="4"/>
      <c r="AG1081" s="4"/>
      <c r="AH1081" s="4"/>
      <c r="AI1081" s="4"/>
      <c r="AJ1081" s="4"/>
      <c r="AK1081" s="4"/>
      <c r="AL1081" s="4"/>
      <c r="AM1081" s="4"/>
      <c r="AN1081" s="4"/>
      <c r="AO1081" s="4"/>
      <c r="AP1081" s="4"/>
      <c r="AQ1081" s="4"/>
      <c r="AR1081" s="4"/>
      <c r="AS1081" s="4"/>
      <c r="AT1081" s="4"/>
      <c r="AU1081" s="4"/>
      <c r="AV1081" s="4"/>
      <c r="AW1081" s="4"/>
      <c r="AX1081" s="4"/>
      <c r="AY1081" s="4"/>
      <c r="AZ1081" s="4"/>
      <c r="BA1081" s="4"/>
      <c r="BB1081" s="4"/>
      <c r="BC1081" s="4"/>
      <c r="BD1081" s="4"/>
      <c r="BE1081" s="4"/>
      <c r="BF1081" s="4"/>
      <c r="BG1081" s="4"/>
      <c r="BH1081" s="4"/>
      <c r="BI1081" s="4"/>
      <c r="BJ1081" s="4"/>
      <c r="BK1081" s="4"/>
      <c r="BL1081" s="4"/>
      <c r="BM1081" s="4"/>
      <c r="BN1081" s="4"/>
      <c r="BO1081" s="4"/>
      <c r="BP1081" s="4"/>
      <c r="BQ1081" s="4"/>
      <c r="BR1081" s="4"/>
      <c r="BS1081" s="4"/>
      <c r="BT1081" s="4"/>
      <c r="BU1081" s="4"/>
    </row>
    <row r="1082" spans="29:73" s="1" customFormat="1" x14ac:dyDescent="0.25">
      <c r="AC1082" s="4"/>
      <c r="AD1082" s="4"/>
      <c r="AE1082" s="4"/>
      <c r="AF1082" s="4"/>
      <c r="AG1082" s="4"/>
      <c r="AH1082" s="4"/>
      <c r="AI1082" s="4"/>
      <c r="AJ1082" s="4"/>
      <c r="AK1082" s="4"/>
      <c r="AL1082" s="4"/>
      <c r="AM1082" s="4"/>
      <c r="AN1082" s="4"/>
      <c r="AO1082" s="4"/>
      <c r="AP1082" s="4"/>
      <c r="AQ1082" s="4"/>
      <c r="AR1082" s="4"/>
      <c r="AS1082" s="4"/>
      <c r="AT1082" s="4"/>
      <c r="AU1082" s="4"/>
      <c r="AV1082" s="4"/>
      <c r="AW1082" s="4"/>
      <c r="AX1082" s="4"/>
      <c r="AY1082" s="4"/>
      <c r="AZ1082" s="4"/>
      <c r="BA1082" s="4"/>
      <c r="BB1082" s="4"/>
      <c r="BC1082" s="4"/>
      <c r="BD1082" s="4"/>
      <c r="BE1082" s="4"/>
      <c r="BF1082" s="4"/>
      <c r="BG1082" s="4"/>
      <c r="BH1082" s="4"/>
      <c r="BI1082" s="4"/>
      <c r="BJ1082" s="4"/>
      <c r="BK1082" s="4"/>
      <c r="BL1082" s="4"/>
      <c r="BM1082" s="4"/>
      <c r="BN1082" s="4"/>
      <c r="BO1082" s="4"/>
      <c r="BP1082" s="4"/>
      <c r="BQ1082" s="4"/>
      <c r="BR1082" s="4"/>
      <c r="BS1082" s="4"/>
      <c r="BT1082" s="4"/>
      <c r="BU1082" s="4"/>
    </row>
    <row r="1083" spans="29:73" s="1" customFormat="1" x14ac:dyDescent="0.25">
      <c r="AC1083" s="4"/>
      <c r="AD1083" s="4"/>
      <c r="AE1083" s="4"/>
      <c r="AF1083" s="4"/>
      <c r="AG1083" s="4"/>
      <c r="AH1083" s="4"/>
      <c r="AI1083" s="4"/>
      <c r="AJ1083" s="4"/>
      <c r="AK1083" s="4"/>
      <c r="AL1083" s="4"/>
      <c r="AM1083" s="4"/>
      <c r="AN1083" s="4"/>
      <c r="AO1083" s="4"/>
      <c r="AP1083" s="4"/>
      <c r="AQ1083" s="4"/>
      <c r="AR1083" s="4"/>
      <c r="AS1083" s="4"/>
      <c r="AT1083" s="4"/>
      <c r="AU1083" s="4"/>
      <c r="AV1083" s="4"/>
      <c r="AW1083" s="4"/>
      <c r="AX1083" s="4"/>
      <c r="AY1083" s="4"/>
      <c r="AZ1083" s="4"/>
      <c r="BA1083" s="4"/>
      <c r="BB1083" s="4"/>
      <c r="BC1083" s="4"/>
      <c r="BD1083" s="4"/>
      <c r="BE1083" s="4"/>
      <c r="BF1083" s="4"/>
      <c r="BG1083" s="4"/>
      <c r="BH1083" s="4"/>
      <c r="BI1083" s="4"/>
      <c r="BJ1083" s="4"/>
      <c r="BK1083" s="4"/>
      <c r="BL1083" s="4"/>
      <c r="BM1083" s="4"/>
      <c r="BN1083" s="4"/>
      <c r="BO1083" s="4"/>
      <c r="BP1083" s="4"/>
      <c r="BQ1083" s="4"/>
      <c r="BR1083" s="4"/>
      <c r="BS1083" s="4"/>
      <c r="BT1083" s="4"/>
      <c r="BU1083" s="4"/>
    </row>
    <row r="1084" spans="29:73" s="1" customFormat="1" x14ac:dyDescent="0.25">
      <c r="AC1084" s="4"/>
      <c r="AD1084" s="4"/>
      <c r="AE1084" s="4"/>
      <c r="AF1084" s="4"/>
      <c r="AG1084" s="4"/>
      <c r="AH1084" s="4"/>
      <c r="AI1084" s="4"/>
      <c r="AJ1084" s="4"/>
      <c r="AK1084" s="4"/>
      <c r="AL1084" s="4"/>
      <c r="AM1084" s="4"/>
      <c r="AN1084" s="4"/>
      <c r="AO1084" s="4"/>
      <c r="AP1084" s="4"/>
      <c r="AQ1084" s="4"/>
      <c r="AR1084" s="4"/>
      <c r="AS1084" s="4"/>
      <c r="AT1084" s="4"/>
      <c r="AU1084" s="4"/>
      <c r="AV1084" s="4"/>
      <c r="AW1084" s="4"/>
      <c r="AX1084" s="4"/>
      <c r="AY1084" s="4"/>
      <c r="AZ1084" s="4"/>
      <c r="BA1084" s="4"/>
      <c r="BB1084" s="4"/>
      <c r="BC1084" s="4"/>
      <c r="BD1084" s="4"/>
      <c r="BE1084" s="4"/>
      <c r="BF1084" s="4"/>
      <c r="BG1084" s="4"/>
      <c r="BH1084" s="4"/>
      <c r="BI1084" s="4"/>
      <c r="BJ1084" s="4"/>
      <c r="BK1084" s="4"/>
      <c r="BL1084" s="4"/>
      <c r="BM1084" s="4"/>
      <c r="BN1084" s="4"/>
      <c r="BO1084" s="4"/>
      <c r="BP1084" s="4"/>
      <c r="BQ1084" s="4"/>
      <c r="BR1084" s="4"/>
      <c r="BS1084" s="4"/>
      <c r="BT1084" s="4"/>
      <c r="BU1084" s="4"/>
    </row>
    <row r="1085" spans="29:73" s="1" customFormat="1" x14ac:dyDescent="0.25">
      <c r="AC1085" s="4"/>
      <c r="AD1085" s="4"/>
      <c r="AE1085" s="4"/>
      <c r="AF1085" s="4"/>
      <c r="AG1085" s="4"/>
      <c r="AH1085" s="4"/>
      <c r="AI1085" s="4"/>
      <c r="AJ1085" s="4"/>
      <c r="AK1085" s="4"/>
      <c r="AL1085" s="4"/>
      <c r="AM1085" s="4"/>
      <c r="AN1085" s="4"/>
      <c r="AO1085" s="4"/>
      <c r="AP1085" s="4"/>
      <c r="AQ1085" s="4"/>
      <c r="AR1085" s="4"/>
      <c r="AS1085" s="4"/>
      <c r="AT1085" s="4"/>
      <c r="AU1085" s="4"/>
      <c r="AV1085" s="4"/>
      <c r="AW1085" s="4"/>
      <c r="AX1085" s="4"/>
      <c r="AY1085" s="4"/>
      <c r="AZ1085" s="4"/>
      <c r="BA1085" s="4"/>
      <c r="BB1085" s="4"/>
      <c r="BC1085" s="4"/>
      <c r="BD1085" s="4"/>
      <c r="BE1085" s="4"/>
      <c r="BF1085" s="4"/>
      <c r="BG1085" s="4"/>
      <c r="BH1085" s="4"/>
      <c r="BI1085" s="4"/>
      <c r="BJ1085" s="4"/>
      <c r="BK1085" s="4"/>
      <c r="BL1085" s="4"/>
      <c r="BM1085" s="4"/>
      <c r="BN1085" s="4"/>
      <c r="BO1085" s="4"/>
      <c r="BP1085" s="4"/>
      <c r="BQ1085" s="4"/>
      <c r="BR1085" s="4"/>
      <c r="BS1085" s="4"/>
      <c r="BT1085" s="4"/>
      <c r="BU1085" s="4"/>
    </row>
    <row r="1086" spans="29:73" s="1" customFormat="1" x14ac:dyDescent="0.25">
      <c r="AC1086" s="4"/>
      <c r="AD1086" s="4"/>
      <c r="AE1086" s="4"/>
      <c r="AF1086" s="4"/>
      <c r="AG1086" s="4"/>
      <c r="AH1086" s="4"/>
      <c r="AI1086" s="4"/>
      <c r="AJ1086" s="4"/>
      <c r="AK1086" s="4"/>
      <c r="AL1086" s="4"/>
      <c r="AM1086" s="4"/>
      <c r="AN1086" s="4"/>
      <c r="AO1086" s="4"/>
      <c r="AP1086" s="4"/>
      <c r="AQ1086" s="4"/>
      <c r="AR1086" s="4"/>
      <c r="AS1086" s="4"/>
      <c r="AT1086" s="4"/>
      <c r="AU1086" s="4"/>
      <c r="AV1086" s="4"/>
      <c r="AW1086" s="4"/>
      <c r="AX1086" s="4"/>
      <c r="AY1086" s="4"/>
      <c r="AZ1086" s="4"/>
      <c r="BA1086" s="4"/>
      <c r="BB1086" s="4"/>
      <c r="BC1086" s="4"/>
      <c r="BD1086" s="4"/>
      <c r="BE1086" s="4"/>
      <c r="BF1086" s="4"/>
      <c r="BG1086" s="4"/>
      <c r="BH1086" s="4"/>
      <c r="BI1086" s="4"/>
      <c r="BJ1086" s="4"/>
      <c r="BK1086" s="4"/>
      <c r="BL1086" s="4"/>
      <c r="BM1086" s="4"/>
      <c r="BN1086" s="4"/>
      <c r="BO1086" s="4"/>
      <c r="BP1086" s="4"/>
      <c r="BQ1086" s="4"/>
      <c r="BR1086" s="4"/>
      <c r="BS1086" s="4"/>
      <c r="BT1086" s="4"/>
      <c r="BU1086" s="4"/>
    </row>
    <row r="1087" spans="29:73" s="1" customFormat="1" x14ac:dyDescent="0.25">
      <c r="AC1087" s="4"/>
      <c r="AD1087" s="4"/>
      <c r="AE1087" s="4"/>
      <c r="AF1087" s="4"/>
      <c r="AG1087" s="4"/>
      <c r="AH1087" s="4"/>
      <c r="AI1087" s="4"/>
      <c r="AJ1087" s="4"/>
      <c r="AK1087" s="4"/>
      <c r="AL1087" s="4"/>
      <c r="AM1087" s="4"/>
      <c r="AN1087" s="4"/>
      <c r="AO1087" s="4"/>
      <c r="AP1087" s="4"/>
      <c r="AQ1087" s="4"/>
      <c r="AR1087" s="4"/>
      <c r="AS1087" s="4"/>
      <c r="AT1087" s="4"/>
      <c r="AU1087" s="4"/>
      <c r="AV1087" s="4"/>
      <c r="AW1087" s="4"/>
      <c r="AX1087" s="4"/>
      <c r="AY1087" s="4"/>
      <c r="AZ1087" s="4"/>
      <c r="BA1087" s="4"/>
      <c r="BB1087" s="4"/>
      <c r="BC1087" s="4"/>
      <c r="BD1087" s="4"/>
      <c r="BE1087" s="4"/>
      <c r="BF1087" s="4"/>
      <c r="BG1087" s="4"/>
      <c r="BH1087" s="4"/>
      <c r="BI1087" s="4"/>
      <c r="BJ1087" s="4"/>
      <c r="BK1087" s="4"/>
      <c r="BL1087" s="4"/>
      <c r="BM1087" s="4"/>
      <c r="BN1087" s="4"/>
      <c r="BO1087" s="4"/>
      <c r="BP1087" s="4"/>
      <c r="BQ1087" s="4"/>
      <c r="BR1087" s="4"/>
      <c r="BS1087" s="4"/>
      <c r="BT1087" s="4"/>
      <c r="BU1087" s="4"/>
    </row>
    <row r="1088" spans="29:73" s="1" customFormat="1" x14ac:dyDescent="0.25">
      <c r="AC1088" s="4"/>
      <c r="AD1088" s="4"/>
      <c r="AE1088" s="4"/>
      <c r="AF1088" s="4"/>
      <c r="AG1088" s="4"/>
      <c r="AH1088" s="4"/>
      <c r="AI1088" s="4"/>
      <c r="AJ1088" s="4"/>
      <c r="AK1088" s="4"/>
      <c r="AL1088" s="4"/>
      <c r="AM1088" s="4"/>
      <c r="AN1088" s="4"/>
      <c r="AO1088" s="4"/>
      <c r="AP1088" s="4"/>
      <c r="AQ1088" s="4"/>
      <c r="AR1088" s="4"/>
      <c r="AS1088" s="4"/>
      <c r="AT1088" s="4"/>
      <c r="AU1088" s="4"/>
      <c r="AV1088" s="4"/>
      <c r="AW1088" s="4"/>
      <c r="AX1088" s="4"/>
      <c r="AY1088" s="4"/>
      <c r="AZ1088" s="4"/>
      <c r="BA1088" s="4"/>
      <c r="BB1088" s="4"/>
      <c r="BC1088" s="4"/>
      <c r="BD1088" s="4"/>
      <c r="BE1088" s="4"/>
      <c r="BF1088" s="4"/>
      <c r="BG1088" s="4"/>
      <c r="BH1088" s="4"/>
      <c r="BI1088" s="4"/>
      <c r="BJ1088" s="4"/>
      <c r="BK1088" s="4"/>
      <c r="BL1088" s="4"/>
      <c r="BM1088" s="4"/>
      <c r="BN1088" s="4"/>
      <c r="BO1088" s="4"/>
      <c r="BP1088" s="4"/>
      <c r="BQ1088" s="4"/>
      <c r="BR1088" s="4"/>
      <c r="BS1088" s="4"/>
      <c r="BT1088" s="4"/>
      <c r="BU1088" s="4"/>
    </row>
    <row r="1089" spans="29:73" s="1" customFormat="1" x14ac:dyDescent="0.25">
      <c r="AC1089" s="4"/>
      <c r="AD1089" s="4"/>
      <c r="AE1089" s="4"/>
      <c r="AF1089" s="4"/>
      <c r="AG1089" s="4"/>
      <c r="AH1089" s="4"/>
      <c r="AI1089" s="4"/>
      <c r="AJ1089" s="4"/>
      <c r="AK1089" s="4"/>
      <c r="AL1089" s="4"/>
      <c r="AM1089" s="4"/>
      <c r="AN1089" s="4"/>
      <c r="AO1089" s="4"/>
      <c r="AP1089" s="4"/>
      <c r="AQ1089" s="4"/>
      <c r="AR1089" s="4"/>
      <c r="AS1089" s="4"/>
      <c r="AT1089" s="4"/>
      <c r="AU1089" s="4"/>
      <c r="AV1089" s="4"/>
      <c r="AW1089" s="4"/>
      <c r="AX1089" s="4"/>
      <c r="AY1089" s="4"/>
      <c r="AZ1089" s="4"/>
      <c r="BA1089" s="4"/>
      <c r="BB1089" s="4"/>
      <c r="BC1089" s="4"/>
      <c r="BD1089" s="4"/>
      <c r="BE1089" s="4"/>
      <c r="BF1089" s="4"/>
      <c r="BG1089" s="4"/>
      <c r="BH1089" s="4"/>
      <c r="BI1089" s="4"/>
      <c r="BJ1089" s="4"/>
      <c r="BK1089" s="4"/>
      <c r="BL1089" s="4"/>
      <c r="BM1089" s="4"/>
      <c r="BN1089" s="4"/>
      <c r="BO1089" s="4"/>
      <c r="BP1089" s="4"/>
      <c r="BQ1089" s="4"/>
      <c r="BR1089" s="4"/>
      <c r="BS1089" s="4"/>
      <c r="BT1089" s="4"/>
      <c r="BU1089" s="4"/>
    </row>
    <row r="1090" spans="29:73" s="1" customFormat="1" x14ac:dyDescent="0.25">
      <c r="AC1090" s="4"/>
      <c r="AD1090" s="4"/>
      <c r="AE1090" s="4"/>
      <c r="AF1090" s="4"/>
      <c r="AG1090" s="4"/>
      <c r="AH1090" s="4"/>
      <c r="AI1090" s="4"/>
      <c r="AJ1090" s="4"/>
      <c r="AK1090" s="4"/>
      <c r="AL1090" s="4"/>
      <c r="AM1090" s="4"/>
      <c r="AN1090" s="4"/>
      <c r="AO1090" s="4"/>
      <c r="AP1090" s="4"/>
      <c r="AQ1090" s="4"/>
      <c r="AR1090" s="4"/>
      <c r="AS1090" s="4"/>
      <c r="AT1090" s="4"/>
      <c r="AU1090" s="4"/>
      <c r="AV1090" s="4"/>
      <c r="AW1090" s="4"/>
      <c r="AX1090" s="4"/>
      <c r="AY1090" s="4"/>
      <c r="AZ1090" s="4"/>
      <c r="BA1090" s="4"/>
      <c r="BB1090" s="4"/>
      <c r="BC1090" s="4"/>
      <c r="BD1090" s="4"/>
      <c r="BE1090" s="4"/>
      <c r="BF1090" s="4"/>
      <c r="BG1090" s="4"/>
      <c r="BH1090" s="4"/>
      <c r="BI1090" s="4"/>
      <c r="BJ1090" s="4"/>
      <c r="BK1090" s="4"/>
      <c r="BL1090" s="4"/>
      <c r="BM1090" s="4"/>
      <c r="BN1090" s="4"/>
      <c r="BO1090" s="4"/>
      <c r="BP1090" s="4"/>
      <c r="BQ1090" s="4"/>
      <c r="BR1090" s="4"/>
      <c r="BS1090" s="4"/>
      <c r="BT1090" s="4"/>
      <c r="BU1090" s="4"/>
    </row>
    <row r="1091" spans="29:73" s="1" customFormat="1" x14ac:dyDescent="0.25">
      <c r="AC1091" s="4"/>
      <c r="AD1091" s="4"/>
      <c r="AE1091" s="4"/>
      <c r="AF1091" s="4"/>
      <c r="AG1091" s="4"/>
      <c r="AH1091" s="4"/>
      <c r="AI1091" s="4"/>
      <c r="AJ1091" s="4"/>
      <c r="AK1091" s="4"/>
      <c r="AL1091" s="4"/>
      <c r="AM1091" s="4"/>
      <c r="AN1091" s="4"/>
      <c r="AO1091" s="4"/>
      <c r="AP1091" s="4"/>
      <c r="AQ1091" s="4"/>
      <c r="AR1091" s="4"/>
      <c r="AS1091" s="4"/>
      <c r="AT1091" s="4"/>
      <c r="AU1091" s="4"/>
      <c r="AV1091" s="4"/>
      <c r="AW1091" s="4"/>
      <c r="AX1091" s="4"/>
      <c r="AY1091" s="4"/>
      <c r="AZ1091" s="4"/>
      <c r="BA1091" s="4"/>
      <c r="BB1091" s="4"/>
      <c r="BC1091" s="4"/>
      <c r="BD1091" s="4"/>
      <c r="BE1091" s="4"/>
      <c r="BF1091" s="4"/>
      <c r="BG1091" s="4"/>
      <c r="BH1091" s="4"/>
      <c r="BI1091" s="4"/>
      <c r="BJ1091" s="4"/>
      <c r="BK1091" s="4"/>
      <c r="BL1091" s="4"/>
      <c r="BM1091" s="4"/>
      <c r="BN1091" s="4"/>
      <c r="BO1091" s="4"/>
      <c r="BP1091" s="4"/>
      <c r="BQ1091" s="4"/>
      <c r="BR1091" s="4"/>
      <c r="BS1091" s="4"/>
      <c r="BT1091" s="4"/>
      <c r="BU1091" s="4"/>
    </row>
    <row r="1092" spans="29:73" s="1" customFormat="1" x14ac:dyDescent="0.25">
      <c r="AC1092" s="4"/>
      <c r="AD1092" s="4"/>
      <c r="AE1092" s="4"/>
      <c r="AF1092" s="4"/>
      <c r="AG1092" s="4"/>
      <c r="AH1092" s="4"/>
      <c r="AI1092" s="4"/>
      <c r="AJ1092" s="4"/>
      <c r="AK1092" s="4"/>
      <c r="AL1092" s="4"/>
      <c r="AM1092" s="4"/>
      <c r="AN1092" s="4"/>
      <c r="AO1092" s="4"/>
      <c r="AP1092" s="4"/>
      <c r="AQ1092" s="4"/>
      <c r="AR1092" s="4"/>
      <c r="AS1092" s="4"/>
      <c r="AT1092" s="4"/>
      <c r="AU1092" s="4"/>
      <c r="AV1092" s="4"/>
      <c r="AW1092" s="4"/>
      <c r="AX1092" s="4"/>
      <c r="AY1092" s="4"/>
      <c r="AZ1092" s="4"/>
      <c r="BA1092" s="4"/>
      <c r="BB1092" s="4"/>
      <c r="BC1092" s="4"/>
      <c r="BD1092" s="4"/>
      <c r="BE1092" s="4"/>
      <c r="BF1092" s="4"/>
      <c r="BG1092" s="4"/>
      <c r="BH1092" s="4"/>
      <c r="BI1092" s="4"/>
      <c r="BJ1092" s="4"/>
      <c r="BK1092" s="4"/>
      <c r="BL1092" s="4"/>
      <c r="BM1092" s="4"/>
      <c r="BN1092" s="4"/>
      <c r="BO1092" s="4"/>
      <c r="BP1092" s="4"/>
      <c r="BQ1092" s="4"/>
      <c r="BR1092" s="4"/>
      <c r="BS1092" s="4"/>
      <c r="BT1092" s="4"/>
      <c r="BU1092" s="4"/>
    </row>
    <row r="1093" spans="29:73" s="1" customFormat="1" x14ac:dyDescent="0.25">
      <c r="AC1093" s="4"/>
      <c r="AD1093" s="4"/>
      <c r="AE1093" s="4"/>
      <c r="AF1093" s="4"/>
      <c r="AG1093" s="4"/>
      <c r="AH1093" s="4"/>
      <c r="AI1093" s="4"/>
      <c r="AJ1093" s="4"/>
      <c r="AK1093" s="4"/>
      <c r="AL1093" s="4"/>
      <c r="AM1093" s="4"/>
      <c r="AN1093" s="4"/>
      <c r="AO1093" s="4"/>
      <c r="AP1093" s="4"/>
      <c r="AQ1093" s="4"/>
      <c r="AR1093" s="4"/>
      <c r="AS1093" s="4"/>
      <c r="AT1093" s="4"/>
      <c r="AU1093" s="4"/>
      <c r="AV1093" s="4"/>
      <c r="AW1093" s="4"/>
      <c r="AX1093" s="4"/>
      <c r="AY1093" s="4"/>
      <c r="AZ1093" s="4"/>
      <c r="BA1093" s="4"/>
      <c r="BB1093" s="4"/>
      <c r="BC1093" s="4"/>
      <c r="BD1093" s="4"/>
      <c r="BE1093" s="4"/>
      <c r="BF1093" s="4"/>
      <c r="BG1093" s="4"/>
      <c r="BH1093" s="4"/>
      <c r="BI1093" s="4"/>
      <c r="BJ1093" s="4"/>
      <c r="BK1093" s="4"/>
      <c r="BL1093" s="4"/>
      <c r="BM1093" s="4"/>
      <c r="BN1093" s="4"/>
      <c r="BO1093" s="4"/>
      <c r="BP1093" s="4"/>
      <c r="BQ1093" s="4"/>
      <c r="BR1093" s="4"/>
      <c r="BS1093" s="4"/>
      <c r="BT1093" s="4"/>
      <c r="BU1093" s="4"/>
    </row>
    <row r="1094" spans="29:73" s="1" customFormat="1" x14ac:dyDescent="0.25">
      <c r="AC1094" s="4"/>
      <c r="AD1094" s="4"/>
      <c r="AE1094" s="4"/>
      <c r="AF1094" s="4"/>
      <c r="AG1094" s="4"/>
      <c r="AH1094" s="4"/>
      <c r="AI1094" s="4"/>
      <c r="AJ1094" s="4"/>
      <c r="AK1094" s="4"/>
      <c r="AL1094" s="4"/>
      <c r="AM1094" s="4"/>
      <c r="AN1094" s="4"/>
      <c r="AO1094" s="4"/>
      <c r="AP1094" s="4"/>
      <c r="AQ1094" s="4"/>
      <c r="AR1094" s="4"/>
      <c r="AS1094" s="4"/>
      <c r="AT1094" s="4"/>
      <c r="AU1094" s="4"/>
      <c r="AV1094" s="4"/>
      <c r="AW1094" s="4"/>
      <c r="AX1094" s="4"/>
      <c r="AY1094" s="4"/>
      <c r="AZ1094" s="4"/>
      <c r="BA1094" s="4"/>
      <c r="BB1094" s="4"/>
      <c r="BC1094" s="4"/>
      <c r="BD1094" s="4"/>
      <c r="BE1094" s="4"/>
      <c r="BF1094" s="4"/>
      <c r="BG1094" s="4"/>
      <c r="BH1094" s="4"/>
      <c r="BI1094" s="4"/>
      <c r="BJ1094" s="4"/>
      <c r="BK1094" s="4"/>
      <c r="BL1094" s="4"/>
      <c r="BM1094" s="4"/>
      <c r="BN1094" s="4"/>
      <c r="BO1094" s="4"/>
      <c r="BP1094" s="4"/>
      <c r="BQ1094" s="4"/>
      <c r="BR1094" s="4"/>
      <c r="BS1094" s="4"/>
      <c r="BT1094" s="4"/>
      <c r="BU1094" s="4"/>
    </row>
    <row r="1095" spans="29:73" s="1" customFormat="1" x14ac:dyDescent="0.25">
      <c r="AC1095" s="4"/>
      <c r="AD1095" s="4"/>
      <c r="AE1095" s="4"/>
      <c r="AF1095" s="4"/>
      <c r="AG1095" s="4"/>
      <c r="AH1095" s="4"/>
      <c r="AI1095" s="4"/>
      <c r="AJ1095" s="4"/>
      <c r="AK1095" s="4"/>
      <c r="AL1095" s="4"/>
      <c r="AM1095" s="4"/>
      <c r="AN1095" s="4"/>
      <c r="AO1095" s="4"/>
      <c r="AP1095" s="4"/>
      <c r="AQ1095" s="4"/>
      <c r="AR1095" s="4"/>
      <c r="AS1095" s="4"/>
      <c r="AT1095" s="4"/>
      <c r="AU1095" s="4"/>
      <c r="AV1095" s="4"/>
      <c r="AW1095" s="4"/>
      <c r="AX1095" s="4"/>
      <c r="AY1095" s="4"/>
      <c r="AZ1095" s="4"/>
      <c r="BA1095" s="4"/>
      <c r="BB1095" s="4"/>
      <c r="BC1095" s="4"/>
      <c r="BD1095" s="4"/>
      <c r="BE1095" s="4"/>
      <c r="BF1095" s="4"/>
      <c r="BG1095" s="4"/>
      <c r="BH1095" s="4"/>
      <c r="BI1095" s="4"/>
      <c r="BJ1095" s="4"/>
      <c r="BK1095" s="4"/>
      <c r="BL1095" s="4"/>
      <c r="BM1095" s="4"/>
      <c r="BN1095" s="4"/>
      <c r="BO1095" s="4"/>
      <c r="BP1095" s="4"/>
      <c r="BQ1095" s="4"/>
      <c r="BR1095" s="4"/>
      <c r="BS1095" s="4"/>
      <c r="BT1095" s="4"/>
      <c r="BU1095" s="4"/>
    </row>
    <row r="1096" spans="29:73" s="1" customFormat="1" x14ac:dyDescent="0.25">
      <c r="AC1096" s="4"/>
      <c r="AD1096" s="4"/>
      <c r="AE1096" s="4"/>
      <c r="AF1096" s="4"/>
      <c r="AG1096" s="4"/>
      <c r="AH1096" s="4"/>
      <c r="AI1096" s="4"/>
      <c r="AJ1096" s="4"/>
      <c r="AK1096" s="4"/>
      <c r="AL1096" s="4"/>
      <c r="AM1096" s="4"/>
      <c r="AN1096" s="4"/>
      <c r="AO1096" s="4"/>
      <c r="AP1096" s="4"/>
      <c r="AQ1096" s="4"/>
      <c r="AR1096" s="4"/>
      <c r="AS1096" s="4"/>
      <c r="AT1096" s="4"/>
      <c r="AU1096" s="4"/>
      <c r="AV1096" s="4"/>
      <c r="AW1096" s="4"/>
      <c r="AX1096" s="4"/>
      <c r="AY1096" s="4"/>
      <c r="AZ1096" s="4"/>
      <c r="BA1096" s="4"/>
      <c r="BB1096" s="4"/>
      <c r="BC1096" s="4"/>
      <c r="BD1096" s="4"/>
      <c r="BE1096" s="4"/>
      <c r="BF1096" s="4"/>
      <c r="BG1096" s="4"/>
      <c r="BH1096" s="4"/>
      <c r="BI1096" s="4"/>
      <c r="BJ1096" s="4"/>
      <c r="BK1096" s="4"/>
      <c r="BL1096" s="4"/>
      <c r="BM1096" s="4"/>
      <c r="BN1096" s="4"/>
      <c r="BO1096" s="4"/>
      <c r="BP1096" s="4"/>
      <c r="BQ1096" s="4"/>
      <c r="BR1096" s="4"/>
      <c r="BS1096" s="4"/>
      <c r="BT1096" s="4"/>
      <c r="BU1096" s="4"/>
    </row>
    <row r="1097" spans="29:73" s="1" customFormat="1" x14ac:dyDescent="0.25">
      <c r="AC1097" s="4"/>
      <c r="AD1097" s="4"/>
      <c r="AE1097" s="4"/>
      <c r="AF1097" s="4"/>
      <c r="AG1097" s="4"/>
      <c r="AH1097" s="4"/>
      <c r="AI1097" s="4"/>
      <c r="AJ1097" s="4"/>
      <c r="AK1097" s="4"/>
      <c r="AL1097" s="4"/>
      <c r="AM1097" s="4"/>
      <c r="AN1097" s="4"/>
      <c r="AO1097" s="4"/>
      <c r="AP1097" s="4"/>
      <c r="AQ1097" s="4"/>
      <c r="AR1097" s="4"/>
      <c r="AS1097" s="4"/>
      <c r="AT1097" s="4"/>
      <c r="AU1097" s="4"/>
      <c r="AV1097" s="4"/>
      <c r="AW1097" s="4"/>
      <c r="AX1097" s="4"/>
      <c r="AY1097" s="4"/>
      <c r="AZ1097" s="4"/>
      <c r="BA1097" s="4"/>
      <c r="BB1097" s="4"/>
      <c r="BC1097" s="4"/>
      <c r="BD1097" s="4"/>
      <c r="BE1097" s="4"/>
      <c r="BF1097" s="4"/>
      <c r="BG1097" s="4"/>
      <c r="BH1097" s="4"/>
      <c r="BI1097" s="4"/>
      <c r="BJ1097" s="4"/>
      <c r="BK1097" s="4"/>
      <c r="BL1097" s="4"/>
      <c r="BM1097" s="4"/>
      <c r="BN1097" s="4"/>
      <c r="BO1097" s="4"/>
      <c r="BP1097" s="4"/>
      <c r="BQ1097" s="4"/>
      <c r="BR1097" s="4"/>
      <c r="BS1097" s="4"/>
      <c r="BT1097" s="4"/>
      <c r="BU1097" s="4"/>
    </row>
    <row r="1098" spans="29:73" s="1" customFormat="1" x14ac:dyDescent="0.25">
      <c r="AC1098" s="4"/>
      <c r="AD1098" s="4"/>
      <c r="AE1098" s="4"/>
      <c r="AF1098" s="4"/>
      <c r="AG1098" s="4"/>
      <c r="AH1098" s="4"/>
      <c r="AI1098" s="4"/>
      <c r="AJ1098" s="4"/>
      <c r="AK1098" s="4"/>
      <c r="AL1098" s="4"/>
      <c r="AM1098" s="4"/>
      <c r="AN1098" s="4"/>
      <c r="AO1098" s="4"/>
      <c r="AP1098" s="4"/>
      <c r="AQ1098" s="4"/>
      <c r="AR1098" s="4"/>
      <c r="AS1098" s="4"/>
      <c r="AT1098" s="4"/>
      <c r="AU1098" s="4"/>
      <c r="AV1098" s="4"/>
      <c r="AW1098" s="4"/>
      <c r="AX1098" s="4"/>
      <c r="AY1098" s="4"/>
      <c r="AZ1098" s="4"/>
      <c r="BA1098" s="4"/>
      <c r="BB1098" s="4"/>
      <c r="BC1098" s="4"/>
      <c r="BD1098" s="4"/>
      <c r="BE1098" s="4"/>
      <c r="BF1098" s="4"/>
      <c r="BG1098" s="4"/>
      <c r="BH1098" s="4"/>
      <c r="BI1098" s="4"/>
      <c r="BJ1098" s="4"/>
      <c r="BK1098" s="4"/>
      <c r="BL1098" s="4"/>
      <c r="BM1098" s="4"/>
      <c r="BN1098" s="4"/>
      <c r="BO1098" s="4"/>
      <c r="BP1098" s="4"/>
      <c r="BQ1098" s="4"/>
      <c r="BR1098" s="4"/>
      <c r="BS1098" s="4"/>
      <c r="BT1098" s="4"/>
      <c r="BU1098" s="4"/>
    </row>
    <row r="1099" spans="29:73" s="1" customFormat="1" x14ac:dyDescent="0.25">
      <c r="AC1099" s="4"/>
      <c r="AD1099" s="4"/>
      <c r="AE1099" s="4"/>
      <c r="AF1099" s="4"/>
      <c r="AG1099" s="4"/>
      <c r="AH1099" s="4"/>
      <c r="AI1099" s="4"/>
      <c r="AJ1099" s="4"/>
      <c r="AK1099" s="4"/>
      <c r="AL1099" s="4"/>
      <c r="AM1099" s="4"/>
      <c r="AN1099" s="4"/>
      <c r="AO1099" s="4"/>
      <c r="AP1099" s="4"/>
      <c r="AQ1099" s="4"/>
      <c r="AR1099" s="4"/>
      <c r="AS1099" s="4"/>
      <c r="AT1099" s="4"/>
      <c r="AU1099" s="4"/>
      <c r="AV1099" s="4"/>
      <c r="AW1099" s="4"/>
      <c r="AX1099" s="4"/>
      <c r="AY1099" s="4"/>
      <c r="AZ1099" s="4"/>
      <c r="BA1099" s="4"/>
      <c r="BB1099" s="4"/>
      <c r="BC1099" s="4"/>
      <c r="BD1099" s="4"/>
      <c r="BE1099" s="4"/>
      <c r="BF1099" s="4"/>
      <c r="BG1099" s="4"/>
      <c r="BH1099" s="4"/>
      <c r="BI1099" s="4"/>
      <c r="BJ1099" s="4"/>
      <c r="BK1099" s="4"/>
      <c r="BL1099" s="4"/>
      <c r="BM1099" s="4"/>
      <c r="BN1099" s="4"/>
      <c r="BO1099" s="4"/>
      <c r="BP1099" s="4"/>
      <c r="BQ1099" s="4"/>
      <c r="BR1099" s="4"/>
      <c r="BS1099" s="4"/>
      <c r="BT1099" s="4"/>
      <c r="BU1099" s="4"/>
    </row>
    <row r="1100" spans="29:73" s="1" customFormat="1" x14ac:dyDescent="0.25">
      <c r="AC1100" s="4"/>
      <c r="AD1100" s="4"/>
      <c r="AE1100" s="4"/>
      <c r="AF1100" s="4"/>
      <c r="AG1100" s="4"/>
      <c r="AH1100" s="4"/>
      <c r="AI1100" s="4"/>
      <c r="AJ1100" s="4"/>
      <c r="AK1100" s="4"/>
      <c r="AL1100" s="4"/>
      <c r="AM1100" s="4"/>
      <c r="AN1100" s="4"/>
      <c r="AO1100" s="4"/>
      <c r="AP1100" s="4"/>
      <c r="AQ1100" s="4"/>
      <c r="AR1100" s="4"/>
      <c r="AS1100" s="4"/>
      <c r="AT1100" s="4"/>
      <c r="AU1100" s="4"/>
      <c r="AV1100" s="4"/>
      <c r="AW1100" s="4"/>
      <c r="AX1100" s="4"/>
      <c r="AY1100" s="4"/>
      <c r="AZ1100" s="4"/>
      <c r="BA1100" s="4"/>
      <c r="BB1100" s="4"/>
      <c r="BC1100" s="4"/>
      <c r="BD1100" s="4"/>
      <c r="BE1100" s="4"/>
      <c r="BF1100" s="4"/>
      <c r="BG1100" s="4"/>
      <c r="BH1100" s="4"/>
      <c r="BI1100" s="4"/>
      <c r="BJ1100" s="4"/>
      <c r="BK1100" s="4"/>
      <c r="BL1100" s="4"/>
      <c r="BM1100" s="4"/>
      <c r="BN1100" s="4"/>
      <c r="BO1100" s="4"/>
      <c r="BP1100" s="4"/>
      <c r="BQ1100" s="4"/>
      <c r="BR1100" s="4"/>
      <c r="BS1100" s="4"/>
      <c r="BT1100" s="4"/>
      <c r="BU1100" s="4"/>
    </row>
    <row r="1101" spans="29:73" s="1" customFormat="1" x14ac:dyDescent="0.25">
      <c r="AC1101" s="4"/>
      <c r="AD1101" s="4"/>
      <c r="AE1101" s="4"/>
      <c r="AF1101" s="4"/>
      <c r="AG1101" s="4"/>
      <c r="AH1101" s="4"/>
      <c r="AI1101" s="4"/>
      <c r="AJ1101" s="4"/>
      <c r="AK1101" s="4"/>
      <c r="AL1101" s="4"/>
      <c r="AM1101" s="4"/>
      <c r="AN1101" s="4"/>
      <c r="AO1101" s="4"/>
      <c r="AP1101" s="4"/>
      <c r="AQ1101" s="4"/>
      <c r="AR1101" s="4"/>
      <c r="AS1101" s="4"/>
      <c r="AT1101" s="4"/>
      <c r="AU1101" s="4"/>
      <c r="AV1101" s="4"/>
      <c r="AW1101" s="4"/>
      <c r="AX1101" s="4"/>
      <c r="AY1101" s="4"/>
      <c r="AZ1101" s="4"/>
      <c r="BA1101" s="4"/>
      <c r="BB1101" s="4"/>
      <c r="BC1101" s="4"/>
      <c r="BD1101" s="4"/>
      <c r="BE1101" s="4"/>
      <c r="BF1101" s="4"/>
      <c r="BG1101" s="4"/>
      <c r="BH1101" s="4"/>
      <c r="BI1101" s="4"/>
      <c r="BJ1101" s="4"/>
      <c r="BK1101" s="4"/>
      <c r="BL1101" s="4"/>
      <c r="BM1101" s="4"/>
      <c r="BN1101" s="4"/>
      <c r="BO1101" s="4"/>
      <c r="BP1101" s="4"/>
      <c r="BQ1101" s="4"/>
      <c r="BR1101" s="4"/>
      <c r="BS1101" s="4"/>
      <c r="BT1101" s="4"/>
      <c r="BU1101" s="4"/>
    </row>
    <row r="1102" spans="29:73" s="1" customFormat="1" x14ac:dyDescent="0.25">
      <c r="AC1102" s="4"/>
      <c r="AD1102" s="4"/>
      <c r="AE1102" s="4"/>
      <c r="AF1102" s="4"/>
      <c r="AG1102" s="4"/>
      <c r="AH1102" s="4"/>
      <c r="AI1102" s="4"/>
      <c r="AJ1102" s="4"/>
      <c r="AK1102" s="4"/>
      <c r="AL1102" s="4"/>
      <c r="AM1102" s="4"/>
      <c r="AN1102" s="4"/>
      <c r="AO1102" s="4"/>
      <c r="AP1102" s="4"/>
      <c r="AQ1102" s="4"/>
      <c r="AR1102" s="4"/>
      <c r="AS1102" s="4"/>
      <c r="AT1102" s="4"/>
      <c r="AU1102" s="4"/>
      <c r="AV1102" s="4"/>
      <c r="AW1102" s="4"/>
      <c r="AX1102" s="4"/>
      <c r="AY1102" s="4"/>
      <c r="AZ1102" s="4"/>
      <c r="BA1102" s="4"/>
      <c r="BB1102" s="4"/>
      <c r="BC1102" s="4"/>
      <c r="BD1102" s="4"/>
      <c r="BE1102" s="4"/>
      <c r="BF1102" s="4"/>
      <c r="BG1102" s="4"/>
      <c r="BH1102" s="4"/>
      <c r="BI1102" s="4"/>
      <c r="BJ1102" s="4"/>
      <c r="BK1102" s="4"/>
      <c r="BL1102" s="4"/>
      <c r="BM1102" s="4"/>
      <c r="BN1102" s="4"/>
      <c r="BO1102" s="4"/>
      <c r="BP1102" s="4"/>
      <c r="BQ1102" s="4"/>
      <c r="BR1102" s="4"/>
      <c r="BS1102" s="4"/>
      <c r="BT1102" s="4"/>
      <c r="BU1102" s="4"/>
    </row>
    <row r="1103" spans="29:73" s="1" customFormat="1" x14ac:dyDescent="0.25">
      <c r="AC1103" s="4"/>
      <c r="AD1103" s="4"/>
      <c r="AE1103" s="4"/>
      <c r="AF1103" s="4"/>
      <c r="AG1103" s="4"/>
      <c r="AH1103" s="4"/>
      <c r="AI1103" s="4"/>
      <c r="AJ1103" s="4"/>
      <c r="AK1103" s="4"/>
      <c r="AL1103" s="4"/>
      <c r="AM1103" s="4"/>
      <c r="AN1103" s="4"/>
      <c r="AO1103" s="4"/>
      <c r="AP1103" s="4"/>
      <c r="AQ1103" s="4"/>
      <c r="AR1103" s="4"/>
      <c r="AS1103" s="4"/>
      <c r="AT1103" s="4"/>
      <c r="AU1103" s="4"/>
      <c r="AV1103" s="4"/>
      <c r="AW1103" s="4"/>
      <c r="AX1103" s="4"/>
      <c r="AY1103" s="4"/>
      <c r="AZ1103" s="4"/>
      <c r="BA1103" s="4"/>
      <c r="BB1103" s="4"/>
      <c r="BC1103" s="4"/>
      <c r="BD1103" s="4"/>
      <c r="BE1103" s="4"/>
      <c r="BF1103" s="4"/>
      <c r="BG1103" s="4"/>
      <c r="BH1103" s="4"/>
      <c r="BI1103" s="4"/>
      <c r="BJ1103" s="4"/>
      <c r="BK1103" s="4"/>
      <c r="BL1103" s="4"/>
      <c r="BM1103" s="4"/>
      <c r="BN1103" s="4"/>
      <c r="BO1103" s="4"/>
      <c r="BP1103" s="4"/>
      <c r="BQ1103" s="4"/>
      <c r="BR1103" s="4"/>
      <c r="BS1103" s="4"/>
      <c r="BT1103" s="4"/>
      <c r="BU1103" s="4"/>
    </row>
    <row r="1104" spans="29:73" s="1" customFormat="1" x14ac:dyDescent="0.25">
      <c r="AC1104" s="4"/>
      <c r="AD1104" s="4"/>
      <c r="AE1104" s="4"/>
      <c r="AF1104" s="4"/>
      <c r="AG1104" s="4"/>
      <c r="AH1104" s="4"/>
      <c r="AI1104" s="4"/>
      <c r="AJ1104" s="4"/>
      <c r="AK1104" s="4"/>
      <c r="AL1104" s="4"/>
      <c r="AM1104" s="4"/>
      <c r="AN1104" s="4"/>
      <c r="AO1104" s="4"/>
      <c r="AP1104" s="4"/>
      <c r="AQ1104" s="4"/>
      <c r="AR1104" s="4"/>
      <c r="AS1104" s="4"/>
      <c r="AT1104" s="4"/>
      <c r="AU1104" s="4"/>
      <c r="AV1104" s="4"/>
      <c r="AW1104" s="4"/>
      <c r="AX1104" s="4"/>
      <c r="AY1104" s="4"/>
      <c r="AZ1104" s="4"/>
      <c r="BA1104" s="4"/>
      <c r="BB1104" s="4"/>
      <c r="BC1104" s="4"/>
      <c r="BD1104" s="4"/>
      <c r="BE1104" s="4"/>
      <c r="BF1104" s="4"/>
      <c r="BG1104" s="4"/>
      <c r="BH1104" s="4"/>
      <c r="BI1104" s="4"/>
      <c r="BJ1104" s="4"/>
      <c r="BK1104" s="4"/>
      <c r="BL1104" s="4"/>
      <c r="BM1104" s="4"/>
      <c r="BN1104" s="4"/>
      <c r="BO1104" s="4"/>
      <c r="BP1104" s="4"/>
      <c r="BQ1104" s="4"/>
      <c r="BR1104" s="4"/>
      <c r="BS1104" s="4"/>
      <c r="BT1104" s="4"/>
      <c r="BU1104" s="4"/>
    </row>
    <row r="1105" spans="29:73" s="1" customFormat="1" x14ac:dyDescent="0.25">
      <c r="AC1105" s="4"/>
      <c r="AD1105" s="4"/>
      <c r="AE1105" s="4"/>
      <c r="AF1105" s="4"/>
      <c r="AG1105" s="4"/>
      <c r="AH1105" s="4"/>
      <c r="AI1105" s="4"/>
      <c r="AJ1105" s="4"/>
      <c r="AK1105" s="4"/>
      <c r="AL1105" s="4"/>
      <c r="AM1105" s="4"/>
      <c r="AN1105" s="4"/>
      <c r="AO1105" s="4"/>
      <c r="AP1105" s="4"/>
      <c r="AQ1105" s="4"/>
      <c r="AR1105" s="4"/>
      <c r="AS1105" s="4"/>
      <c r="AT1105" s="4"/>
      <c r="AU1105" s="4"/>
      <c r="AV1105" s="4"/>
      <c r="AW1105" s="4"/>
      <c r="AX1105" s="4"/>
      <c r="AY1105" s="4"/>
      <c r="AZ1105" s="4"/>
      <c r="BA1105" s="4"/>
      <c r="BB1105" s="4"/>
      <c r="BC1105" s="4"/>
      <c r="BD1105" s="4"/>
      <c r="BE1105" s="4"/>
      <c r="BF1105" s="4"/>
      <c r="BG1105" s="4"/>
      <c r="BH1105" s="4"/>
      <c r="BI1105" s="4"/>
      <c r="BJ1105" s="4"/>
      <c r="BK1105" s="4"/>
      <c r="BL1105" s="4"/>
      <c r="BM1105" s="4"/>
      <c r="BN1105" s="4"/>
      <c r="BO1105" s="4"/>
      <c r="BP1105" s="4"/>
      <c r="BQ1105" s="4"/>
      <c r="BR1105" s="4"/>
      <c r="BS1105" s="4"/>
      <c r="BT1105" s="4"/>
      <c r="BU1105" s="4"/>
    </row>
    <row r="1106" spans="29:73" s="1" customFormat="1" x14ac:dyDescent="0.25">
      <c r="AC1106" s="4"/>
      <c r="AD1106" s="4"/>
      <c r="AE1106" s="4"/>
      <c r="AF1106" s="4"/>
      <c r="AG1106" s="4"/>
      <c r="AH1106" s="4"/>
      <c r="AI1106" s="4"/>
      <c r="AJ1106" s="4"/>
      <c r="AK1106" s="4"/>
      <c r="AL1106" s="4"/>
      <c r="AM1106" s="4"/>
      <c r="AN1106" s="4"/>
      <c r="AO1106" s="4"/>
      <c r="AP1106" s="4"/>
      <c r="AQ1106" s="4"/>
      <c r="AR1106" s="4"/>
      <c r="AS1106" s="4"/>
      <c r="AT1106" s="4"/>
      <c r="AU1106" s="4"/>
      <c r="AV1106" s="4"/>
      <c r="AW1106" s="4"/>
      <c r="AX1106" s="4"/>
      <c r="AY1106" s="4"/>
      <c r="AZ1106" s="4"/>
      <c r="BA1106" s="4"/>
      <c r="BB1106" s="4"/>
      <c r="BC1106" s="4"/>
      <c r="BD1106" s="4"/>
      <c r="BE1106" s="4"/>
      <c r="BF1106" s="4"/>
      <c r="BG1106" s="4"/>
      <c r="BH1106" s="4"/>
      <c r="BI1106" s="4"/>
      <c r="BJ1106" s="4"/>
      <c r="BK1106" s="4"/>
      <c r="BL1106" s="4"/>
      <c r="BM1106" s="4"/>
      <c r="BN1106" s="4"/>
      <c r="BO1106" s="4"/>
      <c r="BP1106" s="4"/>
      <c r="BQ1106" s="4"/>
      <c r="BR1106" s="4"/>
      <c r="BS1106" s="4"/>
      <c r="BT1106" s="4"/>
      <c r="BU1106" s="4"/>
    </row>
    <row r="1107" spans="29:73" s="1" customFormat="1" x14ac:dyDescent="0.25">
      <c r="AC1107" s="4"/>
      <c r="AD1107" s="4"/>
      <c r="AE1107" s="4"/>
      <c r="AF1107" s="4"/>
      <c r="AG1107" s="4"/>
      <c r="AH1107" s="4"/>
      <c r="AI1107" s="4"/>
      <c r="AJ1107" s="4"/>
      <c r="AK1107" s="4"/>
      <c r="AL1107" s="4"/>
      <c r="AM1107" s="4"/>
      <c r="AN1107" s="4"/>
      <c r="AO1107" s="4"/>
      <c r="AP1107" s="4"/>
      <c r="AQ1107" s="4"/>
      <c r="AR1107" s="4"/>
      <c r="AS1107" s="4"/>
      <c r="AT1107" s="4"/>
      <c r="AU1107" s="4"/>
      <c r="AV1107" s="4"/>
      <c r="AW1107" s="4"/>
      <c r="AX1107" s="4"/>
      <c r="AY1107" s="4"/>
      <c r="AZ1107" s="4"/>
      <c r="BA1107" s="4"/>
      <c r="BB1107" s="4"/>
      <c r="BC1107" s="4"/>
      <c r="BD1107" s="4"/>
      <c r="BE1107" s="4"/>
      <c r="BF1107" s="4"/>
      <c r="BG1107" s="4"/>
      <c r="BH1107" s="4"/>
      <c r="BI1107" s="4"/>
      <c r="BJ1107" s="4"/>
      <c r="BK1107" s="4"/>
      <c r="BL1107" s="4"/>
      <c r="BM1107" s="4"/>
      <c r="BN1107" s="4"/>
      <c r="BO1107" s="4"/>
      <c r="BP1107" s="4"/>
      <c r="BQ1107" s="4"/>
      <c r="BR1107" s="4"/>
      <c r="BS1107" s="4"/>
      <c r="BT1107" s="4"/>
      <c r="BU1107" s="4"/>
    </row>
    <row r="1108" spans="29:73" s="1" customFormat="1" x14ac:dyDescent="0.25">
      <c r="AC1108" s="4"/>
      <c r="AD1108" s="4"/>
      <c r="AE1108" s="4"/>
      <c r="AF1108" s="4"/>
      <c r="AG1108" s="4"/>
      <c r="AH1108" s="4"/>
      <c r="AI1108" s="4"/>
      <c r="AJ1108" s="4"/>
      <c r="AK1108" s="4"/>
      <c r="AL1108" s="4"/>
      <c r="AM1108" s="4"/>
      <c r="AN1108" s="4"/>
      <c r="AO1108" s="4"/>
      <c r="AP1108" s="4"/>
      <c r="AQ1108" s="4"/>
      <c r="AR1108" s="4"/>
      <c r="AS1108" s="4"/>
      <c r="AT1108" s="4"/>
      <c r="AU1108" s="4"/>
      <c r="AV1108" s="4"/>
      <c r="AW1108" s="4"/>
      <c r="AX1108" s="4"/>
      <c r="AY1108" s="4"/>
      <c r="AZ1108" s="4"/>
      <c r="BA1108" s="4"/>
      <c r="BB1108" s="4"/>
      <c r="BC1108" s="4"/>
      <c r="BD1108" s="4"/>
      <c r="BE1108" s="4"/>
      <c r="BF1108" s="4"/>
      <c r="BG1108" s="4"/>
      <c r="BH1108" s="4"/>
      <c r="BI1108" s="4"/>
      <c r="BJ1108" s="4"/>
      <c r="BK1108" s="4"/>
      <c r="BL1108" s="4"/>
      <c r="BM1108" s="4"/>
      <c r="BN1108" s="4"/>
      <c r="BO1108" s="4"/>
      <c r="BP1108" s="4"/>
      <c r="BQ1108" s="4"/>
      <c r="BR1108" s="4"/>
      <c r="BS1108" s="4"/>
      <c r="BT1108" s="4"/>
      <c r="BU1108" s="4"/>
    </row>
    <row r="1109" spans="29:73" s="1" customFormat="1" x14ac:dyDescent="0.25">
      <c r="AC1109" s="4"/>
      <c r="AD1109" s="4"/>
      <c r="AE1109" s="4"/>
      <c r="AF1109" s="4"/>
      <c r="AG1109" s="4"/>
      <c r="AH1109" s="4"/>
      <c r="AI1109" s="4"/>
      <c r="AJ1109" s="4"/>
      <c r="AK1109" s="4"/>
      <c r="AL1109" s="4"/>
      <c r="AM1109" s="4"/>
      <c r="AN1109" s="4"/>
      <c r="AO1109" s="4"/>
      <c r="AP1109" s="4"/>
      <c r="AQ1109" s="4"/>
      <c r="AR1109" s="4"/>
      <c r="AS1109" s="4"/>
      <c r="AT1109" s="4"/>
      <c r="AU1109" s="4"/>
      <c r="AV1109" s="4"/>
      <c r="AW1109" s="4"/>
      <c r="AX1109" s="4"/>
      <c r="AY1109" s="4"/>
      <c r="AZ1109" s="4"/>
      <c r="BA1109" s="4"/>
      <c r="BB1109" s="4"/>
      <c r="BC1109" s="4"/>
      <c r="BD1109" s="4"/>
      <c r="BE1109" s="4"/>
      <c r="BF1109" s="4"/>
      <c r="BG1109" s="4"/>
      <c r="BH1109" s="4"/>
      <c r="BI1109" s="4"/>
      <c r="BJ1109" s="4"/>
      <c r="BK1109" s="4"/>
      <c r="BL1109" s="4"/>
      <c r="BM1109" s="4"/>
      <c r="BN1109" s="4"/>
      <c r="BO1109" s="4"/>
      <c r="BP1109" s="4"/>
      <c r="BQ1109" s="4"/>
      <c r="BR1109" s="4"/>
      <c r="BS1109" s="4"/>
      <c r="BT1109" s="4"/>
      <c r="BU1109" s="4"/>
    </row>
    <row r="1110" spans="29:73" s="1" customFormat="1" x14ac:dyDescent="0.25">
      <c r="AC1110" s="4"/>
      <c r="AD1110" s="4"/>
      <c r="AE1110" s="4"/>
      <c r="AF1110" s="4"/>
      <c r="AG1110" s="4"/>
      <c r="AH1110" s="4"/>
      <c r="AI1110" s="4"/>
      <c r="AJ1110" s="4"/>
      <c r="AK1110" s="4"/>
      <c r="AL1110" s="4"/>
      <c r="AM1110" s="4"/>
      <c r="AN1110" s="4"/>
      <c r="AO1110" s="4"/>
      <c r="AP1110" s="4"/>
      <c r="AQ1110" s="4"/>
      <c r="AR1110" s="4"/>
      <c r="AS1110" s="4"/>
      <c r="AT1110" s="4"/>
      <c r="AU1110" s="4"/>
      <c r="AV1110" s="4"/>
      <c r="AW1110" s="4"/>
      <c r="AX1110" s="4"/>
      <c r="AY1110" s="4"/>
      <c r="AZ1110" s="4"/>
      <c r="BA1110" s="4"/>
      <c r="BB1110" s="4"/>
      <c r="BC1110" s="4"/>
      <c r="BD1110" s="4"/>
      <c r="BE1110" s="4"/>
      <c r="BF1110" s="4"/>
      <c r="BG1110" s="4"/>
      <c r="BH1110" s="4"/>
      <c r="BI1110" s="4"/>
      <c r="BJ1110" s="4"/>
      <c r="BK1110" s="4"/>
      <c r="BL1110" s="4"/>
      <c r="BM1110" s="4"/>
      <c r="BN1110" s="4"/>
      <c r="BO1110" s="4"/>
      <c r="BP1110" s="4"/>
      <c r="BQ1110" s="4"/>
      <c r="BR1110" s="4"/>
      <c r="BS1110" s="4"/>
      <c r="BT1110" s="4"/>
      <c r="BU1110" s="4"/>
    </row>
    <row r="1111" spans="29:73" s="1" customFormat="1" x14ac:dyDescent="0.25">
      <c r="AC1111" s="4"/>
      <c r="AD1111" s="4"/>
      <c r="AE1111" s="4"/>
      <c r="AF1111" s="4"/>
      <c r="AG1111" s="4"/>
      <c r="AH1111" s="4"/>
      <c r="AI1111" s="4"/>
      <c r="AJ1111" s="4"/>
      <c r="AK1111" s="4"/>
      <c r="AL1111" s="4"/>
      <c r="AM1111" s="4"/>
      <c r="AN1111" s="4"/>
      <c r="AO1111" s="4"/>
      <c r="AP1111" s="4"/>
      <c r="AQ1111" s="4"/>
      <c r="AR1111" s="4"/>
      <c r="AS1111" s="4"/>
      <c r="AT1111" s="4"/>
      <c r="AU1111" s="4"/>
      <c r="AV1111" s="4"/>
      <c r="AW1111" s="4"/>
      <c r="AX1111" s="4"/>
      <c r="AY1111" s="4"/>
      <c r="AZ1111" s="4"/>
      <c r="BA1111" s="4"/>
      <c r="BB1111" s="4"/>
      <c r="BC1111" s="4"/>
      <c r="BD1111" s="4"/>
      <c r="BE1111" s="4"/>
      <c r="BF1111" s="4"/>
      <c r="BG1111" s="4"/>
      <c r="BH1111" s="4"/>
      <c r="BI1111" s="4"/>
      <c r="BJ1111" s="4"/>
      <c r="BK1111" s="4"/>
      <c r="BL1111" s="4"/>
      <c r="BM1111" s="4"/>
      <c r="BN1111" s="4"/>
      <c r="BO1111" s="4"/>
      <c r="BP1111" s="4"/>
      <c r="BQ1111" s="4"/>
      <c r="BR1111" s="4"/>
      <c r="BS1111" s="4"/>
      <c r="BT1111" s="4"/>
      <c r="BU1111" s="4"/>
    </row>
    <row r="1112" spans="29:73" s="1" customFormat="1" x14ac:dyDescent="0.25">
      <c r="AC1112" s="4"/>
      <c r="AD1112" s="4"/>
      <c r="AE1112" s="4"/>
      <c r="AF1112" s="4"/>
      <c r="AG1112" s="4"/>
      <c r="AH1112" s="4"/>
      <c r="AI1112" s="4"/>
      <c r="AJ1112" s="4"/>
      <c r="AK1112" s="4"/>
      <c r="AL1112" s="4"/>
      <c r="AM1112" s="4"/>
      <c r="AN1112" s="4"/>
      <c r="AO1112" s="4"/>
      <c r="AP1112" s="4"/>
      <c r="AQ1112" s="4"/>
      <c r="AR1112" s="4"/>
      <c r="AS1112" s="4"/>
      <c r="AT1112" s="4"/>
      <c r="AU1112" s="4"/>
      <c r="AV1112" s="4"/>
      <c r="AW1112" s="4"/>
      <c r="AX1112" s="4"/>
      <c r="AY1112" s="4"/>
      <c r="AZ1112" s="4"/>
      <c r="BA1112" s="4"/>
      <c r="BB1112" s="4"/>
      <c r="BC1112" s="4"/>
      <c r="BD1112" s="4"/>
      <c r="BE1112" s="4"/>
      <c r="BF1112" s="4"/>
      <c r="BG1112" s="4"/>
      <c r="BH1112" s="4"/>
      <c r="BI1112" s="4"/>
      <c r="BJ1112" s="4"/>
      <c r="BK1112" s="4"/>
      <c r="BL1112" s="4"/>
      <c r="BM1112" s="4"/>
      <c r="BN1112" s="4"/>
      <c r="BO1112" s="4"/>
      <c r="BP1112" s="4"/>
      <c r="BQ1112" s="4"/>
      <c r="BR1112" s="4"/>
      <c r="BS1112" s="4"/>
      <c r="BT1112" s="4"/>
      <c r="BU1112" s="4"/>
    </row>
    <row r="1113" spans="29:73" s="1" customFormat="1" x14ac:dyDescent="0.25">
      <c r="AC1113" s="4"/>
      <c r="AD1113" s="4"/>
      <c r="AE1113" s="4"/>
      <c r="AF1113" s="4"/>
      <c r="AG1113" s="4"/>
      <c r="AH1113" s="4"/>
      <c r="AI1113" s="4"/>
      <c r="AJ1113" s="4"/>
      <c r="AK1113" s="4"/>
      <c r="AL1113" s="4"/>
      <c r="AM1113" s="4"/>
      <c r="AN1113" s="4"/>
      <c r="AO1113" s="4"/>
      <c r="AP1113" s="4"/>
      <c r="AQ1113" s="4"/>
      <c r="AR1113" s="4"/>
      <c r="AS1113" s="4"/>
      <c r="AT1113" s="4"/>
      <c r="AU1113" s="4"/>
      <c r="AV1113" s="4"/>
      <c r="AW1113" s="4"/>
      <c r="AX1113" s="4"/>
      <c r="AY1113" s="4"/>
      <c r="AZ1113" s="4"/>
      <c r="BA1113" s="4"/>
      <c r="BB1113" s="4"/>
      <c r="BC1113" s="4"/>
      <c r="BD1113" s="4"/>
      <c r="BE1113" s="4"/>
      <c r="BF1113" s="4"/>
      <c r="BG1113" s="4"/>
      <c r="BH1113" s="4"/>
      <c r="BI1113" s="4"/>
      <c r="BJ1113" s="4"/>
      <c r="BK1113" s="4"/>
      <c r="BL1113" s="4"/>
      <c r="BM1113" s="4"/>
      <c r="BN1113" s="4"/>
      <c r="BO1113" s="4"/>
      <c r="BP1113" s="4"/>
      <c r="BQ1113" s="4"/>
      <c r="BR1113" s="4"/>
      <c r="BS1113" s="4"/>
      <c r="BT1113" s="4"/>
      <c r="BU1113" s="4"/>
    </row>
    <row r="1114" spans="29:73" s="1" customFormat="1" x14ac:dyDescent="0.25">
      <c r="AC1114" s="4"/>
      <c r="AD1114" s="4"/>
      <c r="AE1114" s="4"/>
      <c r="AF1114" s="4"/>
      <c r="AG1114" s="4"/>
      <c r="AH1114" s="4"/>
      <c r="AI1114" s="4"/>
      <c r="AJ1114" s="4"/>
      <c r="AK1114" s="4"/>
      <c r="AL1114" s="4"/>
      <c r="AM1114" s="4"/>
      <c r="AN1114" s="4"/>
      <c r="AO1114" s="4"/>
      <c r="AP1114" s="4"/>
      <c r="AQ1114" s="4"/>
      <c r="AR1114" s="4"/>
      <c r="AS1114" s="4"/>
      <c r="AT1114" s="4"/>
      <c r="AU1114" s="4"/>
      <c r="AV1114" s="4"/>
      <c r="AW1114" s="4"/>
      <c r="AX1114" s="4"/>
      <c r="AY1114" s="4"/>
      <c r="AZ1114" s="4"/>
      <c r="BA1114" s="4"/>
      <c r="BB1114" s="4"/>
      <c r="BC1114" s="4"/>
      <c r="BD1114" s="4"/>
      <c r="BE1114" s="4"/>
      <c r="BF1114" s="4"/>
      <c r="BG1114" s="4"/>
      <c r="BH1114" s="4"/>
      <c r="BI1114" s="4"/>
      <c r="BJ1114" s="4"/>
      <c r="BK1114" s="4"/>
      <c r="BL1114" s="4"/>
      <c r="BM1114" s="4"/>
      <c r="BN1114" s="4"/>
      <c r="BO1114" s="4"/>
      <c r="BP1114" s="4"/>
      <c r="BQ1114" s="4"/>
      <c r="BR1114" s="4"/>
      <c r="BS1114" s="4"/>
      <c r="BT1114" s="4"/>
      <c r="BU1114" s="4"/>
    </row>
    <row r="1115" spans="29:73" s="1" customFormat="1" x14ac:dyDescent="0.25">
      <c r="AC1115" s="4"/>
      <c r="AD1115" s="4"/>
      <c r="AE1115" s="4"/>
      <c r="AF1115" s="4"/>
      <c r="AG1115" s="4"/>
      <c r="AH1115" s="4"/>
      <c r="AI1115" s="4"/>
      <c r="AJ1115" s="4"/>
      <c r="AK1115" s="4"/>
      <c r="AL1115" s="4"/>
      <c r="AM1115" s="4"/>
      <c r="AN1115" s="4"/>
      <c r="AO1115" s="4"/>
      <c r="AP1115" s="4"/>
      <c r="AQ1115" s="4"/>
      <c r="AR1115" s="4"/>
      <c r="AS1115" s="4"/>
      <c r="AT1115" s="4"/>
      <c r="AU1115" s="4"/>
      <c r="AV1115" s="4"/>
      <c r="AW1115" s="4"/>
      <c r="AX1115" s="4"/>
      <c r="AY1115" s="4"/>
      <c r="AZ1115" s="4"/>
      <c r="BA1115" s="4"/>
      <c r="BB1115" s="4"/>
      <c r="BC1115" s="4"/>
      <c r="BD1115" s="4"/>
      <c r="BE1115" s="4"/>
      <c r="BF1115" s="4"/>
      <c r="BG1115" s="4"/>
      <c r="BH1115" s="4"/>
      <c r="BI1115" s="4"/>
      <c r="BJ1115" s="4"/>
      <c r="BK1115" s="4"/>
      <c r="BL1115" s="4"/>
      <c r="BM1115" s="4"/>
      <c r="BN1115" s="4"/>
      <c r="BO1115" s="4"/>
      <c r="BP1115" s="4"/>
      <c r="BQ1115" s="4"/>
      <c r="BR1115" s="4"/>
      <c r="BS1115" s="4"/>
      <c r="BT1115" s="4"/>
      <c r="BU1115" s="4"/>
    </row>
    <row r="1116" spans="29:73" s="1" customFormat="1" x14ac:dyDescent="0.25">
      <c r="AC1116" s="4"/>
      <c r="AD1116" s="4"/>
      <c r="AE1116" s="4"/>
      <c r="AF1116" s="4"/>
      <c r="AG1116" s="4"/>
      <c r="AH1116" s="4"/>
      <c r="AI1116" s="4"/>
      <c r="AJ1116" s="4"/>
      <c r="AK1116" s="4"/>
      <c r="AL1116" s="4"/>
      <c r="AM1116" s="4"/>
      <c r="AN1116" s="4"/>
      <c r="AO1116" s="4"/>
      <c r="AP1116" s="4"/>
      <c r="AQ1116" s="4"/>
      <c r="AR1116" s="4"/>
      <c r="AS1116" s="4"/>
      <c r="AT1116" s="4"/>
      <c r="AU1116" s="4"/>
      <c r="AV1116" s="4"/>
      <c r="AW1116" s="4"/>
      <c r="AX1116" s="4"/>
      <c r="AY1116" s="4"/>
      <c r="AZ1116" s="4"/>
      <c r="BA1116" s="4"/>
      <c r="BB1116" s="4"/>
      <c r="BC1116" s="4"/>
      <c r="BD1116" s="4"/>
      <c r="BE1116" s="4"/>
      <c r="BF1116" s="4"/>
      <c r="BG1116" s="4"/>
      <c r="BH1116" s="4"/>
      <c r="BI1116" s="4"/>
      <c r="BJ1116" s="4"/>
      <c r="BK1116" s="4"/>
      <c r="BL1116" s="4"/>
      <c r="BM1116" s="4"/>
      <c r="BN1116" s="4"/>
      <c r="BO1116" s="4"/>
      <c r="BP1116" s="4"/>
      <c r="BQ1116" s="4"/>
      <c r="BR1116" s="4"/>
      <c r="BS1116" s="4"/>
      <c r="BT1116" s="4"/>
      <c r="BU1116" s="4"/>
    </row>
    <row r="1117" spans="29:73" s="1" customFormat="1" x14ac:dyDescent="0.25">
      <c r="AC1117" s="4"/>
      <c r="AD1117" s="4"/>
      <c r="AE1117" s="4"/>
      <c r="AF1117" s="4"/>
      <c r="AG1117" s="4"/>
      <c r="AH1117" s="4"/>
      <c r="AI1117" s="4"/>
      <c r="AJ1117" s="4"/>
      <c r="AK1117" s="4"/>
      <c r="AL1117" s="4"/>
      <c r="AM1117" s="4"/>
      <c r="AN1117" s="4"/>
      <c r="AO1117" s="4"/>
      <c r="AP1117" s="4"/>
      <c r="AQ1117" s="4"/>
      <c r="AR1117" s="4"/>
      <c r="AS1117" s="4"/>
      <c r="AT1117" s="4"/>
      <c r="AU1117" s="4"/>
      <c r="AV1117" s="4"/>
      <c r="AW1117" s="4"/>
      <c r="AX1117" s="4"/>
      <c r="AY1117" s="4"/>
      <c r="AZ1117" s="4"/>
      <c r="BA1117" s="4"/>
      <c r="BB1117" s="4"/>
      <c r="BC1117" s="4"/>
      <c r="BD1117" s="4"/>
      <c r="BE1117" s="4"/>
      <c r="BF1117" s="4"/>
      <c r="BG1117" s="4"/>
      <c r="BH1117" s="4"/>
      <c r="BI1117" s="4"/>
      <c r="BJ1117" s="4"/>
      <c r="BK1117" s="4"/>
      <c r="BL1117" s="4"/>
      <c r="BM1117" s="4"/>
      <c r="BN1117" s="4"/>
      <c r="BO1117" s="4"/>
      <c r="BP1117" s="4"/>
      <c r="BQ1117" s="4"/>
      <c r="BR1117" s="4"/>
      <c r="BS1117" s="4"/>
      <c r="BT1117" s="4"/>
      <c r="BU1117" s="4"/>
    </row>
    <row r="1118" spans="29:73" s="1" customFormat="1" x14ac:dyDescent="0.25">
      <c r="AC1118" s="4"/>
      <c r="AD1118" s="4"/>
      <c r="AE1118" s="4"/>
      <c r="AF1118" s="4"/>
      <c r="AG1118" s="4"/>
      <c r="AH1118" s="4"/>
      <c r="AI1118" s="4"/>
      <c r="AJ1118" s="4"/>
      <c r="AK1118" s="4"/>
      <c r="AL1118" s="4"/>
      <c r="AM1118" s="4"/>
      <c r="AN1118" s="4"/>
      <c r="AO1118" s="4"/>
      <c r="AP1118" s="4"/>
      <c r="AQ1118" s="4"/>
      <c r="AR1118" s="4"/>
      <c r="AS1118" s="4"/>
      <c r="AT1118" s="4"/>
      <c r="AU1118" s="4"/>
      <c r="AV1118" s="4"/>
      <c r="AW1118" s="4"/>
      <c r="AX1118" s="4"/>
      <c r="AY1118" s="4"/>
      <c r="AZ1118" s="4"/>
      <c r="BA1118" s="4"/>
      <c r="BB1118" s="4"/>
      <c r="BC1118" s="4"/>
      <c r="BD1118" s="4"/>
      <c r="BE1118" s="4"/>
      <c r="BF1118" s="4"/>
      <c r="BG1118" s="4"/>
      <c r="BH1118" s="4"/>
      <c r="BI1118" s="4"/>
      <c r="BJ1118" s="4"/>
      <c r="BK1118" s="4"/>
      <c r="BL1118" s="4"/>
      <c r="BM1118" s="4"/>
      <c r="BN1118" s="4"/>
      <c r="BO1118" s="4"/>
      <c r="BP1118" s="4"/>
      <c r="BQ1118" s="4"/>
      <c r="BR1118" s="4"/>
      <c r="BS1118" s="4"/>
      <c r="BT1118" s="4"/>
      <c r="BU1118" s="4"/>
    </row>
    <row r="1119" spans="29:73" s="1" customFormat="1" x14ac:dyDescent="0.25">
      <c r="AC1119" s="4"/>
      <c r="AD1119" s="4"/>
      <c r="AE1119" s="4"/>
      <c r="AF1119" s="4"/>
      <c r="AG1119" s="4"/>
      <c r="AH1119" s="4"/>
      <c r="AI1119" s="4"/>
      <c r="AJ1119" s="4"/>
      <c r="AK1119" s="4"/>
      <c r="AL1119" s="4"/>
      <c r="AM1119" s="4"/>
      <c r="AN1119" s="4"/>
      <c r="AO1119" s="4"/>
      <c r="AP1119" s="4"/>
      <c r="AQ1119" s="4"/>
      <c r="AR1119" s="4"/>
      <c r="AS1119" s="4"/>
      <c r="AT1119" s="4"/>
      <c r="AU1119" s="4"/>
      <c r="AV1119" s="4"/>
      <c r="AW1119" s="4"/>
      <c r="AX1119" s="4"/>
      <c r="AY1119" s="4"/>
      <c r="AZ1119" s="4"/>
      <c r="BA1119" s="4"/>
      <c r="BB1119" s="4"/>
      <c r="BC1119" s="4"/>
      <c r="BD1119" s="4"/>
      <c r="BE1119" s="4"/>
      <c r="BF1119" s="4"/>
      <c r="BG1119" s="4"/>
      <c r="BH1119" s="4"/>
      <c r="BI1119" s="4"/>
      <c r="BJ1119" s="4"/>
      <c r="BK1119" s="4"/>
      <c r="BL1119" s="4"/>
      <c r="BM1119" s="4"/>
      <c r="BN1119" s="4"/>
      <c r="BO1119" s="4"/>
      <c r="BP1119" s="4"/>
      <c r="BQ1119" s="4"/>
      <c r="BR1119" s="4"/>
      <c r="BS1119" s="4"/>
      <c r="BT1119" s="4"/>
      <c r="BU1119" s="4"/>
    </row>
    <row r="1120" spans="29:73" s="1" customFormat="1" x14ac:dyDescent="0.25">
      <c r="AC1120" s="4"/>
      <c r="AD1120" s="4"/>
      <c r="AE1120" s="4"/>
      <c r="AF1120" s="4"/>
      <c r="AG1120" s="4"/>
      <c r="AH1120" s="4"/>
      <c r="AI1120" s="4"/>
      <c r="AJ1120" s="4"/>
      <c r="AK1120" s="4"/>
      <c r="AL1120" s="4"/>
      <c r="AM1120" s="4"/>
      <c r="AN1120" s="4"/>
      <c r="AO1120" s="4"/>
      <c r="AP1120" s="4"/>
      <c r="AQ1120" s="4"/>
      <c r="AR1120" s="4"/>
      <c r="AS1120" s="4"/>
      <c r="AT1120" s="4"/>
      <c r="AU1120" s="4"/>
      <c r="AV1120" s="4"/>
      <c r="AW1120" s="4"/>
      <c r="AX1120" s="4"/>
      <c r="AY1120" s="4"/>
      <c r="AZ1120" s="4"/>
      <c r="BA1120" s="4"/>
      <c r="BB1120" s="4"/>
      <c r="BC1120" s="4"/>
      <c r="BD1120" s="4"/>
      <c r="BE1120" s="4"/>
      <c r="BF1120" s="4"/>
      <c r="BG1120" s="4"/>
      <c r="BH1120" s="4"/>
      <c r="BI1120" s="4"/>
      <c r="BJ1120" s="4"/>
      <c r="BK1120" s="4"/>
      <c r="BL1120" s="4"/>
      <c r="BM1120" s="4"/>
      <c r="BN1120" s="4"/>
      <c r="BO1120" s="4"/>
      <c r="BP1120" s="4"/>
      <c r="BQ1120" s="4"/>
      <c r="BR1120" s="4"/>
      <c r="BS1120" s="4"/>
      <c r="BT1120" s="4"/>
      <c r="BU1120" s="4"/>
    </row>
    <row r="1121" spans="29:73" s="1" customFormat="1" x14ac:dyDescent="0.25">
      <c r="AC1121" s="4"/>
      <c r="AD1121" s="4"/>
      <c r="AE1121" s="4"/>
      <c r="AF1121" s="4"/>
      <c r="AG1121" s="4"/>
      <c r="AH1121" s="4"/>
      <c r="AI1121" s="4"/>
      <c r="AJ1121" s="4"/>
      <c r="AK1121" s="4"/>
      <c r="AL1121" s="4"/>
      <c r="AM1121" s="4"/>
      <c r="AN1121" s="4"/>
      <c r="AO1121" s="4"/>
      <c r="AP1121" s="4"/>
      <c r="AQ1121" s="4"/>
      <c r="AR1121" s="4"/>
      <c r="AS1121" s="4"/>
      <c r="AT1121" s="4"/>
      <c r="AU1121" s="4"/>
      <c r="AV1121" s="4"/>
      <c r="AW1121" s="4"/>
      <c r="AX1121" s="4"/>
      <c r="AY1121" s="4"/>
      <c r="AZ1121" s="4"/>
      <c r="BA1121" s="4"/>
      <c r="BB1121" s="4"/>
      <c r="BC1121" s="4"/>
      <c r="BD1121" s="4"/>
      <c r="BE1121" s="4"/>
      <c r="BF1121" s="4"/>
      <c r="BG1121" s="4"/>
      <c r="BH1121" s="4"/>
      <c r="BI1121" s="4"/>
      <c r="BJ1121" s="4"/>
      <c r="BK1121" s="4"/>
      <c r="BL1121" s="4"/>
      <c r="BM1121" s="4"/>
      <c r="BN1121" s="4"/>
      <c r="BO1121" s="4"/>
      <c r="BP1121" s="4"/>
      <c r="BQ1121" s="4"/>
      <c r="BR1121" s="4"/>
      <c r="BS1121" s="4"/>
      <c r="BT1121" s="4"/>
      <c r="BU1121" s="4"/>
    </row>
    <row r="1122" spans="29:73" s="1" customFormat="1" x14ac:dyDescent="0.25">
      <c r="AC1122" s="4"/>
      <c r="AD1122" s="4"/>
      <c r="AE1122" s="4"/>
      <c r="AF1122" s="4"/>
      <c r="AG1122" s="4"/>
      <c r="AH1122" s="4"/>
      <c r="AI1122" s="4"/>
      <c r="AJ1122" s="4"/>
      <c r="AK1122" s="4"/>
      <c r="AL1122" s="4"/>
      <c r="AM1122" s="4"/>
      <c r="AN1122" s="4"/>
      <c r="AO1122" s="4"/>
      <c r="AP1122" s="4"/>
      <c r="AQ1122" s="4"/>
      <c r="AR1122" s="4"/>
      <c r="AS1122" s="4"/>
      <c r="AT1122" s="4"/>
      <c r="AU1122" s="4"/>
      <c r="AV1122" s="4"/>
      <c r="AW1122" s="4"/>
      <c r="AX1122" s="4"/>
      <c r="AY1122" s="4"/>
      <c r="AZ1122" s="4"/>
      <c r="BA1122" s="4"/>
      <c r="BB1122" s="4"/>
      <c r="BC1122" s="4"/>
      <c r="BD1122" s="4"/>
      <c r="BE1122" s="4"/>
      <c r="BF1122" s="4"/>
      <c r="BG1122" s="4"/>
      <c r="BH1122" s="4"/>
      <c r="BI1122" s="4"/>
      <c r="BJ1122" s="4"/>
      <c r="BK1122" s="4"/>
      <c r="BL1122" s="4"/>
      <c r="BM1122" s="4"/>
      <c r="BN1122" s="4"/>
      <c r="BO1122" s="4"/>
      <c r="BP1122" s="4"/>
      <c r="BQ1122" s="4"/>
      <c r="BR1122" s="4"/>
      <c r="BS1122" s="4"/>
      <c r="BT1122" s="4"/>
      <c r="BU1122" s="4"/>
    </row>
    <row r="1123" spans="29:73" s="1" customFormat="1" x14ac:dyDescent="0.25">
      <c r="AC1123" s="4"/>
      <c r="AD1123" s="4"/>
      <c r="AE1123" s="4"/>
      <c r="AF1123" s="4"/>
      <c r="AG1123" s="4"/>
      <c r="AH1123" s="4"/>
      <c r="AI1123" s="4"/>
      <c r="AJ1123" s="4"/>
      <c r="AK1123" s="4"/>
      <c r="AL1123" s="4"/>
      <c r="AM1123" s="4"/>
      <c r="AN1123" s="4"/>
      <c r="AO1123" s="4"/>
      <c r="AP1123" s="4"/>
      <c r="AQ1123" s="4"/>
      <c r="AR1123" s="4"/>
      <c r="AS1123" s="4"/>
      <c r="AT1123" s="4"/>
      <c r="AU1123" s="4"/>
      <c r="AV1123" s="4"/>
      <c r="AW1123" s="4"/>
      <c r="AX1123" s="4"/>
      <c r="AY1123" s="4"/>
      <c r="AZ1123" s="4"/>
      <c r="BA1123" s="4"/>
      <c r="BB1123" s="4"/>
      <c r="BC1123" s="4"/>
      <c r="BD1123" s="4"/>
      <c r="BE1123" s="4"/>
      <c r="BF1123" s="4"/>
      <c r="BG1123" s="4"/>
      <c r="BH1123" s="4"/>
      <c r="BI1123" s="4"/>
      <c r="BJ1123" s="4"/>
      <c r="BK1123" s="4"/>
      <c r="BL1123" s="4"/>
      <c r="BM1123" s="4"/>
      <c r="BN1123" s="4"/>
      <c r="BO1123" s="4"/>
      <c r="BP1123" s="4"/>
      <c r="BQ1123" s="4"/>
      <c r="BR1123" s="4"/>
      <c r="BS1123" s="4"/>
      <c r="BT1123" s="4"/>
      <c r="BU1123" s="4"/>
    </row>
    <row r="1124" spans="29:73" s="1" customFormat="1" x14ac:dyDescent="0.25">
      <c r="AC1124" s="4"/>
      <c r="AD1124" s="4"/>
      <c r="AE1124" s="4"/>
      <c r="AF1124" s="4"/>
      <c r="AG1124" s="4"/>
      <c r="AH1124" s="4"/>
      <c r="AI1124" s="4"/>
      <c r="AJ1124" s="4"/>
      <c r="AK1124" s="4"/>
      <c r="AL1124" s="4"/>
      <c r="AM1124" s="4"/>
      <c r="AN1124" s="4"/>
      <c r="AO1124" s="4"/>
      <c r="AP1124" s="4"/>
      <c r="AQ1124" s="4"/>
      <c r="AR1124" s="4"/>
      <c r="AS1124" s="4"/>
      <c r="AT1124" s="4"/>
      <c r="AU1124" s="4"/>
      <c r="AV1124" s="4"/>
      <c r="AW1124" s="4"/>
      <c r="AX1124" s="4"/>
      <c r="AY1124" s="4"/>
      <c r="AZ1124" s="4"/>
      <c r="BA1124" s="4"/>
      <c r="BB1124" s="4"/>
      <c r="BC1124" s="4"/>
      <c r="BD1124" s="4"/>
      <c r="BE1124" s="4"/>
      <c r="BF1124" s="4"/>
      <c r="BG1124" s="4"/>
      <c r="BH1124" s="4"/>
      <c r="BI1124" s="4"/>
      <c r="BJ1124" s="4"/>
      <c r="BK1124" s="4"/>
      <c r="BL1124" s="4"/>
      <c r="BM1124" s="4"/>
      <c r="BN1124" s="4"/>
      <c r="BO1124" s="4"/>
      <c r="BP1124" s="4"/>
      <c r="BQ1124" s="4"/>
      <c r="BR1124" s="4"/>
      <c r="BS1124" s="4"/>
      <c r="BT1124" s="4"/>
      <c r="BU1124" s="4"/>
    </row>
    <row r="1125" spans="29:73" s="1" customFormat="1" x14ac:dyDescent="0.25">
      <c r="AC1125" s="4"/>
      <c r="AD1125" s="4"/>
      <c r="AE1125" s="4"/>
      <c r="AF1125" s="4"/>
      <c r="AG1125" s="4"/>
      <c r="AH1125" s="4"/>
      <c r="AI1125" s="4"/>
      <c r="AJ1125" s="4"/>
      <c r="AK1125" s="4"/>
      <c r="AL1125" s="4"/>
      <c r="AM1125" s="4"/>
      <c r="AN1125" s="4"/>
      <c r="AO1125" s="4"/>
      <c r="AP1125" s="4"/>
      <c r="AQ1125" s="4"/>
      <c r="AR1125" s="4"/>
      <c r="AS1125" s="4"/>
      <c r="AT1125" s="4"/>
      <c r="AU1125" s="4"/>
      <c r="AV1125" s="4"/>
      <c r="AW1125" s="4"/>
      <c r="AX1125" s="4"/>
      <c r="AY1125" s="4"/>
      <c r="AZ1125" s="4"/>
      <c r="BA1125" s="4"/>
      <c r="BB1125" s="4"/>
      <c r="BC1125" s="4"/>
      <c r="BD1125" s="4"/>
      <c r="BE1125" s="4"/>
      <c r="BF1125" s="4"/>
      <c r="BG1125" s="4"/>
      <c r="BH1125" s="4"/>
      <c r="BI1125" s="4"/>
      <c r="BJ1125" s="4"/>
      <c r="BK1125" s="4"/>
      <c r="BL1125" s="4"/>
      <c r="BM1125" s="4"/>
      <c r="BN1125" s="4"/>
      <c r="BO1125" s="4"/>
      <c r="BP1125" s="4"/>
      <c r="BQ1125" s="4"/>
      <c r="BR1125" s="4"/>
      <c r="BS1125" s="4"/>
      <c r="BT1125" s="4"/>
      <c r="BU1125" s="4"/>
    </row>
    <row r="1126" spans="29:73" s="1" customFormat="1" x14ac:dyDescent="0.25">
      <c r="AC1126" s="4"/>
      <c r="AD1126" s="4"/>
      <c r="AE1126" s="4"/>
      <c r="AF1126" s="4"/>
      <c r="AG1126" s="4"/>
      <c r="AH1126" s="4"/>
      <c r="AI1126" s="4"/>
      <c r="AJ1126" s="4"/>
      <c r="AK1126" s="4"/>
      <c r="AL1126" s="4"/>
      <c r="AM1126" s="4"/>
      <c r="AN1126" s="4"/>
      <c r="AO1126" s="4"/>
      <c r="AP1126" s="4"/>
      <c r="AQ1126" s="4"/>
      <c r="AR1126" s="4"/>
      <c r="AS1126" s="4"/>
      <c r="AT1126" s="4"/>
      <c r="AU1126" s="4"/>
      <c r="AV1126" s="4"/>
      <c r="AW1126" s="4"/>
      <c r="AX1126" s="4"/>
      <c r="AY1126" s="4"/>
      <c r="AZ1126" s="4"/>
      <c r="BA1126" s="4"/>
      <c r="BB1126" s="4"/>
      <c r="BC1126" s="4"/>
      <c r="BD1126" s="4"/>
      <c r="BE1126" s="4"/>
      <c r="BF1126" s="4"/>
      <c r="BG1126" s="4"/>
      <c r="BH1126" s="4"/>
      <c r="BI1126" s="4"/>
      <c r="BJ1126" s="4"/>
      <c r="BK1126" s="4"/>
      <c r="BL1126" s="4"/>
      <c r="BM1126" s="4"/>
      <c r="BN1126" s="4"/>
      <c r="BO1126" s="4"/>
      <c r="BP1126" s="4"/>
      <c r="BQ1126" s="4"/>
      <c r="BR1126" s="4"/>
      <c r="BS1126" s="4"/>
      <c r="BT1126" s="4"/>
      <c r="BU1126" s="4"/>
    </row>
    <row r="1127" spans="29:73" s="1" customFormat="1" x14ac:dyDescent="0.25">
      <c r="AC1127" s="4"/>
      <c r="AD1127" s="4"/>
      <c r="AE1127" s="4"/>
      <c r="AF1127" s="4"/>
      <c r="AG1127" s="4"/>
      <c r="AH1127" s="4"/>
      <c r="AI1127" s="4"/>
      <c r="AJ1127" s="4"/>
      <c r="AK1127" s="4"/>
      <c r="AL1127" s="4"/>
      <c r="AM1127" s="4"/>
      <c r="AN1127" s="4"/>
      <c r="AO1127" s="4"/>
      <c r="AP1127" s="4"/>
      <c r="AQ1127" s="4"/>
      <c r="AR1127" s="4"/>
      <c r="AS1127" s="4"/>
      <c r="AT1127" s="4"/>
      <c r="AU1127" s="4"/>
      <c r="AV1127" s="4"/>
      <c r="AW1127" s="4"/>
      <c r="AX1127" s="4"/>
      <c r="AY1127" s="4"/>
      <c r="AZ1127" s="4"/>
      <c r="BA1127" s="4"/>
      <c r="BB1127" s="4"/>
      <c r="BC1127" s="4"/>
      <c r="BD1127" s="4"/>
      <c r="BE1127" s="4"/>
      <c r="BF1127" s="4"/>
      <c r="BG1127" s="4"/>
      <c r="BH1127" s="4"/>
      <c r="BI1127" s="4"/>
      <c r="BJ1127" s="4"/>
      <c r="BK1127" s="4"/>
      <c r="BL1127" s="4"/>
      <c r="BM1127" s="4"/>
      <c r="BN1127" s="4"/>
      <c r="BO1127" s="4"/>
      <c r="BP1127" s="4"/>
      <c r="BQ1127" s="4"/>
      <c r="BR1127" s="4"/>
      <c r="BS1127" s="4"/>
      <c r="BT1127" s="4"/>
      <c r="BU1127" s="4"/>
    </row>
    <row r="1128" spans="29:73" s="1" customFormat="1" x14ac:dyDescent="0.25">
      <c r="AC1128" s="4"/>
      <c r="AD1128" s="4"/>
      <c r="AE1128" s="4"/>
      <c r="AF1128" s="4"/>
      <c r="AG1128" s="4"/>
      <c r="AH1128" s="4"/>
      <c r="AI1128" s="4"/>
      <c r="AJ1128" s="4"/>
      <c r="AK1128" s="4"/>
      <c r="AL1128" s="4"/>
      <c r="AM1128" s="4"/>
      <c r="AN1128" s="4"/>
      <c r="AO1128" s="4"/>
      <c r="AP1128" s="4"/>
      <c r="AQ1128" s="4"/>
      <c r="AR1128" s="4"/>
      <c r="AS1128" s="4"/>
      <c r="AT1128" s="4"/>
      <c r="AU1128" s="4"/>
      <c r="AV1128" s="4"/>
      <c r="AW1128" s="4"/>
      <c r="AX1128" s="4"/>
      <c r="AY1128" s="4"/>
      <c r="AZ1128" s="4"/>
      <c r="BA1128" s="4"/>
      <c r="BB1128" s="4"/>
      <c r="BC1128" s="4"/>
      <c r="BD1128" s="4"/>
      <c r="BE1128" s="4"/>
      <c r="BF1128" s="4"/>
      <c r="BG1128" s="4"/>
      <c r="BH1128" s="4"/>
      <c r="BI1128" s="4"/>
      <c r="BJ1128" s="4"/>
      <c r="BK1128" s="4"/>
      <c r="BL1128" s="4"/>
      <c r="BM1128" s="4"/>
      <c r="BN1128" s="4"/>
      <c r="BO1128" s="4"/>
      <c r="BP1128" s="4"/>
      <c r="BQ1128" s="4"/>
      <c r="BR1128" s="4"/>
      <c r="BS1128" s="4"/>
      <c r="BT1128" s="4"/>
      <c r="BU1128" s="4"/>
    </row>
    <row r="1129" spans="29:73" s="1" customFormat="1" x14ac:dyDescent="0.25">
      <c r="AC1129" s="4"/>
      <c r="AD1129" s="4"/>
      <c r="AE1129" s="4"/>
      <c r="AF1129" s="4"/>
      <c r="AG1129" s="4"/>
      <c r="AH1129" s="4"/>
      <c r="AI1129" s="4"/>
      <c r="AJ1129" s="4"/>
      <c r="AK1129" s="4"/>
      <c r="AL1129" s="4"/>
      <c r="AM1129" s="4"/>
      <c r="AN1129" s="4"/>
      <c r="AO1129" s="4"/>
      <c r="AP1129" s="4"/>
      <c r="AQ1129" s="4"/>
      <c r="AR1129" s="4"/>
      <c r="AS1129" s="4"/>
      <c r="AT1129" s="4"/>
      <c r="AU1129" s="4"/>
      <c r="AV1129" s="4"/>
      <c r="AW1129" s="4"/>
      <c r="AX1129" s="4"/>
      <c r="AY1129" s="4"/>
      <c r="AZ1129" s="4"/>
      <c r="BA1129" s="4"/>
      <c r="BB1129" s="4"/>
      <c r="BC1129" s="4"/>
      <c r="BD1129" s="4"/>
      <c r="BE1129" s="4"/>
      <c r="BF1129" s="4"/>
      <c r="BG1129" s="4"/>
      <c r="BH1129" s="4"/>
      <c r="BI1129" s="4"/>
      <c r="BJ1129" s="4"/>
      <c r="BK1129" s="4"/>
      <c r="BL1129" s="4"/>
      <c r="BM1129" s="4"/>
      <c r="BN1129" s="4"/>
      <c r="BO1129" s="4"/>
      <c r="BP1129" s="4"/>
      <c r="BQ1129" s="4"/>
      <c r="BR1129" s="4"/>
      <c r="BS1129" s="4"/>
      <c r="BT1129" s="4"/>
      <c r="BU1129" s="4"/>
    </row>
    <row r="1130" spans="29:73" s="1" customFormat="1" x14ac:dyDescent="0.25">
      <c r="AC1130" s="4"/>
      <c r="AD1130" s="4"/>
      <c r="AE1130" s="4"/>
      <c r="AF1130" s="4"/>
      <c r="AG1130" s="4"/>
      <c r="AH1130" s="4"/>
      <c r="AI1130" s="4"/>
      <c r="AJ1130" s="4"/>
      <c r="AK1130" s="4"/>
      <c r="AL1130" s="4"/>
      <c r="AM1130" s="4"/>
      <c r="AN1130" s="4"/>
      <c r="AO1130" s="4"/>
      <c r="AP1130" s="4"/>
      <c r="AQ1130" s="4"/>
      <c r="AR1130" s="4"/>
      <c r="AS1130" s="4"/>
      <c r="AT1130" s="4"/>
      <c r="AU1130" s="4"/>
      <c r="AV1130" s="4"/>
      <c r="AW1130" s="4"/>
      <c r="AX1130" s="4"/>
      <c r="AY1130" s="4"/>
      <c r="AZ1130" s="4"/>
      <c r="BA1130" s="4"/>
      <c r="BB1130" s="4"/>
      <c r="BC1130" s="4"/>
      <c r="BD1130" s="4"/>
      <c r="BE1130" s="4"/>
      <c r="BF1130" s="4"/>
      <c r="BG1130" s="4"/>
      <c r="BH1130" s="4"/>
      <c r="BI1130" s="4"/>
      <c r="BJ1130" s="4"/>
      <c r="BK1130" s="4"/>
      <c r="BL1130" s="4"/>
      <c r="BM1130" s="4"/>
      <c r="BN1130" s="4"/>
      <c r="BO1130" s="4"/>
      <c r="BP1130" s="4"/>
      <c r="BQ1130" s="4"/>
      <c r="BR1130" s="4"/>
      <c r="BS1130" s="4"/>
      <c r="BT1130" s="4"/>
      <c r="BU1130" s="4"/>
    </row>
    <row r="1131" spans="29:73" s="1" customFormat="1" x14ac:dyDescent="0.25">
      <c r="AC1131" s="4"/>
      <c r="AD1131" s="4"/>
      <c r="AE1131" s="4"/>
      <c r="AF1131" s="4"/>
      <c r="AG1131" s="4"/>
      <c r="AH1131" s="4"/>
      <c r="AI1131" s="4"/>
      <c r="AJ1131" s="4"/>
      <c r="AK1131" s="4"/>
      <c r="AL1131" s="4"/>
      <c r="AM1131" s="4"/>
      <c r="AN1131" s="4"/>
      <c r="AO1131" s="4"/>
      <c r="AP1131" s="4"/>
      <c r="AQ1131" s="4"/>
      <c r="AR1131" s="4"/>
      <c r="AS1131" s="4"/>
      <c r="AT1131" s="4"/>
      <c r="AU1131" s="4"/>
      <c r="AV1131" s="4"/>
      <c r="AW1131" s="4"/>
      <c r="AX1131" s="4"/>
      <c r="AY1131" s="4"/>
      <c r="AZ1131" s="4"/>
      <c r="BA1131" s="4"/>
      <c r="BB1131" s="4"/>
      <c r="BC1131" s="4"/>
      <c r="BD1131" s="4"/>
      <c r="BE1131" s="4"/>
      <c r="BF1131" s="4"/>
      <c r="BG1131" s="4"/>
      <c r="BH1131" s="4"/>
      <c r="BI1131" s="4"/>
      <c r="BJ1131" s="4"/>
      <c r="BK1131" s="4"/>
      <c r="BL1131" s="4"/>
      <c r="BM1131" s="4"/>
      <c r="BN1131" s="4"/>
      <c r="BO1131" s="4"/>
      <c r="BP1131" s="4"/>
      <c r="BQ1131" s="4"/>
      <c r="BR1131" s="4"/>
      <c r="BS1131" s="4"/>
      <c r="BT1131" s="4"/>
      <c r="BU1131" s="4"/>
    </row>
    <row r="1132" spans="29:73" s="1" customFormat="1" x14ac:dyDescent="0.25">
      <c r="AC1132" s="4"/>
      <c r="AD1132" s="4"/>
      <c r="AE1132" s="4"/>
      <c r="AF1132" s="4"/>
      <c r="AG1132" s="4"/>
      <c r="AH1132" s="4"/>
      <c r="AI1132" s="4"/>
      <c r="AJ1132" s="4"/>
      <c r="AK1132" s="4"/>
      <c r="AL1132" s="4"/>
      <c r="AM1132" s="4"/>
      <c r="AN1132" s="4"/>
      <c r="AO1132" s="4"/>
      <c r="AP1132" s="4"/>
      <c r="AQ1132" s="4"/>
      <c r="AR1132" s="4"/>
      <c r="AS1132" s="4"/>
      <c r="AT1132" s="4"/>
      <c r="AU1132" s="4"/>
      <c r="AV1132" s="4"/>
      <c r="AW1132" s="4"/>
      <c r="AX1132" s="4"/>
      <c r="AY1132" s="4"/>
      <c r="AZ1132" s="4"/>
      <c r="BA1132" s="4"/>
      <c r="BB1132" s="4"/>
      <c r="BC1132" s="4"/>
      <c r="BD1132" s="4"/>
      <c r="BE1132" s="4"/>
      <c r="BF1132" s="4"/>
      <c r="BG1132" s="4"/>
      <c r="BH1132" s="4"/>
      <c r="BI1132" s="4"/>
      <c r="BJ1132" s="4"/>
      <c r="BK1132" s="4"/>
      <c r="BL1132" s="4"/>
      <c r="BM1132" s="4"/>
      <c r="BN1132" s="4"/>
      <c r="BO1132" s="4"/>
      <c r="BP1132" s="4"/>
      <c r="BQ1132" s="4"/>
      <c r="BR1132" s="4"/>
      <c r="BS1132" s="4"/>
      <c r="BT1132" s="4"/>
      <c r="BU1132" s="4"/>
    </row>
    <row r="1133" spans="29:73" s="1" customFormat="1" x14ac:dyDescent="0.25">
      <c r="AC1133" s="4"/>
      <c r="AD1133" s="4"/>
      <c r="AE1133" s="4"/>
      <c r="AF1133" s="4"/>
      <c r="AG1133" s="4"/>
      <c r="AH1133" s="4"/>
      <c r="AI1133" s="4"/>
      <c r="AJ1133" s="4"/>
      <c r="AK1133" s="4"/>
      <c r="AL1133" s="4"/>
      <c r="AM1133" s="4"/>
      <c r="AN1133" s="4"/>
      <c r="AO1133" s="4"/>
      <c r="AP1133" s="4"/>
      <c r="AQ1133" s="4"/>
      <c r="AR1133" s="4"/>
      <c r="AS1133" s="4"/>
      <c r="AT1133" s="4"/>
      <c r="AU1133" s="4"/>
      <c r="AV1133" s="4"/>
      <c r="AW1133" s="4"/>
      <c r="AX1133" s="4"/>
      <c r="AY1133" s="4"/>
      <c r="AZ1133" s="4"/>
      <c r="BA1133" s="4"/>
      <c r="BB1133" s="4"/>
      <c r="BC1133" s="4"/>
      <c r="BD1133" s="4"/>
      <c r="BE1133" s="4"/>
      <c r="BF1133" s="4"/>
      <c r="BG1133" s="4"/>
      <c r="BH1133" s="4"/>
      <c r="BI1133" s="4"/>
      <c r="BJ1133" s="4"/>
      <c r="BK1133" s="4"/>
      <c r="BL1133" s="4"/>
      <c r="BM1133" s="4"/>
      <c r="BN1133" s="4"/>
      <c r="BO1133" s="4"/>
      <c r="BP1133" s="4"/>
      <c r="BQ1133" s="4"/>
      <c r="BR1133" s="4"/>
      <c r="BS1133" s="4"/>
      <c r="BT1133" s="4"/>
      <c r="BU1133" s="4"/>
    </row>
    <row r="1134" spans="29:73" s="1" customFormat="1" x14ac:dyDescent="0.25">
      <c r="AC1134" s="4"/>
      <c r="AD1134" s="4"/>
      <c r="AE1134" s="4"/>
      <c r="AF1134" s="4"/>
      <c r="AG1134" s="4"/>
      <c r="AH1134" s="4"/>
      <c r="AI1134" s="4"/>
      <c r="AJ1134" s="4"/>
      <c r="AK1134" s="4"/>
      <c r="AL1134" s="4"/>
      <c r="AM1134" s="4"/>
      <c r="AN1134" s="4"/>
      <c r="AO1134" s="4"/>
      <c r="AP1134" s="4"/>
      <c r="AQ1134" s="4"/>
      <c r="AR1134" s="4"/>
      <c r="AS1134" s="4"/>
      <c r="AT1134" s="4"/>
      <c r="AU1134" s="4"/>
      <c r="AV1134" s="4"/>
      <c r="AW1134" s="4"/>
      <c r="AX1134" s="4"/>
      <c r="AY1134" s="4"/>
      <c r="AZ1134" s="4"/>
      <c r="BA1134" s="4"/>
      <c r="BB1134" s="4"/>
      <c r="BC1134" s="4"/>
      <c r="BD1134" s="4"/>
      <c r="BE1134" s="4"/>
      <c r="BF1134" s="4"/>
      <c r="BG1134" s="4"/>
      <c r="BH1134" s="4"/>
      <c r="BI1134" s="4"/>
      <c r="BJ1134" s="4"/>
      <c r="BK1134" s="4"/>
      <c r="BL1134" s="4"/>
      <c r="BM1134" s="4"/>
      <c r="BN1134" s="4"/>
      <c r="BO1134" s="4"/>
      <c r="BP1134" s="4"/>
      <c r="BQ1134" s="4"/>
      <c r="BR1134" s="4"/>
      <c r="BS1134" s="4"/>
      <c r="BT1134" s="4"/>
      <c r="BU1134" s="4"/>
    </row>
    <row r="1135" spans="29:73" s="1" customFormat="1" x14ac:dyDescent="0.25">
      <c r="AC1135" s="4"/>
      <c r="AD1135" s="4"/>
      <c r="AE1135" s="4"/>
      <c r="AF1135" s="4"/>
      <c r="AG1135" s="4"/>
      <c r="AH1135" s="4"/>
      <c r="AI1135" s="4"/>
      <c r="AJ1135" s="4"/>
      <c r="AK1135" s="4"/>
      <c r="AL1135" s="4"/>
      <c r="AM1135" s="4"/>
      <c r="AN1135" s="4"/>
      <c r="AO1135" s="4"/>
      <c r="AP1135" s="4"/>
      <c r="AQ1135" s="4"/>
      <c r="AR1135" s="4"/>
      <c r="AS1135" s="4"/>
      <c r="AT1135" s="4"/>
      <c r="AU1135" s="4"/>
      <c r="AV1135" s="4"/>
      <c r="AW1135" s="4"/>
      <c r="AX1135" s="4"/>
      <c r="AY1135" s="4"/>
      <c r="AZ1135" s="4"/>
      <c r="BA1135" s="4"/>
      <c r="BB1135" s="4"/>
      <c r="BC1135" s="4"/>
      <c r="BD1135" s="4"/>
      <c r="BE1135" s="4"/>
      <c r="BF1135" s="4"/>
      <c r="BG1135" s="4"/>
      <c r="BH1135" s="4"/>
      <c r="BI1135" s="4"/>
      <c r="BJ1135" s="4"/>
      <c r="BK1135" s="4"/>
      <c r="BL1135" s="4"/>
      <c r="BM1135" s="4"/>
      <c r="BN1135" s="4"/>
      <c r="BO1135" s="4"/>
      <c r="BP1135" s="4"/>
      <c r="BQ1135" s="4"/>
      <c r="BR1135" s="4"/>
      <c r="BS1135" s="4"/>
      <c r="BT1135" s="4"/>
      <c r="BU1135" s="4"/>
    </row>
    <row r="1136" spans="29:73" s="1" customFormat="1" x14ac:dyDescent="0.25">
      <c r="AC1136" s="4"/>
      <c r="AD1136" s="4"/>
      <c r="AE1136" s="4"/>
      <c r="AF1136" s="4"/>
      <c r="AG1136" s="4"/>
      <c r="AH1136" s="4"/>
      <c r="AI1136" s="4"/>
      <c r="AJ1136" s="4"/>
      <c r="AK1136" s="4"/>
      <c r="AL1136" s="4"/>
      <c r="AM1136" s="4"/>
      <c r="AN1136" s="4"/>
      <c r="AO1136" s="4"/>
      <c r="AP1136" s="4"/>
      <c r="AQ1136" s="4"/>
      <c r="AR1136" s="4"/>
      <c r="AS1136" s="4"/>
      <c r="AT1136" s="4"/>
      <c r="AU1136" s="4"/>
      <c r="AV1136" s="4"/>
      <c r="AW1136" s="4"/>
      <c r="AX1136" s="4"/>
      <c r="AY1136" s="4"/>
      <c r="AZ1136" s="4"/>
      <c r="BA1136" s="4"/>
      <c r="BB1136" s="4"/>
      <c r="BC1136" s="4"/>
      <c r="BD1136" s="4"/>
      <c r="BE1136" s="4"/>
      <c r="BF1136" s="4"/>
      <c r="BG1136" s="4"/>
      <c r="BH1136" s="4"/>
      <c r="BI1136" s="4"/>
      <c r="BJ1136" s="4"/>
      <c r="BK1136" s="4"/>
      <c r="BL1136" s="4"/>
      <c r="BM1136" s="4"/>
      <c r="BN1136" s="4"/>
      <c r="BO1136" s="4"/>
      <c r="BP1136" s="4"/>
      <c r="BQ1136" s="4"/>
      <c r="BR1136" s="4"/>
      <c r="BS1136" s="4"/>
      <c r="BT1136" s="4"/>
      <c r="BU1136" s="4"/>
    </row>
    <row r="1137" spans="29:73" s="1" customFormat="1" x14ac:dyDescent="0.25">
      <c r="AC1137" s="4"/>
      <c r="AD1137" s="4"/>
      <c r="AE1137" s="4"/>
      <c r="AF1137" s="4"/>
      <c r="AG1137" s="4"/>
      <c r="AH1137" s="4"/>
      <c r="AI1137" s="4"/>
      <c r="AJ1137" s="4"/>
      <c r="AK1137" s="4"/>
      <c r="AL1137" s="4"/>
      <c r="AM1137" s="4"/>
      <c r="AN1137" s="4"/>
      <c r="AO1137" s="4"/>
      <c r="AP1137" s="4"/>
      <c r="AQ1137" s="4"/>
      <c r="AR1137" s="4"/>
      <c r="AS1137" s="4"/>
      <c r="AT1137" s="4"/>
      <c r="AU1137" s="4"/>
      <c r="AV1137" s="4"/>
      <c r="AW1137" s="4"/>
      <c r="AX1137" s="4"/>
      <c r="AY1137" s="4"/>
      <c r="AZ1137" s="4"/>
      <c r="BA1137" s="4"/>
      <c r="BB1137" s="4"/>
      <c r="BC1137" s="4"/>
      <c r="BD1137" s="4"/>
      <c r="BE1137" s="4"/>
      <c r="BF1137" s="4"/>
      <c r="BG1137" s="4"/>
      <c r="BH1137" s="4"/>
      <c r="BI1137" s="4"/>
      <c r="BJ1137" s="4"/>
      <c r="BK1137" s="4"/>
      <c r="BL1137" s="4"/>
      <c r="BM1137" s="4"/>
      <c r="BN1137" s="4"/>
      <c r="BO1137" s="4"/>
      <c r="BP1137" s="4"/>
      <c r="BQ1137" s="4"/>
      <c r="BR1137" s="4"/>
      <c r="BS1137" s="4"/>
      <c r="BT1137" s="4"/>
      <c r="BU1137" s="4"/>
    </row>
    <row r="1138" spans="29:73" s="1" customFormat="1" x14ac:dyDescent="0.25">
      <c r="AC1138" s="4"/>
      <c r="AD1138" s="4"/>
      <c r="AE1138" s="4"/>
      <c r="AF1138" s="4"/>
      <c r="AG1138" s="4"/>
      <c r="AH1138" s="4"/>
      <c r="AI1138" s="4"/>
      <c r="AJ1138" s="4"/>
      <c r="AK1138" s="4"/>
      <c r="AL1138" s="4"/>
      <c r="AM1138" s="4"/>
      <c r="AN1138" s="4"/>
      <c r="AO1138" s="4"/>
      <c r="AP1138" s="4"/>
      <c r="AQ1138" s="4"/>
      <c r="AR1138" s="4"/>
      <c r="AS1138" s="4"/>
      <c r="AT1138" s="4"/>
      <c r="AU1138" s="4"/>
      <c r="AV1138" s="4"/>
      <c r="AW1138" s="4"/>
      <c r="AX1138" s="4"/>
      <c r="AY1138" s="4"/>
      <c r="AZ1138" s="4"/>
      <c r="BA1138" s="4"/>
      <c r="BB1138" s="4"/>
      <c r="BC1138" s="4"/>
      <c r="BD1138" s="4"/>
      <c r="BE1138" s="4"/>
      <c r="BF1138" s="4"/>
      <c r="BG1138" s="4"/>
      <c r="BH1138" s="4"/>
      <c r="BI1138" s="4"/>
      <c r="BJ1138" s="4"/>
      <c r="BK1138" s="4"/>
      <c r="BL1138" s="4"/>
      <c r="BM1138" s="4"/>
      <c r="BN1138" s="4"/>
      <c r="BO1138" s="4"/>
      <c r="BP1138" s="4"/>
      <c r="BQ1138" s="4"/>
      <c r="BR1138" s="4"/>
      <c r="BS1138" s="4"/>
      <c r="BT1138" s="4"/>
      <c r="BU1138" s="4"/>
    </row>
    <row r="1139" spans="29:73" s="1" customFormat="1" x14ac:dyDescent="0.25">
      <c r="AC1139" s="4"/>
      <c r="AD1139" s="4"/>
      <c r="AE1139" s="4"/>
      <c r="AF1139" s="4"/>
      <c r="AG1139" s="4"/>
      <c r="AH1139" s="4"/>
      <c r="AI1139" s="4"/>
      <c r="AJ1139" s="4"/>
      <c r="AK1139" s="4"/>
      <c r="AL1139" s="4"/>
      <c r="AM1139" s="4"/>
      <c r="AN1139" s="4"/>
      <c r="AO1139" s="4"/>
      <c r="AP1139" s="4"/>
      <c r="AQ1139" s="4"/>
      <c r="AR1139" s="4"/>
      <c r="AS1139" s="4"/>
      <c r="AT1139" s="4"/>
      <c r="AU1139" s="4"/>
      <c r="AV1139" s="4"/>
      <c r="AW1139" s="4"/>
      <c r="AX1139" s="4"/>
      <c r="AY1139" s="4"/>
      <c r="AZ1139" s="4"/>
      <c r="BA1139" s="4"/>
      <c r="BB1139" s="4"/>
      <c r="BC1139" s="4"/>
      <c r="BD1139" s="4"/>
      <c r="BE1139" s="4"/>
      <c r="BF1139" s="4"/>
      <c r="BG1139" s="4"/>
      <c r="BH1139" s="4"/>
      <c r="BI1139" s="4"/>
      <c r="BJ1139" s="4"/>
      <c r="BK1139" s="4"/>
      <c r="BL1139" s="4"/>
      <c r="BM1139" s="4"/>
      <c r="BN1139" s="4"/>
      <c r="BO1139" s="4"/>
      <c r="BP1139" s="4"/>
      <c r="BQ1139" s="4"/>
      <c r="BR1139" s="4"/>
      <c r="BS1139" s="4"/>
      <c r="BT1139" s="4"/>
      <c r="BU1139" s="4"/>
    </row>
    <row r="1140" spans="29:73" s="1" customFormat="1" x14ac:dyDescent="0.25">
      <c r="AC1140" s="4"/>
      <c r="AD1140" s="4"/>
      <c r="AE1140" s="4"/>
      <c r="AF1140" s="4"/>
      <c r="AG1140" s="4"/>
      <c r="AH1140" s="4"/>
      <c r="AI1140" s="4"/>
      <c r="AJ1140" s="4"/>
      <c r="AK1140" s="4"/>
      <c r="AL1140" s="4"/>
      <c r="AM1140" s="4"/>
      <c r="AN1140" s="4"/>
      <c r="AO1140" s="4"/>
      <c r="AP1140" s="4"/>
      <c r="AQ1140" s="4"/>
      <c r="AR1140" s="4"/>
      <c r="AS1140" s="4"/>
      <c r="AT1140" s="4"/>
      <c r="AU1140" s="4"/>
      <c r="AV1140" s="4"/>
      <c r="AW1140" s="4"/>
      <c r="AX1140" s="4"/>
      <c r="AY1140" s="4"/>
      <c r="AZ1140" s="4"/>
      <c r="BA1140" s="4"/>
      <c r="BB1140" s="4"/>
      <c r="BC1140" s="4"/>
      <c r="BD1140" s="4"/>
      <c r="BE1140" s="4"/>
      <c r="BF1140" s="4"/>
      <c r="BG1140" s="4"/>
      <c r="BH1140" s="4"/>
      <c r="BI1140" s="4"/>
      <c r="BJ1140" s="4"/>
      <c r="BK1140" s="4"/>
      <c r="BL1140" s="4"/>
      <c r="BM1140" s="4"/>
      <c r="BN1140" s="4"/>
      <c r="BO1140" s="4"/>
      <c r="BP1140" s="4"/>
      <c r="BQ1140" s="4"/>
      <c r="BR1140" s="4"/>
      <c r="BS1140" s="4"/>
      <c r="BT1140" s="4"/>
      <c r="BU1140" s="4"/>
    </row>
    <row r="1141" spans="29:73" s="1" customFormat="1" x14ac:dyDescent="0.25">
      <c r="AC1141" s="4"/>
      <c r="AD1141" s="4"/>
      <c r="AE1141" s="4"/>
      <c r="AF1141" s="4"/>
      <c r="AG1141" s="4"/>
      <c r="AH1141" s="4"/>
      <c r="AI1141" s="4"/>
      <c r="AJ1141" s="4"/>
      <c r="AK1141" s="4"/>
      <c r="AL1141" s="4"/>
      <c r="AM1141" s="4"/>
      <c r="AN1141" s="4"/>
      <c r="AO1141" s="4"/>
      <c r="AP1141" s="4"/>
      <c r="AQ1141" s="4"/>
      <c r="AR1141" s="4"/>
      <c r="AS1141" s="4"/>
      <c r="AT1141" s="4"/>
      <c r="AU1141" s="4"/>
      <c r="AV1141" s="4"/>
      <c r="AW1141" s="4"/>
      <c r="AX1141" s="4"/>
      <c r="AY1141" s="4"/>
      <c r="AZ1141" s="4"/>
      <c r="BA1141" s="4"/>
      <c r="BB1141" s="4"/>
      <c r="BC1141" s="4"/>
      <c r="BD1141" s="4"/>
      <c r="BE1141" s="4"/>
      <c r="BF1141" s="4"/>
      <c r="BG1141" s="4"/>
      <c r="BH1141" s="4"/>
      <c r="BI1141" s="4"/>
      <c r="BJ1141" s="4"/>
      <c r="BK1141" s="4"/>
      <c r="BL1141" s="4"/>
      <c r="BM1141" s="4"/>
      <c r="BN1141" s="4"/>
      <c r="BO1141" s="4"/>
      <c r="BP1141" s="4"/>
      <c r="BQ1141" s="4"/>
      <c r="BR1141" s="4"/>
      <c r="BS1141" s="4"/>
      <c r="BT1141" s="4"/>
      <c r="BU1141" s="4"/>
    </row>
    <row r="1142" spans="29:73" s="1" customFormat="1" x14ac:dyDescent="0.25">
      <c r="AC1142" s="4"/>
      <c r="AD1142" s="4"/>
      <c r="AE1142" s="4"/>
      <c r="AF1142" s="4"/>
      <c r="AG1142" s="4"/>
      <c r="AH1142" s="4"/>
      <c r="AI1142" s="4"/>
      <c r="AJ1142" s="4"/>
      <c r="AK1142" s="4"/>
      <c r="AL1142" s="4"/>
      <c r="AM1142" s="4"/>
      <c r="AN1142" s="4"/>
      <c r="AO1142" s="4"/>
      <c r="AP1142" s="4"/>
      <c r="AQ1142" s="4"/>
      <c r="AR1142" s="4"/>
      <c r="AS1142" s="4"/>
      <c r="AT1142" s="4"/>
      <c r="AU1142" s="4"/>
      <c r="AV1142" s="4"/>
      <c r="AW1142" s="4"/>
      <c r="AX1142" s="4"/>
      <c r="AY1142" s="4"/>
      <c r="AZ1142" s="4"/>
      <c r="BA1142" s="4"/>
      <c r="BB1142" s="4"/>
      <c r="BC1142" s="4"/>
      <c r="BD1142" s="4"/>
      <c r="BE1142" s="4"/>
      <c r="BF1142" s="4"/>
      <c r="BG1142" s="4"/>
      <c r="BH1142" s="4"/>
      <c r="BI1142" s="4"/>
      <c r="BJ1142" s="4"/>
      <c r="BK1142" s="4"/>
      <c r="BL1142" s="4"/>
      <c r="BM1142" s="4"/>
      <c r="BN1142" s="4"/>
      <c r="BO1142" s="4"/>
      <c r="BP1142" s="4"/>
      <c r="BQ1142" s="4"/>
      <c r="BR1142" s="4"/>
      <c r="BS1142" s="4"/>
      <c r="BT1142" s="4"/>
      <c r="BU1142" s="4"/>
    </row>
    <row r="1143" spans="29:73" s="1" customFormat="1" x14ac:dyDescent="0.25">
      <c r="AC1143" s="4"/>
      <c r="AD1143" s="4"/>
      <c r="AE1143" s="4"/>
      <c r="AF1143" s="4"/>
      <c r="AG1143" s="4"/>
      <c r="AH1143" s="4"/>
      <c r="AI1143" s="4"/>
      <c r="AJ1143" s="4"/>
      <c r="AK1143" s="4"/>
      <c r="AL1143" s="4"/>
      <c r="AM1143" s="4"/>
      <c r="AN1143" s="4"/>
      <c r="AO1143" s="4"/>
      <c r="AP1143" s="4"/>
      <c r="AQ1143" s="4"/>
      <c r="AR1143" s="4"/>
      <c r="AS1143" s="4"/>
      <c r="AT1143" s="4"/>
      <c r="AU1143" s="4"/>
      <c r="AV1143" s="4"/>
      <c r="AW1143" s="4"/>
      <c r="AX1143" s="4"/>
      <c r="AY1143" s="4"/>
      <c r="AZ1143" s="4"/>
      <c r="BA1143" s="4"/>
      <c r="BB1143" s="4"/>
      <c r="BC1143" s="4"/>
      <c r="BD1143" s="4"/>
      <c r="BE1143" s="4"/>
      <c r="BF1143" s="4"/>
      <c r="BG1143" s="4"/>
      <c r="BH1143" s="4"/>
      <c r="BI1143" s="4"/>
      <c r="BJ1143" s="4"/>
      <c r="BK1143" s="4"/>
      <c r="BL1143" s="4"/>
      <c r="BM1143" s="4"/>
      <c r="BN1143" s="4"/>
      <c r="BO1143" s="4"/>
      <c r="BP1143" s="4"/>
      <c r="BQ1143" s="4"/>
      <c r="BR1143" s="4"/>
      <c r="BS1143" s="4"/>
      <c r="BT1143" s="4"/>
      <c r="BU1143" s="4"/>
    </row>
    <row r="1144" spans="29:73" s="1" customFormat="1" x14ac:dyDescent="0.25">
      <c r="AC1144" s="4"/>
      <c r="AD1144" s="4"/>
      <c r="AE1144" s="4"/>
      <c r="AF1144" s="4"/>
      <c r="AG1144" s="4"/>
      <c r="AH1144" s="4"/>
      <c r="AI1144" s="4"/>
      <c r="AJ1144" s="4"/>
      <c r="AK1144" s="4"/>
      <c r="AL1144" s="4"/>
      <c r="AM1144" s="4"/>
      <c r="AN1144" s="4"/>
      <c r="AO1144" s="4"/>
      <c r="AP1144" s="4"/>
      <c r="AQ1144" s="4"/>
      <c r="AR1144" s="4"/>
      <c r="AS1144" s="4"/>
      <c r="AT1144" s="4"/>
      <c r="AU1144" s="4"/>
      <c r="AV1144" s="4"/>
      <c r="AW1144" s="4"/>
      <c r="AX1144" s="4"/>
      <c r="AY1144" s="4"/>
      <c r="AZ1144" s="4"/>
      <c r="BA1144" s="4"/>
      <c r="BB1144" s="4"/>
      <c r="BC1144" s="4"/>
      <c r="BD1144" s="4"/>
      <c r="BE1144" s="4"/>
      <c r="BF1144" s="4"/>
      <c r="BG1144" s="4"/>
      <c r="BH1144" s="4"/>
      <c r="BI1144" s="4"/>
      <c r="BJ1144" s="4"/>
      <c r="BK1144" s="4"/>
      <c r="BL1144" s="4"/>
      <c r="BM1144" s="4"/>
      <c r="BN1144" s="4"/>
      <c r="BO1144" s="4"/>
      <c r="BP1144" s="4"/>
      <c r="BQ1144" s="4"/>
      <c r="BR1144" s="4"/>
      <c r="BS1144" s="4"/>
      <c r="BT1144" s="4"/>
      <c r="BU1144" s="4"/>
    </row>
    <row r="1145" spans="29:73" s="1" customFormat="1" x14ac:dyDescent="0.25">
      <c r="AC1145" s="4"/>
      <c r="AD1145" s="4"/>
      <c r="AE1145" s="4"/>
      <c r="AF1145" s="4"/>
      <c r="AG1145" s="4"/>
      <c r="AH1145" s="4"/>
      <c r="AI1145" s="4"/>
      <c r="AJ1145" s="4"/>
      <c r="AK1145" s="4"/>
      <c r="AL1145" s="4"/>
      <c r="AM1145" s="4"/>
      <c r="AN1145" s="4"/>
      <c r="AO1145" s="4"/>
      <c r="AP1145" s="4"/>
      <c r="AQ1145" s="4"/>
      <c r="AR1145" s="4"/>
      <c r="AS1145" s="4"/>
      <c r="AT1145" s="4"/>
      <c r="AU1145" s="4"/>
      <c r="AV1145" s="4"/>
      <c r="AW1145" s="4"/>
      <c r="AX1145" s="4"/>
      <c r="AY1145" s="4"/>
      <c r="AZ1145" s="4"/>
      <c r="BA1145" s="4"/>
      <c r="BB1145" s="4"/>
      <c r="BC1145" s="4"/>
      <c r="BD1145" s="4"/>
      <c r="BE1145" s="4"/>
      <c r="BF1145" s="4"/>
      <c r="BG1145" s="4"/>
      <c r="BH1145" s="4"/>
      <c r="BI1145" s="4"/>
      <c r="BJ1145" s="4"/>
      <c r="BK1145" s="4"/>
      <c r="BL1145" s="4"/>
      <c r="BM1145" s="4"/>
      <c r="BN1145" s="4"/>
      <c r="BO1145" s="4"/>
      <c r="BP1145" s="4"/>
      <c r="BQ1145" s="4"/>
      <c r="BR1145" s="4"/>
      <c r="BS1145" s="4"/>
      <c r="BT1145" s="4"/>
      <c r="BU1145" s="4"/>
    </row>
    <row r="1146" spans="29:73" s="1" customFormat="1" x14ac:dyDescent="0.25">
      <c r="AC1146" s="4"/>
      <c r="AD1146" s="4"/>
      <c r="AE1146" s="4"/>
      <c r="AF1146" s="4"/>
      <c r="AG1146" s="4"/>
      <c r="AH1146" s="4"/>
      <c r="AI1146" s="4"/>
      <c r="AJ1146" s="4"/>
      <c r="AK1146" s="4"/>
      <c r="AL1146" s="4"/>
      <c r="AM1146" s="4"/>
      <c r="AN1146" s="4"/>
      <c r="AO1146" s="4"/>
      <c r="AP1146" s="4"/>
      <c r="AQ1146" s="4"/>
      <c r="AR1146" s="4"/>
      <c r="AS1146" s="4"/>
      <c r="AT1146" s="4"/>
      <c r="AU1146" s="4"/>
      <c r="AV1146" s="4"/>
      <c r="AW1146" s="4"/>
      <c r="AX1146" s="4"/>
      <c r="AY1146" s="4"/>
      <c r="AZ1146" s="4"/>
      <c r="BA1146" s="4"/>
      <c r="BB1146" s="4"/>
      <c r="BC1146" s="4"/>
      <c r="BD1146" s="4"/>
      <c r="BE1146" s="4"/>
      <c r="BF1146" s="4"/>
      <c r="BG1146" s="4"/>
      <c r="BH1146" s="4"/>
      <c r="BI1146" s="4"/>
      <c r="BJ1146" s="4"/>
      <c r="BK1146" s="4"/>
      <c r="BL1146" s="4"/>
      <c r="BM1146" s="4"/>
      <c r="BN1146" s="4"/>
      <c r="BO1146" s="4"/>
      <c r="BP1146" s="4"/>
      <c r="BQ1146" s="4"/>
      <c r="BR1146" s="4"/>
      <c r="BS1146" s="4"/>
      <c r="BT1146" s="4"/>
      <c r="BU1146" s="4"/>
    </row>
    <row r="1147" spans="29:73" s="1" customFormat="1" x14ac:dyDescent="0.25">
      <c r="AC1147" s="4"/>
      <c r="AD1147" s="4"/>
      <c r="AE1147" s="4"/>
      <c r="AF1147" s="4"/>
      <c r="AG1147" s="4"/>
      <c r="AH1147" s="4"/>
      <c r="AI1147" s="4"/>
      <c r="AJ1147" s="4"/>
      <c r="AK1147" s="4"/>
      <c r="AL1147" s="4"/>
      <c r="AM1147" s="4"/>
      <c r="AN1147" s="4"/>
      <c r="AO1147" s="4"/>
      <c r="AP1147" s="4"/>
      <c r="AQ1147" s="4"/>
      <c r="AR1147" s="4"/>
      <c r="AS1147" s="4"/>
      <c r="AT1147" s="4"/>
      <c r="AU1147" s="4"/>
      <c r="AV1147" s="4"/>
      <c r="AW1147" s="4"/>
      <c r="AX1147" s="4"/>
      <c r="AY1147" s="4"/>
      <c r="AZ1147" s="4"/>
      <c r="BA1147" s="4"/>
      <c r="BB1147" s="4"/>
      <c r="BC1147" s="4"/>
      <c r="BD1147" s="4"/>
      <c r="BE1147" s="4"/>
      <c r="BF1147" s="4"/>
      <c r="BG1147" s="4"/>
      <c r="BH1147" s="4"/>
      <c r="BI1147" s="4"/>
      <c r="BJ1147" s="4"/>
      <c r="BK1147" s="4"/>
      <c r="BL1147" s="4"/>
      <c r="BM1147" s="4"/>
      <c r="BN1147" s="4"/>
      <c r="BO1147" s="4"/>
      <c r="BP1147" s="4"/>
      <c r="BQ1147" s="4"/>
      <c r="BR1147" s="4"/>
      <c r="BS1147" s="4"/>
      <c r="BT1147" s="4"/>
      <c r="BU1147" s="4"/>
    </row>
    <row r="1148" spans="29:73" s="1" customFormat="1" x14ac:dyDescent="0.25">
      <c r="AC1148" s="4"/>
      <c r="AD1148" s="4"/>
      <c r="AE1148" s="4"/>
      <c r="AF1148" s="4"/>
      <c r="AG1148" s="4"/>
      <c r="AH1148" s="4"/>
      <c r="AI1148" s="4"/>
      <c r="AJ1148" s="4"/>
      <c r="AK1148" s="4"/>
      <c r="AL1148" s="4"/>
      <c r="AM1148" s="4"/>
      <c r="AN1148" s="4"/>
      <c r="AO1148" s="4"/>
      <c r="AP1148" s="4"/>
      <c r="AQ1148" s="4"/>
      <c r="AR1148" s="4"/>
      <c r="AS1148" s="4"/>
      <c r="AT1148" s="4"/>
      <c r="AU1148" s="4"/>
      <c r="AV1148" s="4"/>
      <c r="AW1148" s="4"/>
      <c r="AX1148" s="4"/>
      <c r="AY1148" s="4"/>
      <c r="AZ1148" s="4"/>
      <c r="BA1148" s="4"/>
      <c r="BB1148" s="4"/>
      <c r="BC1148" s="4"/>
      <c r="BD1148" s="4"/>
      <c r="BE1148" s="4"/>
      <c r="BF1148" s="4"/>
      <c r="BG1148" s="4"/>
      <c r="BH1148" s="4"/>
      <c r="BI1148" s="4"/>
      <c r="BJ1148" s="4"/>
      <c r="BK1148" s="4"/>
      <c r="BL1148" s="4"/>
      <c r="BM1148" s="4"/>
      <c r="BN1148" s="4"/>
      <c r="BO1148" s="4"/>
      <c r="BP1148" s="4"/>
      <c r="BQ1148" s="4"/>
      <c r="BR1148" s="4"/>
      <c r="BS1148" s="4"/>
      <c r="BT1148" s="4"/>
      <c r="BU1148" s="4"/>
    </row>
    <row r="1149" spans="29:73" s="1" customFormat="1" x14ac:dyDescent="0.25">
      <c r="AC1149" s="4"/>
      <c r="AD1149" s="4"/>
      <c r="AE1149" s="4"/>
      <c r="AF1149" s="4"/>
      <c r="AG1149" s="4"/>
      <c r="AH1149" s="4"/>
      <c r="AI1149" s="4"/>
      <c r="AJ1149" s="4"/>
      <c r="AK1149" s="4"/>
      <c r="AL1149" s="4"/>
      <c r="AM1149" s="4"/>
      <c r="AN1149" s="4"/>
      <c r="AO1149" s="4"/>
      <c r="AP1149" s="4"/>
      <c r="AQ1149" s="4"/>
      <c r="AR1149" s="4"/>
      <c r="AS1149" s="4"/>
      <c r="AT1149" s="4"/>
      <c r="AU1149" s="4"/>
      <c r="AV1149" s="4"/>
      <c r="AW1149" s="4"/>
      <c r="AX1149" s="4"/>
      <c r="AY1149" s="4"/>
      <c r="AZ1149" s="4"/>
      <c r="BA1149" s="4"/>
      <c r="BB1149" s="4"/>
      <c r="BC1149" s="4"/>
      <c r="BD1149" s="4"/>
      <c r="BE1149" s="4"/>
      <c r="BF1149" s="4"/>
      <c r="BG1149" s="4"/>
      <c r="BH1149" s="4"/>
      <c r="BI1149" s="4"/>
      <c r="BJ1149" s="4"/>
      <c r="BK1149" s="4"/>
      <c r="BL1149" s="4"/>
      <c r="BM1149" s="4"/>
      <c r="BN1149" s="4"/>
      <c r="BO1149" s="4"/>
      <c r="BP1149" s="4"/>
      <c r="BQ1149" s="4"/>
      <c r="BR1149" s="4"/>
      <c r="BS1149" s="4"/>
      <c r="BT1149" s="4"/>
      <c r="BU1149" s="4"/>
    </row>
    <row r="1150" spans="29:73" s="1" customFormat="1" x14ac:dyDescent="0.25">
      <c r="AC1150" s="4"/>
      <c r="AD1150" s="4"/>
      <c r="AE1150" s="4"/>
      <c r="AF1150" s="4"/>
      <c r="AG1150" s="4"/>
      <c r="AH1150" s="4"/>
      <c r="AI1150" s="4"/>
      <c r="AJ1150" s="4"/>
      <c r="AK1150" s="4"/>
      <c r="AL1150" s="4"/>
      <c r="AM1150" s="4"/>
      <c r="AN1150" s="4"/>
      <c r="AO1150" s="4"/>
      <c r="AP1150" s="4"/>
      <c r="AQ1150" s="4"/>
      <c r="AR1150" s="4"/>
      <c r="AS1150" s="4"/>
      <c r="AT1150" s="4"/>
      <c r="AU1150" s="4"/>
      <c r="AV1150" s="4"/>
      <c r="AW1150" s="4"/>
      <c r="AX1150" s="4"/>
      <c r="AY1150" s="4"/>
      <c r="AZ1150" s="4"/>
      <c r="BA1150" s="4"/>
      <c r="BB1150" s="4"/>
      <c r="BC1150" s="4"/>
      <c r="BD1150" s="4"/>
      <c r="BE1150" s="4"/>
      <c r="BF1150" s="4"/>
      <c r="BG1150" s="4"/>
      <c r="BH1150" s="4"/>
      <c r="BI1150" s="4"/>
      <c r="BJ1150" s="4"/>
      <c r="BK1150" s="4"/>
      <c r="BL1150" s="4"/>
      <c r="BM1150" s="4"/>
      <c r="BN1150" s="4"/>
      <c r="BO1150" s="4"/>
      <c r="BP1150" s="4"/>
      <c r="BQ1150" s="4"/>
      <c r="BR1150" s="4"/>
      <c r="BS1150" s="4"/>
      <c r="BT1150" s="4"/>
      <c r="BU1150" s="4"/>
    </row>
    <row r="1151" spans="29:73" s="1" customFormat="1" x14ac:dyDescent="0.25">
      <c r="AC1151" s="4"/>
      <c r="AD1151" s="4"/>
      <c r="AE1151" s="4"/>
      <c r="AF1151" s="4"/>
      <c r="AG1151" s="4"/>
      <c r="AH1151" s="4"/>
      <c r="AI1151" s="4"/>
      <c r="AJ1151" s="4"/>
      <c r="AK1151" s="4"/>
      <c r="AL1151" s="4"/>
      <c r="AM1151" s="4"/>
      <c r="AN1151" s="4"/>
      <c r="AO1151" s="4"/>
      <c r="AP1151" s="4"/>
      <c r="AQ1151" s="4"/>
      <c r="AR1151" s="4"/>
      <c r="AS1151" s="4"/>
      <c r="AT1151" s="4"/>
      <c r="AU1151" s="4"/>
      <c r="AV1151" s="4"/>
      <c r="AW1151" s="4"/>
      <c r="AX1151" s="4"/>
      <c r="AY1151" s="4"/>
      <c r="AZ1151" s="4"/>
      <c r="BA1151" s="4"/>
      <c r="BB1151" s="4"/>
      <c r="BC1151" s="4"/>
      <c r="BD1151" s="4"/>
      <c r="BE1151" s="4"/>
      <c r="BF1151" s="4"/>
      <c r="BG1151" s="4"/>
      <c r="BH1151" s="4"/>
      <c r="BI1151" s="4"/>
      <c r="BJ1151" s="4"/>
      <c r="BK1151" s="4"/>
      <c r="BL1151" s="4"/>
      <c r="BM1151" s="4"/>
      <c r="BN1151" s="4"/>
      <c r="BO1151" s="4"/>
      <c r="BP1151" s="4"/>
      <c r="BQ1151" s="4"/>
      <c r="BR1151" s="4"/>
      <c r="BS1151" s="4"/>
      <c r="BT1151" s="4"/>
      <c r="BU1151" s="4"/>
    </row>
    <row r="1152" spans="29:73" s="1" customFormat="1" x14ac:dyDescent="0.25">
      <c r="AC1152" s="4"/>
      <c r="AD1152" s="4"/>
      <c r="AE1152" s="4"/>
      <c r="AF1152" s="4"/>
      <c r="AG1152" s="4"/>
      <c r="AH1152" s="4"/>
      <c r="AI1152" s="4"/>
      <c r="AJ1152" s="4"/>
      <c r="AK1152" s="4"/>
      <c r="AL1152" s="4"/>
      <c r="AM1152" s="4"/>
      <c r="AN1152" s="4"/>
      <c r="AO1152" s="4"/>
      <c r="AP1152" s="4"/>
      <c r="AQ1152" s="4"/>
      <c r="AR1152" s="4"/>
      <c r="AS1152" s="4"/>
      <c r="AT1152" s="4"/>
      <c r="AU1152" s="4"/>
      <c r="AV1152" s="4"/>
      <c r="AW1152" s="4"/>
      <c r="AX1152" s="4"/>
      <c r="AY1152" s="4"/>
      <c r="AZ1152" s="4"/>
      <c r="BA1152" s="4"/>
      <c r="BB1152" s="4"/>
      <c r="BC1152" s="4"/>
      <c r="BD1152" s="4"/>
      <c r="BE1152" s="4"/>
      <c r="BF1152" s="4"/>
      <c r="BG1152" s="4"/>
      <c r="BH1152" s="4"/>
      <c r="BI1152" s="4"/>
      <c r="BJ1152" s="4"/>
      <c r="BK1152" s="4"/>
      <c r="BL1152" s="4"/>
      <c r="BM1152" s="4"/>
      <c r="BN1152" s="4"/>
      <c r="BO1152" s="4"/>
      <c r="BP1152" s="4"/>
      <c r="BQ1152" s="4"/>
      <c r="BR1152" s="4"/>
      <c r="BS1152" s="4"/>
      <c r="BT1152" s="4"/>
      <c r="BU1152" s="4"/>
    </row>
    <row r="1153" spans="29:73" s="1" customFormat="1" x14ac:dyDescent="0.25">
      <c r="AC1153" s="4"/>
      <c r="AD1153" s="4"/>
      <c r="AE1153" s="4"/>
      <c r="AF1153" s="4"/>
      <c r="AG1153" s="4"/>
      <c r="AH1153" s="4"/>
      <c r="AI1153" s="4"/>
      <c r="AJ1153" s="4"/>
      <c r="AK1153" s="4"/>
      <c r="AL1153" s="4"/>
      <c r="AM1153" s="4"/>
      <c r="AN1153" s="4"/>
      <c r="AO1153" s="4"/>
      <c r="AP1153" s="4"/>
      <c r="AQ1153" s="4"/>
      <c r="AR1153" s="4"/>
      <c r="AS1153" s="4"/>
      <c r="AT1153" s="4"/>
      <c r="AU1153" s="4"/>
      <c r="AV1153" s="4"/>
      <c r="AW1153" s="4"/>
      <c r="AX1153" s="4"/>
      <c r="AY1153" s="4"/>
      <c r="AZ1153" s="4"/>
      <c r="BA1153" s="4"/>
      <c r="BB1153" s="4"/>
      <c r="BC1153" s="4"/>
      <c r="BD1153" s="4"/>
      <c r="BE1153" s="4"/>
      <c r="BF1153" s="4"/>
      <c r="BG1153" s="4"/>
      <c r="BH1153" s="4"/>
      <c r="BI1153" s="4"/>
      <c r="BJ1153" s="4"/>
      <c r="BK1153" s="4"/>
      <c r="BL1153" s="4"/>
      <c r="BM1153" s="4"/>
      <c r="BN1153" s="4"/>
      <c r="BO1153" s="4"/>
      <c r="BP1153" s="4"/>
      <c r="BQ1153" s="4"/>
      <c r="BR1153" s="4"/>
      <c r="BS1153" s="4"/>
      <c r="BT1153" s="4"/>
      <c r="BU1153" s="4"/>
    </row>
    <row r="1154" spans="29:73" s="1" customFormat="1" x14ac:dyDescent="0.25">
      <c r="AC1154" s="4"/>
      <c r="AD1154" s="4"/>
      <c r="AE1154" s="4"/>
      <c r="AF1154" s="4"/>
      <c r="AG1154" s="4"/>
      <c r="AH1154" s="4"/>
      <c r="AI1154" s="4"/>
      <c r="AJ1154" s="4"/>
      <c r="AK1154" s="4"/>
      <c r="AL1154" s="4"/>
      <c r="AM1154" s="4"/>
      <c r="AN1154" s="4"/>
      <c r="AO1154" s="4"/>
      <c r="AP1154" s="4"/>
      <c r="AQ1154" s="4"/>
      <c r="AR1154" s="4"/>
      <c r="AS1154" s="4"/>
      <c r="AT1154" s="4"/>
      <c r="AU1154" s="4"/>
      <c r="AV1154" s="4"/>
      <c r="AW1154" s="4"/>
      <c r="AX1154" s="4"/>
      <c r="AY1154" s="4"/>
      <c r="AZ1154" s="4"/>
      <c r="BA1154" s="4"/>
      <c r="BB1154" s="4"/>
      <c r="BC1154" s="4"/>
      <c r="BD1154" s="4"/>
      <c r="BE1154" s="4"/>
      <c r="BF1154" s="4"/>
      <c r="BG1154" s="4"/>
      <c r="BH1154" s="4"/>
      <c r="BI1154" s="4"/>
      <c r="BJ1154" s="4"/>
      <c r="BK1154" s="4"/>
      <c r="BL1154" s="4"/>
      <c r="BM1154" s="4"/>
      <c r="BN1154" s="4"/>
      <c r="BO1154" s="4"/>
      <c r="BP1154" s="4"/>
      <c r="BQ1154" s="4"/>
      <c r="BR1154" s="4"/>
      <c r="BS1154" s="4"/>
      <c r="BT1154" s="4"/>
      <c r="BU1154" s="4"/>
    </row>
    <row r="1155" spans="29:73" s="1" customFormat="1" x14ac:dyDescent="0.25">
      <c r="AC1155" s="4"/>
      <c r="AD1155" s="4"/>
      <c r="AE1155" s="4"/>
      <c r="AF1155" s="4"/>
      <c r="AG1155" s="4"/>
      <c r="AH1155" s="4"/>
      <c r="AI1155" s="4"/>
      <c r="AJ1155" s="4"/>
      <c r="AK1155" s="4"/>
      <c r="AL1155" s="4"/>
      <c r="AM1155" s="4"/>
      <c r="AN1155" s="4"/>
      <c r="AO1155" s="4"/>
      <c r="AP1155" s="4"/>
      <c r="AQ1155" s="4"/>
      <c r="AR1155" s="4"/>
      <c r="AS1155" s="4"/>
      <c r="AT1155" s="4"/>
      <c r="AU1155" s="4"/>
      <c r="AV1155" s="4"/>
      <c r="AW1155" s="4"/>
      <c r="AX1155" s="4"/>
      <c r="AY1155" s="4"/>
      <c r="AZ1155" s="4"/>
      <c r="BA1155" s="4"/>
      <c r="BB1155" s="4"/>
      <c r="BC1155" s="4"/>
      <c r="BD1155" s="4"/>
      <c r="BE1155" s="4"/>
      <c r="BF1155" s="4"/>
      <c r="BG1155" s="4"/>
      <c r="BH1155" s="4"/>
      <c r="BI1155" s="4"/>
      <c r="BJ1155" s="4"/>
      <c r="BK1155" s="4"/>
      <c r="BL1155" s="4"/>
      <c r="BM1155" s="4"/>
      <c r="BN1155" s="4"/>
      <c r="BO1155" s="4"/>
      <c r="BP1155" s="4"/>
      <c r="BQ1155" s="4"/>
      <c r="BR1155" s="4"/>
      <c r="BS1155" s="4"/>
      <c r="BT1155" s="4"/>
      <c r="BU1155" s="4"/>
    </row>
    <row r="1156" spans="29:73" s="1" customFormat="1" x14ac:dyDescent="0.25">
      <c r="AC1156" s="4"/>
      <c r="AD1156" s="4"/>
      <c r="AE1156" s="4"/>
      <c r="AF1156" s="4"/>
      <c r="AG1156" s="4"/>
      <c r="AH1156" s="4"/>
      <c r="AI1156" s="4"/>
      <c r="AJ1156" s="4"/>
      <c r="AK1156" s="4"/>
      <c r="AL1156" s="4"/>
      <c r="AM1156" s="4"/>
      <c r="AN1156" s="4"/>
      <c r="AO1156" s="4"/>
      <c r="AP1156" s="4"/>
      <c r="AQ1156" s="4"/>
      <c r="AR1156" s="4"/>
      <c r="AS1156" s="4"/>
      <c r="AT1156" s="4"/>
      <c r="AU1156" s="4"/>
      <c r="AV1156" s="4"/>
      <c r="AW1156" s="4"/>
      <c r="AX1156" s="4"/>
      <c r="AY1156" s="4"/>
      <c r="AZ1156" s="4"/>
      <c r="BA1156" s="4"/>
      <c r="BB1156" s="4"/>
      <c r="BC1156" s="4"/>
      <c r="BD1156" s="4"/>
      <c r="BE1156" s="4"/>
      <c r="BF1156" s="4"/>
      <c r="BG1156" s="4"/>
      <c r="BH1156" s="4"/>
      <c r="BI1156" s="4"/>
      <c r="BJ1156" s="4"/>
      <c r="BK1156" s="4"/>
      <c r="BL1156" s="4"/>
      <c r="BM1156" s="4"/>
      <c r="BN1156" s="4"/>
      <c r="BO1156" s="4"/>
      <c r="BP1156" s="4"/>
      <c r="BQ1156" s="4"/>
      <c r="BR1156" s="4"/>
      <c r="BS1156" s="4"/>
      <c r="BT1156" s="4"/>
      <c r="BU1156" s="4"/>
    </row>
    <row r="1157" spans="29:73" s="1" customFormat="1" x14ac:dyDescent="0.25">
      <c r="AC1157" s="4"/>
      <c r="AD1157" s="4"/>
      <c r="AE1157" s="4"/>
      <c r="AF1157" s="4"/>
      <c r="AG1157" s="4"/>
      <c r="AH1157" s="4"/>
      <c r="AI1157" s="4"/>
      <c r="AJ1157" s="4"/>
      <c r="AK1157" s="4"/>
      <c r="AL1157" s="4"/>
      <c r="AM1157" s="4"/>
      <c r="AN1157" s="4"/>
      <c r="AO1157" s="4"/>
      <c r="AP1157" s="4"/>
      <c r="AQ1157" s="4"/>
      <c r="AR1157" s="4"/>
      <c r="AS1157" s="4"/>
      <c r="AT1157" s="4"/>
      <c r="AU1157" s="4"/>
      <c r="AV1157" s="4"/>
      <c r="AW1157" s="4"/>
      <c r="AX1157" s="4"/>
      <c r="AY1157" s="4"/>
      <c r="AZ1157" s="4"/>
      <c r="BA1157" s="4"/>
      <c r="BB1157" s="4"/>
      <c r="BC1157" s="4"/>
      <c r="BD1157" s="4"/>
      <c r="BE1157" s="4"/>
      <c r="BF1157" s="4"/>
      <c r="BG1157" s="4"/>
      <c r="BH1157" s="4"/>
      <c r="BI1157" s="4"/>
      <c r="BJ1157" s="4"/>
      <c r="BK1157" s="4"/>
      <c r="BL1157" s="4"/>
      <c r="BM1157" s="4"/>
      <c r="BN1157" s="4"/>
      <c r="BO1157" s="4"/>
      <c r="BP1157" s="4"/>
      <c r="BQ1157" s="4"/>
      <c r="BR1157" s="4"/>
      <c r="BS1157" s="4"/>
      <c r="BT1157" s="4"/>
      <c r="BU1157" s="4"/>
    </row>
    <row r="1158" spans="29:73" s="1" customFormat="1" x14ac:dyDescent="0.25">
      <c r="AC1158" s="4"/>
      <c r="AD1158" s="4"/>
      <c r="AE1158" s="4"/>
      <c r="AF1158" s="4"/>
      <c r="AG1158" s="4"/>
      <c r="AH1158" s="4"/>
      <c r="AI1158" s="4"/>
      <c r="AJ1158" s="4"/>
      <c r="AK1158" s="4"/>
      <c r="AL1158" s="4"/>
      <c r="AM1158" s="4"/>
      <c r="AN1158" s="4"/>
      <c r="AO1158" s="4"/>
      <c r="AP1158" s="4"/>
      <c r="AQ1158" s="4"/>
      <c r="AR1158" s="4"/>
      <c r="AS1158" s="4"/>
      <c r="AT1158" s="4"/>
      <c r="AU1158" s="4"/>
      <c r="AV1158" s="4"/>
      <c r="AW1158" s="4"/>
      <c r="AX1158" s="4"/>
      <c r="AY1158" s="4"/>
      <c r="AZ1158" s="4"/>
      <c r="BA1158" s="4"/>
      <c r="BB1158" s="4"/>
      <c r="BC1158" s="4"/>
      <c r="BD1158" s="4"/>
      <c r="BE1158" s="4"/>
      <c r="BF1158" s="4"/>
      <c r="BG1158" s="4"/>
      <c r="BH1158" s="4"/>
      <c r="BI1158" s="4"/>
      <c r="BJ1158" s="4"/>
      <c r="BK1158" s="4"/>
      <c r="BL1158" s="4"/>
      <c r="BM1158" s="4"/>
      <c r="BN1158" s="4"/>
      <c r="BO1158" s="4"/>
      <c r="BP1158" s="4"/>
      <c r="BQ1158" s="4"/>
      <c r="BR1158" s="4"/>
      <c r="BS1158" s="4"/>
      <c r="BT1158" s="4"/>
      <c r="BU1158" s="4"/>
    </row>
    <row r="1159" spans="29:73" s="1" customFormat="1" x14ac:dyDescent="0.25">
      <c r="AC1159" s="4"/>
      <c r="AD1159" s="4"/>
      <c r="AE1159" s="4"/>
      <c r="AF1159" s="4"/>
      <c r="AG1159" s="4"/>
      <c r="AH1159" s="4"/>
      <c r="AI1159" s="4"/>
      <c r="AJ1159" s="4"/>
      <c r="AK1159" s="4"/>
      <c r="AL1159" s="4"/>
      <c r="AM1159" s="4"/>
      <c r="AN1159" s="4"/>
      <c r="AO1159" s="4"/>
      <c r="AP1159" s="4"/>
      <c r="AQ1159" s="4"/>
      <c r="AR1159" s="4"/>
      <c r="AS1159" s="4"/>
      <c r="AT1159" s="4"/>
      <c r="AU1159" s="4"/>
      <c r="AV1159" s="4"/>
      <c r="AW1159" s="4"/>
      <c r="AX1159" s="4"/>
      <c r="AY1159" s="4"/>
      <c r="AZ1159" s="4"/>
      <c r="BA1159" s="4"/>
      <c r="BB1159" s="4"/>
      <c r="BC1159" s="4"/>
      <c r="BD1159" s="4"/>
      <c r="BE1159" s="4"/>
      <c r="BF1159" s="4"/>
      <c r="BG1159" s="4"/>
      <c r="BH1159" s="4"/>
      <c r="BI1159" s="4"/>
      <c r="BJ1159" s="4"/>
      <c r="BK1159" s="4"/>
      <c r="BL1159" s="4"/>
      <c r="BM1159" s="4"/>
      <c r="BN1159" s="4"/>
      <c r="BO1159" s="4"/>
      <c r="BP1159" s="4"/>
      <c r="BQ1159" s="4"/>
      <c r="BR1159" s="4"/>
      <c r="BS1159" s="4"/>
      <c r="BT1159" s="4"/>
      <c r="BU1159" s="4"/>
    </row>
    <row r="1160" spans="29:73" s="1" customFormat="1" x14ac:dyDescent="0.25">
      <c r="AC1160" s="4"/>
      <c r="AD1160" s="4"/>
      <c r="AE1160" s="4"/>
      <c r="AF1160" s="4"/>
      <c r="AG1160" s="4"/>
      <c r="AH1160" s="4"/>
      <c r="AI1160" s="4"/>
      <c r="AJ1160" s="4"/>
      <c r="AK1160" s="4"/>
      <c r="AL1160" s="4"/>
      <c r="AM1160" s="4"/>
      <c r="AN1160" s="4"/>
      <c r="AO1160" s="4"/>
      <c r="AP1160" s="4"/>
      <c r="AQ1160" s="4"/>
      <c r="AR1160" s="4"/>
      <c r="AS1160" s="4"/>
      <c r="AT1160" s="4"/>
      <c r="AU1160" s="4"/>
      <c r="AV1160" s="4"/>
      <c r="AW1160" s="4"/>
      <c r="AX1160" s="4"/>
      <c r="AY1160" s="4"/>
      <c r="AZ1160" s="4"/>
      <c r="BA1160" s="4"/>
      <c r="BB1160" s="4"/>
      <c r="BC1160" s="4"/>
      <c r="BD1160" s="4"/>
      <c r="BE1160" s="4"/>
      <c r="BF1160" s="4"/>
      <c r="BG1160" s="4"/>
      <c r="BH1160" s="4"/>
      <c r="BI1160" s="4"/>
      <c r="BJ1160" s="4"/>
      <c r="BK1160" s="4"/>
      <c r="BL1160" s="4"/>
      <c r="BM1160" s="4"/>
      <c r="BN1160" s="4"/>
      <c r="BO1160" s="4"/>
      <c r="BP1160" s="4"/>
      <c r="BQ1160" s="4"/>
      <c r="BR1160" s="4"/>
      <c r="BS1160" s="4"/>
      <c r="BT1160" s="4"/>
      <c r="BU1160" s="4"/>
    </row>
    <row r="1161" spans="29:73" s="1" customFormat="1" x14ac:dyDescent="0.25">
      <c r="AC1161" s="4"/>
      <c r="AD1161" s="4"/>
      <c r="AE1161" s="4"/>
      <c r="AF1161" s="4"/>
      <c r="AG1161" s="4"/>
      <c r="AH1161" s="4"/>
      <c r="AI1161" s="4"/>
      <c r="AJ1161" s="4"/>
      <c r="AK1161" s="4"/>
      <c r="AL1161" s="4"/>
      <c r="AM1161" s="4"/>
      <c r="AN1161" s="4"/>
      <c r="AO1161" s="4"/>
      <c r="AP1161" s="4"/>
      <c r="AQ1161" s="4"/>
      <c r="AR1161" s="4"/>
      <c r="AS1161" s="4"/>
      <c r="AT1161" s="4"/>
      <c r="AU1161" s="4"/>
      <c r="AV1161" s="4"/>
      <c r="AW1161" s="4"/>
      <c r="AX1161" s="4"/>
      <c r="AY1161" s="4"/>
      <c r="AZ1161" s="4"/>
      <c r="BA1161" s="4"/>
      <c r="BB1161" s="4"/>
      <c r="BC1161" s="4"/>
      <c r="BD1161" s="4"/>
      <c r="BE1161" s="4"/>
      <c r="BF1161" s="4"/>
      <c r="BG1161" s="4"/>
      <c r="BH1161" s="4"/>
      <c r="BI1161" s="4"/>
      <c r="BJ1161" s="4"/>
      <c r="BK1161" s="4"/>
      <c r="BL1161" s="4"/>
      <c r="BM1161" s="4"/>
      <c r="BN1161" s="4"/>
      <c r="BO1161" s="4"/>
      <c r="BP1161" s="4"/>
      <c r="BQ1161" s="4"/>
      <c r="BR1161" s="4"/>
      <c r="BS1161" s="4"/>
      <c r="BT1161" s="4"/>
      <c r="BU1161" s="4"/>
    </row>
    <row r="1162" spans="29:73" s="1" customFormat="1" x14ac:dyDescent="0.25">
      <c r="AC1162" s="4"/>
      <c r="AD1162" s="4"/>
      <c r="AE1162" s="4"/>
      <c r="AF1162" s="4"/>
      <c r="AG1162" s="4"/>
      <c r="AH1162" s="4"/>
      <c r="AI1162" s="4"/>
      <c r="AJ1162" s="4"/>
      <c r="AK1162" s="4"/>
      <c r="AL1162" s="4"/>
      <c r="AM1162" s="4"/>
      <c r="AN1162" s="4"/>
      <c r="AO1162" s="4"/>
      <c r="AP1162" s="4"/>
      <c r="AQ1162" s="4"/>
      <c r="AR1162" s="4"/>
      <c r="AS1162" s="4"/>
      <c r="AT1162" s="4"/>
      <c r="AU1162" s="4"/>
      <c r="AV1162" s="4"/>
      <c r="AW1162" s="4"/>
      <c r="AX1162" s="4"/>
      <c r="AY1162" s="4"/>
      <c r="AZ1162" s="4"/>
      <c r="BA1162" s="4"/>
      <c r="BB1162" s="4"/>
      <c r="BC1162" s="4"/>
      <c r="BD1162" s="4"/>
      <c r="BE1162" s="4"/>
      <c r="BF1162" s="4"/>
      <c r="BG1162" s="4"/>
      <c r="BH1162" s="4"/>
      <c r="BI1162" s="4"/>
      <c r="BJ1162" s="4"/>
      <c r="BK1162" s="4"/>
      <c r="BL1162" s="4"/>
      <c r="BM1162" s="4"/>
      <c r="BN1162" s="4"/>
      <c r="BO1162" s="4"/>
      <c r="BP1162" s="4"/>
      <c r="BQ1162" s="4"/>
      <c r="BR1162" s="4"/>
      <c r="BS1162" s="4"/>
      <c r="BT1162" s="4"/>
      <c r="BU1162" s="4"/>
    </row>
    <row r="1163" spans="29:73" s="1" customFormat="1" x14ac:dyDescent="0.25">
      <c r="AC1163" s="4"/>
      <c r="AD1163" s="4"/>
      <c r="AE1163" s="4"/>
      <c r="AF1163" s="4"/>
      <c r="AG1163" s="4"/>
      <c r="AH1163" s="4"/>
      <c r="AI1163" s="4"/>
      <c r="AJ1163" s="4"/>
      <c r="AK1163" s="4"/>
      <c r="AL1163" s="4"/>
      <c r="AM1163" s="4"/>
      <c r="AN1163" s="4"/>
      <c r="AO1163" s="4"/>
      <c r="AP1163" s="4"/>
      <c r="AQ1163" s="4"/>
      <c r="AR1163" s="4"/>
      <c r="AS1163" s="4"/>
      <c r="AT1163" s="4"/>
      <c r="AU1163" s="4"/>
      <c r="AV1163" s="4"/>
      <c r="AW1163" s="4"/>
      <c r="AX1163" s="4"/>
      <c r="AY1163" s="4"/>
      <c r="AZ1163" s="4"/>
      <c r="BA1163" s="4"/>
      <c r="BB1163" s="4"/>
      <c r="BC1163" s="4"/>
      <c r="BD1163" s="4"/>
      <c r="BE1163" s="4"/>
      <c r="BF1163" s="4"/>
      <c r="BG1163" s="4"/>
      <c r="BH1163" s="4"/>
      <c r="BI1163" s="4"/>
      <c r="BJ1163" s="4"/>
      <c r="BK1163" s="4"/>
      <c r="BL1163" s="4"/>
      <c r="BM1163" s="4"/>
      <c r="BN1163" s="4"/>
      <c r="BO1163" s="4"/>
      <c r="BP1163" s="4"/>
      <c r="BQ1163" s="4"/>
      <c r="BR1163" s="4"/>
      <c r="BS1163" s="4"/>
      <c r="BT1163" s="4"/>
      <c r="BU1163" s="4"/>
    </row>
    <row r="1164" spans="29:73" s="1" customFormat="1" x14ac:dyDescent="0.25">
      <c r="AC1164" s="4"/>
      <c r="AD1164" s="4"/>
      <c r="AE1164" s="4"/>
      <c r="AF1164" s="4"/>
      <c r="AG1164" s="4"/>
      <c r="AH1164" s="4"/>
      <c r="AI1164" s="4"/>
      <c r="AJ1164" s="4"/>
      <c r="AK1164" s="4"/>
      <c r="AL1164" s="4"/>
      <c r="AM1164" s="4"/>
      <c r="AN1164" s="4"/>
      <c r="AO1164" s="4"/>
      <c r="AP1164" s="4"/>
      <c r="AQ1164" s="4"/>
      <c r="AR1164" s="4"/>
      <c r="AS1164" s="4"/>
      <c r="AT1164" s="4"/>
      <c r="AU1164" s="4"/>
      <c r="AV1164" s="4"/>
      <c r="AW1164" s="4"/>
      <c r="AX1164" s="4"/>
      <c r="AY1164" s="4"/>
      <c r="AZ1164" s="4"/>
      <c r="BA1164" s="4"/>
      <c r="BB1164" s="4"/>
      <c r="BC1164" s="4"/>
      <c r="BD1164" s="4"/>
      <c r="BE1164" s="4"/>
      <c r="BF1164" s="4"/>
      <c r="BG1164" s="4"/>
      <c r="BH1164" s="4"/>
      <c r="BI1164" s="4"/>
      <c r="BJ1164" s="4"/>
      <c r="BK1164" s="4"/>
      <c r="BL1164" s="4"/>
      <c r="BM1164" s="4"/>
      <c r="BN1164" s="4"/>
      <c r="BO1164" s="4"/>
      <c r="BP1164" s="4"/>
      <c r="BQ1164" s="4"/>
      <c r="BR1164" s="4"/>
      <c r="BS1164" s="4"/>
      <c r="BT1164" s="4"/>
      <c r="BU1164" s="4"/>
    </row>
    <row r="1165" spans="29:73" s="1" customFormat="1" x14ac:dyDescent="0.25">
      <c r="AC1165" s="4"/>
      <c r="AD1165" s="4"/>
      <c r="AE1165" s="4"/>
      <c r="AF1165" s="4"/>
      <c r="AG1165" s="4"/>
      <c r="AH1165" s="4"/>
      <c r="AI1165" s="4"/>
      <c r="AJ1165" s="4"/>
      <c r="AK1165" s="4"/>
      <c r="AL1165" s="4"/>
      <c r="AM1165" s="4"/>
      <c r="AN1165" s="4"/>
      <c r="AO1165" s="4"/>
      <c r="AP1165" s="4"/>
      <c r="AQ1165" s="4"/>
      <c r="AR1165" s="4"/>
      <c r="AS1165" s="4"/>
      <c r="AT1165" s="4"/>
      <c r="AU1165" s="4"/>
      <c r="AV1165" s="4"/>
      <c r="AW1165" s="4"/>
      <c r="AX1165" s="4"/>
      <c r="AY1165" s="4"/>
      <c r="AZ1165" s="4"/>
      <c r="BA1165" s="4"/>
      <c r="BB1165" s="4"/>
      <c r="BC1165" s="4"/>
      <c r="BD1165" s="4"/>
      <c r="BE1165" s="4"/>
      <c r="BF1165" s="4"/>
      <c r="BG1165" s="4"/>
      <c r="BH1165" s="4"/>
      <c r="BI1165" s="4"/>
      <c r="BJ1165" s="4"/>
      <c r="BK1165" s="4"/>
      <c r="BL1165" s="4"/>
      <c r="BM1165" s="4"/>
      <c r="BN1165" s="4"/>
      <c r="BO1165" s="4"/>
      <c r="BP1165" s="4"/>
      <c r="BQ1165" s="4"/>
      <c r="BR1165" s="4"/>
      <c r="BS1165" s="4"/>
      <c r="BT1165" s="4"/>
      <c r="BU1165" s="4"/>
    </row>
    <row r="1166" spans="29:73" s="1" customFormat="1" x14ac:dyDescent="0.25">
      <c r="AC1166" s="4"/>
      <c r="AD1166" s="4"/>
      <c r="AE1166" s="4"/>
      <c r="AF1166" s="4"/>
      <c r="AG1166" s="4"/>
      <c r="AH1166" s="4"/>
      <c r="AI1166" s="4"/>
      <c r="AJ1166" s="4"/>
      <c r="AK1166" s="4"/>
      <c r="AL1166" s="4"/>
      <c r="AM1166" s="4"/>
      <c r="AN1166" s="4"/>
      <c r="AO1166" s="4"/>
      <c r="AP1166" s="4"/>
      <c r="AQ1166" s="4"/>
      <c r="AR1166" s="4"/>
      <c r="AS1166" s="4"/>
      <c r="AT1166" s="4"/>
      <c r="AU1166" s="4"/>
      <c r="AV1166" s="4"/>
      <c r="AW1166" s="4"/>
      <c r="AX1166" s="4"/>
      <c r="AY1166" s="4"/>
      <c r="AZ1166" s="4"/>
      <c r="BA1166" s="4"/>
      <c r="BB1166" s="4"/>
      <c r="BC1166" s="4"/>
      <c r="BD1166" s="4"/>
      <c r="BE1166" s="4"/>
      <c r="BF1166" s="4"/>
      <c r="BG1166" s="4"/>
      <c r="BH1166" s="4"/>
      <c r="BI1166" s="4"/>
      <c r="BJ1166" s="4"/>
      <c r="BK1166" s="4"/>
      <c r="BL1166" s="4"/>
      <c r="BM1166" s="4"/>
      <c r="BN1166" s="4"/>
      <c r="BO1166" s="4"/>
      <c r="BP1166" s="4"/>
      <c r="BQ1166" s="4"/>
      <c r="BR1166" s="4"/>
      <c r="BS1166" s="4"/>
      <c r="BT1166" s="4"/>
      <c r="BU1166" s="4"/>
    </row>
    <row r="1167" spans="29:73" s="1" customFormat="1" x14ac:dyDescent="0.25">
      <c r="AC1167" s="4"/>
      <c r="AD1167" s="4"/>
      <c r="AE1167" s="4"/>
      <c r="AF1167" s="4"/>
      <c r="AG1167" s="4"/>
      <c r="AH1167" s="4"/>
      <c r="AI1167" s="4"/>
      <c r="AJ1167" s="4"/>
      <c r="AK1167" s="4"/>
      <c r="AL1167" s="4"/>
      <c r="AM1167" s="4"/>
      <c r="AN1167" s="4"/>
      <c r="AO1167" s="4"/>
      <c r="AP1167" s="4"/>
      <c r="AQ1167" s="4"/>
      <c r="AR1167" s="4"/>
      <c r="AS1167" s="4"/>
      <c r="AT1167" s="4"/>
      <c r="AU1167" s="4"/>
      <c r="AV1167" s="4"/>
      <c r="AW1167" s="4"/>
      <c r="AX1167" s="4"/>
      <c r="AY1167" s="4"/>
      <c r="AZ1167" s="4"/>
      <c r="BA1167" s="4"/>
      <c r="BB1167" s="4"/>
      <c r="BC1167" s="4"/>
      <c r="BD1167" s="4"/>
      <c r="BE1167" s="4"/>
      <c r="BF1167" s="4"/>
      <c r="BG1167" s="4"/>
      <c r="BH1167" s="4"/>
      <c r="BI1167" s="4"/>
      <c r="BJ1167" s="4"/>
      <c r="BK1167" s="4"/>
      <c r="BL1167" s="4"/>
      <c r="BM1167" s="4"/>
      <c r="BN1167" s="4"/>
      <c r="BO1167" s="4"/>
      <c r="BP1167" s="4"/>
      <c r="BQ1167" s="4"/>
      <c r="BR1167" s="4"/>
      <c r="BS1167" s="4"/>
      <c r="BT1167" s="4"/>
      <c r="BU1167" s="4"/>
    </row>
    <row r="1168" spans="29:73" s="1" customFormat="1" x14ac:dyDescent="0.25">
      <c r="AC1168" s="4"/>
      <c r="AD1168" s="4"/>
      <c r="AE1168" s="4"/>
      <c r="AF1168" s="4"/>
      <c r="AG1168" s="4"/>
      <c r="AH1168" s="4"/>
      <c r="AI1168" s="4"/>
      <c r="AJ1168" s="4"/>
      <c r="AK1168" s="4"/>
      <c r="AL1168" s="4"/>
      <c r="AM1168" s="4"/>
      <c r="AN1168" s="4"/>
      <c r="AO1168" s="4"/>
      <c r="AP1168" s="4"/>
      <c r="AQ1168" s="4"/>
      <c r="AR1168" s="4"/>
      <c r="AS1168" s="4"/>
      <c r="AT1168" s="4"/>
      <c r="AU1168" s="4"/>
      <c r="AV1168" s="4"/>
      <c r="AW1168" s="4"/>
      <c r="AX1168" s="4"/>
      <c r="AY1168" s="4"/>
      <c r="AZ1168" s="4"/>
      <c r="BA1168" s="4"/>
      <c r="BB1168" s="4"/>
      <c r="BC1168" s="4"/>
      <c r="BD1168" s="4"/>
      <c r="BE1168" s="4"/>
      <c r="BF1168" s="4"/>
      <c r="BG1168" s="4"/>
      <c r="BH1168" s="4"/>
      <c r="BI1168" s="4"/>
      <c r="BJ1168" s="4"/>
      <c r="BK1168" s="4"/>
      <c r="BL1168" s="4"/>
      <c r="BM1168" s="4"/>
      <c r="BN1168" s="4"/>
      <c r="BO1168" s="4"/>
      <c r="BP1168" s="4"/>
      <c r="BQ1168" s="4"/>
      <c r="BR1168" s="4"/>
      <c r="BS1168" s="4"/>
      <c r="BT1168" s="4"/>
      <c r="BU1168" s="4"/>
    </row>
    <row r="1169" spans="29:73" s="1" customFormat="1" x14ac:dyDescent="0.25">
      <c r="AC1169" s="4"/>
      <c r="AD1169" s="4"/>
      <c r="AE1169" s="4"/>
      <c r="AF1169" s="4"/>
      <c r="AG1169" s="4"/>
      <c r="AH1169" s="4"/>
      <c r="AI1169" s="4"/>
      <c r="AJ1169" s="4"/>
      <c r="AK1169" s="4"/>
      <c r="AL1169" s="4"/>
      <c r="AM1169" s="4"/>
      <c r="AN1169" s="4"/>
      <c r="AO1169" s="4"/>
      <c r="AP1169" s="4"/>
      <c r="AQ1169" s="4"/>
      <c r="AR1169" s="4"/>
      <c r="AS1169" s="4"/>
      <c r="AT1169" s="4"/>
      <c r="AU1169" s="4"/>
      <c r="AV1169" s="4"/>
      <c r="AW1169" s="4"/>
      <c r="AX1169" s="4"/>
      <c r="AY1169" s="4"/>
      <c r="AZ1169" s="4"/>
      <c r="BA1169" s="4"/>
      <c r="BB1169" s="4"/>
      <c r="BC1169" s="4"/>
      <c r="BD1169" s="4"/>
      <c r="BE1169" s="4"/>
      <c r="BF1169" s="4"/>
      <c r="BG1169" s="4"/>
      <c r="BH1169" s="4"/>
      <c r="BI1169" s="4"/>
      <c r="BJ1169" s="4"/>
      <c r="BK1169" s="4"/>
      <c r="BL1169" s="4"/>
      <c r="BM1169" s="4"/>
      <c r="BN1169" s="4"/>
      <c r="BO1169" s="4"/>
      <c r="BP1169" s="4"/>
      <c r="BQ1169" s="4"/>
      <c r="BR1169" s="4"/>
      <c r="BS1169" s="4"/>
      <c r="BT1169" s="4"/>
      <c r="BU1169" s="4"/>
    </row>
    <row r="1170" spans="29:73" s="1" customFormat="1" x14ac:dyDescent="0.25">
      <c r="AC1170" s="4"/>
      <c r="AD1170" s="4"/>
      <c r="AE1170" s="4"/>
      <c r="AF1170" s="4"/>
      <c r="AG1170" s="4"/>
      <c r="AH1170" s="4"/>
      <c r="AI1170" s="4"/>
      <c r="AJ1170" s="4"/>
      <c r="AK1170" s="4"/>
      <c r="AL1170" s="4"/>
      <c r="AM1170" s="4"/>
      <c r="AN1170" s="4"/>
      <c r="AO1170" s="4"/>
      <c r="AP1170" s="4"/>
      <c r="AQ1170" s="4"/>
      <c r="AR1170" s="4"/>
      <c r="AS1170" s="4"/>
      <c r="AT1170" s="4"/>
      <c r="AU1170" s="4"/>
      <c r="AV1170" s="4"/>
      <c r="AW1170" s="4"/>
      <c r="AX1170" s="4"/>
      <c r="AY1170" s="4"/>
      <c r="AZ1170" s="4"/>
      <c r="BA1170" s="4"/>
      <c r="BB1170" s="4"/>
      <c r="BC1170" s="4"/>
      <c r="BD1170" s="4"/>
      <c r="BE1170" s="4"/>
      <c r="BF1170" s="4"/>
      <c r="BG1170" s="4"/>
      <c r="BH1170" s="4"/>
      <c r="BI1170" s="4"/>
      <c r="BJ1170" s="4"/>
      <c r="BK1170" s="4"/>
      <c r="BL1170" s="4"/>
      <c r="BM1170" s="4"/>
      <c r="BN1170" s="4"/>
      <c r="BO1170" s="4"/>
      <c r="BP1170" s="4"/>
      <c r="BQ1170" s="4"/>
      <c r="BR1170" s="4"/>
      <c r="BS1170" s="4"/>
      <c r="BT1170" s="4"/>
      <c r="BU1170" s="4"/>
    </row>
    <row r="1171" spans="29:73" s="1" customFormat="1" x14ac:dyDescent="0.25">
      <c r="AC1171" s="4"/>
      <c r="AD1171" s="4"/>
      <c r="AE1171" s="4"/>
      <c r="AF1171" s="4"/>
      <c r="AG1171" s="4"/>
      <c r="AH1171" s="4"/>
      <c r="AI1171" s="4"/>
      <c r="AJ1171" s="4"/>
      <c r="AK1171" s="4"/>
      <c r="AL1171" s="4"/>
      <c r="AM1171" s="4"/>
      <c r="AN1171" s="4"/>
      <c r="AO1171" s="4"/>
      <c r="AP1171" s="4"/>
      <c r="AQ1171" s="4"/>
      <c r="AR1171" s="4"/>
      <c r="AS1171" s="4"/>
      <c r="AT1171" s="4"/>
      <c r="AU1171" s="4"/>
      <c r="AV1171" s="4"/>
      <c r="AW1171" s="4"/>
      <c r="AX1171" s="4"/>
      <c r="AY1171" s="4"/>
      <c r="AZ1171" s="4"/>
      <c r="BA1171" s="4"/>
      <c r="BB1171" s="4"/>
      <c r="BC1171" s="4"/>
      <c r="BD1171" s="4"/>
      <c r="BE1171" s="4"/>
      <c r="BF1171" s="4"/>
      <c r="BG1171" s="4"/>
      <c r="BH1171" s="4"/>
      <c r="BI1171" s="4"/>
      <c r="BJ1171" s="4"/>
      <c r="BK1171" s="4"/>
      <c r="BL1171" s="4"/>
      <c r="BM1171" s="4"/>
      <c r="BN1171" s="4"/>
      <c r="BO1171" s="4"/>
      <c r="BP1171" s="4"/>
      <c r="BQ1171" s="4"/>
      <c r="BR1171" s="4"/>
      <c r="BS1171" s="4"/>
      <c r="BT1171" s="4"/>
      <c r="BU1171" s="4"/>
    </row>
    <row r="1172" spans="29:73" s="1" customFormat="1" x14ac:dyDescent="0.25">
      <c r="AC1172" s="4"/>
      <c r="AD1172" s="4"/>
      <c r="AE1172" s="4"/>
      <c r="AF1172" s="4"/>
      <c r="AG1172" s="4"/>
      <c r="AH1172" s="4"/>
      <c r="AI1172" s="4"/>
      <c r="AJ1172" s="4"/>
      <c r="AK1172" s="4"/>
      <c r="AL1172" s="4"/>
      <c r="AM1172" s="4"/>
      <c r="AN1172" s="4"/>
      <c r="AO1172" s="4"/>
      <c r="AP1172" s="4"/>
      <c r="AQ1172" s="4"/>
      <c r="AR1172" s="4"/>
      <c r="AS1172" s="4"/>
      <c r="AT1172" s="4"/>
      <c r="AU1172" s="4"/>
      <c r="AV1172" s="4"/>
      <c r="AW1172" s="4"/>
      <c r="AX1172" s="4"/>
      <c r="AY1172" s="4"/>
      <c r="AZ1172" s="4"/>
      <c r="BA1172" s="4"/>
      <c r="BB1172" s="4"/>
      <c r="BC1172" s="4"/>
      <c r="BD1172" s="4"/>
      <c r="BE1172" s="4"/>
      <c r="BF1172" s="4"/>
      <c r="BG1172" s="4"/>
      <c r="BH1172" s="4"/>
      <c r="BI1172" s="4"/>
      <c r="BJ1172" s="4"/>
      <c r="BK1172" s="4"/>
      <c r="BL1172" s="4"/>
      <c r="BM1172" s="4"/>
      <c r="BN1172" s="4"/>
      <c r="BO1172" s="4"/>
      <c r="BP1172" s="4"/>
      <c r="BQ1172" s="4"/>
      <c r="BR1172" s="4"/>
      <c r="BS1172" s="4"/>
      <c r="BT1172" s="4"/>
      <c r="BU1172" s="4"/>
    </row>
    <row r="1173" spans="29:73" s="1" customFormat="1" x14ac:dyDescent="0.25">
      <c r="AC1173" s="4"/>
      <c r="AD1173" s="4"/>
      <c r="AE1173" s="4"/>
      <c r="AF1173" s="4"/>
      <c r="AG1173" s="4"/>
      <c r="AH1173" s="4"/>
      <c r="AI1173" s="4"/>
      <c r="AJ1173" s="4"/>
      <c r="AK1173" s="4"/>
      <c r="AL1173" s="4"/>
      <c r="AM1173" s="4"/>
      <c r="AN1173" s="4"/>
      <c r="AO1173" s="4"/>
      <c r="AP1173" s="4"/>
      <c r="AQ1173" s="4"/>
      <c r="AR1173" s="4"/>
      <c r="AS1173" s="4"/>
      <c r="AT1173" s="4"/>
      <c r="AU1173" s="4"/>
      <c r="AV1173" s="4"/>
      <c r="AW1173" s="4"/>
      <c r="AX1173" s="4"/>
      <c r="AY1173" s="4"/>
      <c r="AZ1173" s="4"/>
      <c r="BA1173" s="4"/>
      <c r="BB1173" s="4"/>
      <c r="BC1173" s="4"/>
      <c r="BD1173" s="4"/>
      <c r="BE1173" s="4"/>
      <c r="BF1173" s="4"/>
      <c r="BG1173" s="4"/>
      <c r="BH1173" s="4"/>
      <c r="BI1173" s="4"/>
      <c r="BJ1173" s="4"/>
      <c r="BK1173" s="4"/>
      <c r="BL1173" s="4"/>
      <c r="BM1173" s="4"/>
      <c r="BN1173" s="4"/>
      <c r="BO1173" s="4"/>
      <c r="BP1173" s="4"/>
      <c r="BQ1173" s="4"/>
      <c r="BR1173" s="4"/>
      <c r="BS1173" s="4"/>
      <c r="BT1173" s="4"/>
      <c r="BU1173" s="4"/>
    </row>
    <row r="1174" spans="29:73" s="1" customFormat="1" x14ac:dyDescent="0.25">
      <c r="AC1174" s="4"/>
      <c r="AD1174" s="4"/>
      <c r="AE1174" s="4"/>
      <c r="AF1174" s="4"/>
      <c r="AG1174" s="4"/>
      <c r="AH1174" s="4"/>
      <c r="AI1174" s="4"/>
      <c r="AJ1174" s="4"/>
      <c r="AK1174" s="4"/>
      <c r="AL1174" s="4"/>
      <c r="AM1174" s="4"/>
      <c r="AN1174" s="4"/>
      <c r="AO1174" s="4"/>
      <c r="AP1174" s="4"/>
      <c r="AQ1174" s="4"/>
      <c r="AR1174" s="4"/>
      <c r="AS1174" s="4"/>
      <c r="AT1174" s="4"/>
      <c r="AU1174" s="4"/>
      <c r="AV1174" s="4"/>
      <c r="AW1174" s="4"/>
      <c r="AX1174" s="4"/>
      <c r="AY1174" s="4"/>
      <c r="AZ1174" s="4"/>
      <c r="BA1174" s="4"/>
      <c r="BB1174" s="4"/>
      <c r="BC1174" s="4"/>
      <c r="BD1174" s="4"/>
      <c r="BE1174" s="4"/>
      <c r="BF1174" s="4"/>
      <c r="BG1174" s="4"/>
      <c r="BH1174" s="4"/>
      <c r="BI1174" s="4"/>
      <c r="BJ1174" s="4"/>
      <c r="BK1174" s="4"/>
      <c r="BL1174" s="4"/>
      <c r="BM1174" s="4"/>
      <c r="BN1174" s="4"/>
      <c r="BO1174" s="4"/>
      <c r="BP1174" s="4"/>
      <c r="BQ1174" s="4"/>
      <c r="BR1174" s="4"/>
      <c r="BS1174" s="4"/>
      <c r="BT1174" s="4"/>
      <c r="BU1174" s="4"/>
    </row>
    <row r="1175" spans="29:73" s="1" customFormat="1" x14ac:dyDescent="0.25">
      <c r="AC1175" s="4"/>
      <c r="AD1175" s="4"/>
      <c r="AE1175" s="4"/>
      <c r="AF1175" s="4"/>
      <c r="AG1175" s="4"/>
      <c r="AH1175" s="4"/>
      <c r="AI1175" s="4"/>
      <c r="AJ1175" s="4"/>
      <c r="AK1175" s="4"/>
      <c r="AL1175" s="4"/>
      <c r="AM1175" s="4"/>
      <c r="AN1175" s="4"/>
      <c r="AO1175" s="4"/>
      <c r="AP1175" s="4"/>
      <c r="AQ1175" s="4"/>
      <c r="AR1175" s="4"/>
      <c r="AS1175" s="4"/>
      <c r="AT1175" s="4"/>
      <c r="AU1175" s="4"/>
      <c r="AV1175" s="4"/>
      <c r="AW1175" s="4"/>
      <c r="AX1175" s="4"/>
      <c r="AY1175" s="4"/>
      <c r="AZ1175" s="4"/>
      <c r="BA1175" s="4"/>
      <c r="BB1175" s="4"/>
      <c r="BC1175" s="4"/>
      <c r="BD1175" s="4"/>
      <c r="BE1175" s="4"/>
      <c r="BF1175" s="4"/>
      <c r="BG1175" s="4"/>
      <c r="BH1175" s="4"/>
      <c r="BI1175" s="4"/>
      <c r="BJ1175" s="4"/>
      <c r="BK1175" s="4"/>
      <c r="BL1175" s="4"/>
      <c r="BM1175" s="4"/>
      <c r="BN1175" s="4"/>
      <c r="BO1175" s="4"/>
      <c r="BP1175" s="4"/>
      <c r="BQ1175" s="4"/>
      <c r="BR1175" s="4"/>
      <c r="BS1175" s="4"/>
      <c r="BT1175" s="4"/>
      <c r="BU1175" s="4"/>
    </row>
    <row r="1176" spans="29:73" s="1" customFormat="1" x14ac:dyDescent="0.25">
      <c r="AC1176" s="4"/>
      <c r="AD1176" s="4"/>
      <c r="AE1176" s="4"/>
      <c r="AF1176" s="4"/>
      <c r="AG1176" s="4"/>
      <c r="AH1176" s="4"/>
      <c r="AI1176" s="4"/>
      <c r="AJ1176" s="4"/>
      <c r="AK1176" s="4"/>
      <c r="AL1176" s="4"/>
      <c r="AM1176" s="4"/>
      <c r="AN1176" s="4"/>
      <c r="AO1176" s="4"/>
      <c r="AP1176" s="4"/>
      <c r="AQ1176" s="4"/>
      <c r="AR1176" s="4"/>
      <c r="AS1176" s="4"/>
      <c r="AT1176" s="4"/>
      <c r="AU1176" s="4"/>
      <c r="AV1176" s="4"/>
      <c r="AW1176" s="4"/>
      <c r="AX1176" s="4"/>
      <c r="AY1176" s="4"/>
      <c r="AZ1176" s="4"/>
      <c r="BA1176" s="4"/>
      <c r="BB1176" s="4"/>
      <c r="BC1176" s="4"/>
      <c r="BD1176" s="4"/>
      <c r="BE1176" s="4"/>
      <c r="BF1176" s="4"/>
      <c r="BG1176" s="4"/>
      <c r="BH1176" s="4"/>
      <c r="BI1176" s="4"/>
      <c r="BJ1176" s="4"/>
      <c r="BK1176" s="4"/>
      <c r="BL1176" s="4"/>
      <c r="BM1176" s="4"/>
      <c r="BN1176" s="4"/>
      <c r="BO1176" s="4"/>
      <c r="BP1176" s="4"/>
      <c r="BQ1176" s="4"/>
      <c r="BR1176" s="4"/>
      <c r="BS1176" s="4"/>
      <c r="BT1176" s="4"/>
      <c r="BU1176" s="4"/>
    </row>
    <row r="1177" spans="29:73" s="1" customFormat="1" x14ac:dyDescent="0.25">
      <c r="AC1177" s="4"/>
      <c r="AD1177" s="4"/>
      <c r="AE1177" s="4"/>
      <c r="AF1177" s="4"/>
      <c r="AG1177" s="4"/>
      <c r="AH1177" s="4"/>
      <c r="AI1177" s="4"/>
      <c r="AJ1177" s="4"/>
      <c r="AK1177" s="4"/>
      <c r="AL1177" s="4"/>
      <c r="AM1177" s="4"/>
      <c r="AN1177" s="4"/>
      <c r="AO1177" s="4"/>
      <c r="AP1177" s="4"/>
      <c r="AQ1177" s="4"/>
      <c r="AR1177" s="4"/>
      <c r="AS1177" s="4"/>
      <c r="AT1177" s="4"/>
      <c r="AU1177" s="4"/>
      <c r="AV1177" s="4"/>
      <c r="AW1177" s="4"/>
      <c r="AX1177" s="4"/>
      <c r="AY1177" s="4"/>
      <c r="AZ1177" s="4"/>
      <c r="BA1177" s="4"/>
      <c r="BB1177" s="4"/>
      <c r="BC1177" s="4"/>
      <c r="BD1177" s="4"/>
      <c r="BE1177" s="4"/>
      <c r="BF1177" s="4"/>
      <c r="BG1177" s="4"/>
      <c r="BH1177" s="4"/>
      <c r="BI1177" s="4"/>
      <c r="BJ1177" s="4"/>
      <c r="BK1177" s="4"/>
      <c r="BL1177" s="4"/>
      <c r="BM1177" s="4"/>
      <c r="BN1177" s="4"/>
      <c r="BO1177" s="4"/>
      <c r="BP1177" s="4"/>
      <c r="BQ1177" s="4"/>
      <c r="BR1177" s="4"/>
      <c r="BS1177" s="4"/>
      <c r="BT1177" s="4"/>
      <c r="BU1177" s="4"/>
    </row>
    <row r="1178" spans="29:73" s="1" customFormat="1" x14ac:dyDescent="0.25">
      <c r="AC1178" s="4"/>
      <c r="AD1178" s="4"/>
      <c r="AE1178" s="4"/>
      <c r="AF1178" s="4"/>
      <c r="AG1178" s="4"/>
      <c r="AH1178" s="4"/>
      <c r="AI1178" s="4"/>
      <c r="AJ1178" s="4"/>
      <c r="AK1178" s="4"/>
      <c r="AL1178" s="4"/>
      <c r="AM1178" s="4"/>
      <c r="AN1178" s="4"/>
      <c r="AO1178" s="4"/>
      <c r="AP1178" s="4"/>
      <c r="AQ1178" s="4"/>
      <c r="AR1178" s="4"/>
      <c r="AS1178" s="4"/>
      <c r="AT1178" s="4"/>
      <c r="AU1178" s="4"/>
      <c r="AV1178" s="4"/>
      <c r="AW1178" s="4"/>
      <c r="AX1178" s="4"/>
      <c r="AY1178" s="4"/>
      <c r="AZ1178" s="4"/>
      <c r="BA1178" s="4"/>
      <c r="BB1178" s="4"/>
      <c r="BC1178" s="4"/>
      <c r="BD1178" s="4"/>
      <c r="BE1178" s="4"/>
      <c r="BF1178" s="4"/>
      <c r="BG1178" s="4"/>
      <c r="BH1178" s="4"/>
      <c r="BI1178" s="4"/>
      <c r="BJ1178" s="4"/>
      <c r="BK1178" s="4"/>
      <c r="BL1178" s="4"/>
      <c r="BM1178" s="4"/>
      <c r="BN1178" s="4"/>
      <c r="BO1178" s="4"/>
      <c r="BP1178" s="4"/>
      <c r="BQ1178" s="4"/>
      <c r="BR1178" s="4"/>
      <c r="BS1178" s="4"/>
      <c r="BT1178" s="4"/>
      <c r="BU1178" s="4"/>
    </row>
    <row r="1179" spans="29:73" s="1" customFormat="1" x14ac:dyDescent="0.25">
      <c r="AC1179" s="4"/>
      <c r="AD1179" s="4"/>
      <c r="AE1179" s="4"/>
      <c r="AF1179" s="4"/>
      <c r="AG1179" s="4"/>
      <c r="AH1179" s="4"/>
      <c r="AI1179" s="4"/>
      <c r="AJ1179" s="4"/>
      <c r="AK1179" s="4"/>
      <c r="AL1179" s="4"/>
      <c r="AM1179" s="4"/>
      <c r="AN1179" s="4"/>
      <c r="AO1179" s="4"/>
      <c r="AP1179" s="4"/>
      <c r="AQ1179" s="4"/>
      <c r="AR1179" s="4"/>
      <c r="AS1179" s="4"/>
      <c r="AT1179" s="4"/>
      <c r="AU1179" s="4"/>
      <c r="AV1179" s="4"/>
      <c r="AW1179" s="4"/>
      <c r="AX1179" s="4"/>
      <c r="AY1179" s="4"/>
      <c r="AZ1179" s="4"/>
      <c r="BA1179" s="4"/>
      <c r="BB1179" s="4"/>
      <c r="BC1179" s="4"/>
      <c r="BD1179" s="4"/>
      <c r="BE1179" s="4"/>
      <c r="BF1179" s="4"/>
      <c r="BG1179" s="4"/>
      <c r="BH1179" s="4"/>
      <c r="BI1179" s="4"/>
      <c r="BJ1179" s="4"/>
      <c r="BK1179" s="4"/>
      <c r="BL1179" s="4"/>
      <c r="BM1179" s="4"/>
      <c r="BN1179" s="4"/>
      <c r="BO1179" s="4"/>
      <c r="BP1179" s="4"/>
      <c r="BQ1179" s="4"/>
      <c r="BR1179" s="4"/>
      <c r="BS1179" s="4"/>
      <c r="BT1179" s="4"/>
      <c r="BU1179" s="4"/>
    </row>
    <row r="1180" spans="29:73" s="1" customFormat="1" x14ac:dyDescent="0.25">
      <c r="AC1180" s="4"/>
      <c r="AD1180" s="4"/>
      <c r="AE1180" s="4"/>
      <c r="AF1180" s="4"/>
      <c r="AG1180" s="4"/>
      <c r="AH1180" s="4"/>
      <c r="AI1180" s="4"/>
      <c r="AJ1180" s="4"/>
      <c r="AK1180" s="4"/>
      <c r="AL1180" s="4"/>
      <c r="AM1180" s="4"/>
      <c r="AN1180" s="4"/>
      <c r="AO1180" s="4"/>
      <c r="AP1180" s="4"/>
      <c r="AQ1180" s="4"/>
      <c r="AR1180" s="4"/>
      <c r="AS1180" s="4"/>
      <c r="AT1180" s="4"/>
      <c r="AU1180" s="4"/>
      <c r="AV1180" s="4"/>
      <c r="AW1180" s="4"/>
      <c r="AX1180" s="4"/>
      <c r="AY1180" s="4"/>
      <c r="AZ1180" s="4"/>
      <c r="BA1180" s="4"/>
      <c r="BB1180" s="4"/>
      <c r="BC1180" s="4"/>
      <c r="BD1180" s="4"/>
      <c r="BE1180" s="4"/>
      <c r="BF1180" s="4"/>
      <c r="BG1180" s="4"/>
      <c r="BH1180" s="4"/>
      <c r="BI1180" s="4"/>
      <c r="BJ1180" s="4"/>
      <c r="BK1180" s="4"/>
      <c r="BL1180" s="4"/>
      <c r="BM1180" s="4"/>
      <c r="BN1180" s="4"/>
      <c r="BO1180" s="4"/>
      <c r="BP1180" s="4"/>
      <c r="BQ1180" s="4"/>
      <c r="BR1180" s="4"/>
      <c r="BS1180" s="4"/>
      <c r="BT1180" s="4"/>
      <c r="BU1180" s="4"/>
    </row>
    <row r="1181" spans="29:73" s="1" customFormat="1" x14ac:dyDescent="0.25">
      <c r="AC1181" s="4"/>
      <c r="AD1181" s="4"/>
      <c r="AE1181" s="4"/>
      <c r="AF1181" s="4"/>
      <c r="AG1181" s="4"/>
      <c r="AH1181" s="4"/>
      <c r="AI1181" s="4"/>
      <c r="AJ1181" s="4"/>
      <c r="AK1181" s="4"/>
      <c r="AL1181" s="4"/>
      <c r="AM1181" s="4"/>
      <c r="AN1181" s="4"/>
      <c r="AO1181" s="4"/>
      <c r="AP1181" s="4"/>
      <c r="AQ1181" s="4"/>
      <c r="AR1181" s="4"/>
      <c r="AS1181" s="4"/>
      <c r="AT1181" s="4"/>
      <c r="AU1181" s="4"/>
      <c r="AV1181" s="4"/>
      <c r="AW1181" s="4"/>
      <c r="AX1181" s="4"/>
      <c r="AY1181" s="4"/>
      <c r="AZ1181" s="4"/>
      <c r="BA1181" s="4"/>
      <c r="BB1181" s="4"/>
      <c r="BC1181" s="4"/>
      <c r="BD1181" s="4"/>
      <c r="BE1181" s="4"/>
      <c r="BF1181" s="4"/>
      <c r="BG1181" s="4"/>
      <c r="BH1181" s="4"/>
      <c r="BI1181" s="4"/>
      <c r="BJ1181" s="4"/>
      <c r="BK1181" s="4"/>
      <c r="BL1181" s="4"/>
      <c r="BM1181" s="4"/>
      <c r="BN1181" s="4"/>
      <c r="BO1181" s="4"/>
      <c r="BP1181" s="4"/>
      <c r="BQ1181" s="4"/>
      <c r="BR1181" s="4"/>
      <c r="BS1181" s="4"/>
      <c r="BT1181" s="4"/>
      <c r="BU1181" s="4"/>
    </row>
    <row r="1182" spans="29:73" s="1" customFormat="1" x14ac:dyDescent="0.25">
      <c r="AC1182" s="4"/>
      <c r="AD1182" s="4"/>
      <c r="AE1182" s="4"/>
      <c r="AF1182" s="4"/>
      <c r="AG1182" s="4"/>
      <c r="AH1182" s="4"/>
      <c r="AI1182" s="4"/>
      <c r="AJ1182" s="4"/>
      <c r="AK1182" s="4"/>
      <c r="AL1182" s="4"/>
      <c r="AM1182" s="4"/>
      <c r="AN1182" s="4"/>
      <c r="AO1182" s="4"/>
      <c r="AP1182" s="4"/>
      <c r="AQ1182" s="4"/>
      <c r="AR1182" s="4"/>
      <c r="AS1182" s="4"/>
      <c r="AT1182" s="4"/>
      <c r="AU1182" s="4"/>
      <c r="AV1182" s="4"/>
      <c r="AW1182" s="4"/>
      <c r="AX1182" s="4"/>
      <c r="AY1182" s="4"/>
      <c r="AZ1182" s="4"/>
      <c r="BA1182" s="4"/>
      <c r="BB1182" s="4"/>
      <c r="BC1182" s="4"/>
      <c r="BD1182" s="4"/>
      <c r="BE1182" s="4"/>
      <c r="BF1182" s="4"/>
      <c r="BG1182" s="4"/>
      <c r="BH1182" s="4"/>
      <c r="BI1182" s="4"/>
      <c r="BJ1182" s="4"/>
      <c r="BK1182" s="4"/>
      <c r="BL1182" s="4"/>
      <c r="BM1182" s="4"/>
      <c r="BN1182" s="4"/>
      <c r="BO1182" s="4"/>
      <c r="BP1182" s="4"/>
      <c r="BQ1182" s="4"/>
      <c r="BR1182" s="4"/>
      <c r="BS1182" s="4"/>
      <c r="BT1182" s="4"/>
      <c r="BU1182" s="4"/>
    </row>
    <row r="1183" spans="29:73" s="1" customFormat="1" x14ac:dyDescent="0.25">
      <c r="AC1183" s="4"/>
      <c r="AD1183" s="4"/>
      <c r="AE1183" s="4"/>
      <c r="AF1183" s="4"/>
      <c r="AG1183" s="4"/>
      <c r="AH1183" s="4"/>
      <c r="AI1183" s="4"/>
      <c r="AJ1183" s="4"/>
      <c r="AK1183" s="4"/>
      <c r="AL1183" s="4"/>
      <c r="AM1183" s="4"/>
      <c r="AN1183" s="4"/>
      <c r="AO1183" s="4"/>
      <c r="AP1183" s="4"/>
      <c r="AQ1183" s="4"/>
      <c r="AR1183" s="4"/>
      <c r="AS1183" s="4"/>
      <c r="AT1183" s="4"/>
      <c r="AU1183" s="4"/>
      <c r="AV1183" s="4"/>
      <c r="AW1183" s="4"/>
      <c r="AX1183" s="4"/>
      <c r="AY1183" s="4"/>
      <c r="AZ1183" s="4"/>
      <c r="BA1183" s="4"/>
      <c r="BB1183" s="4"/>
      <c r="BC1183" s="4"/>
      <c r="BD1183" s="4"/>
      <c r="BE1183" s="4"/>
      <c r="BF1183" s="4"/>
      <c r="BG1183" s="4"/>
      <c r="BH1183" s="4"/>
      <c r="BI1183" s="4"/>
      <c r="BJ1183" s="4"/>
      <c r="BK1183" s="4"/>
      <c r="BL1183" s="4"/>
      <c r="BM1183" s="4"/>
      <c r="BN1183" s="4"/>
      <c r="BO1183" s="4"/>
      <c r="BP1183" s="4"/>
      <c r="BQ1183" s="4"/>
      <c r="BR1183" s="4"/>
      <c r="BS1183" s="4"/>
      <c r="BT1183" s="4"/>
      <c r="BU1183" s="4"/>
    </row>
    <row r="1184" spans="29:73" s="1" customFormat="1" x14ac:dyDescent="0.25">
      <c r="AC1184" s="4"/>
      <c r="AD1184" s="4"/>
      <c r="AE1184" s="4"/>
      <c r="AF1184" s="4"/>
      <c r="AG1184" s="4"/>
      <c r="AH1184" s="4"/>
      <c r="AI1184" s="4"/>
      <c r="AJ1184" s="4"/>
      <c r="AK1184" s="4"/>
      <c r="AL1184" s="4"/>
      <c r="AM1184" s="4"/>
      <c r="AN1184" s="4"/>
      <c r="AO1184" s="4"/>
      <c r="AP1184" s="4"/>
      <c r="AQ1184" s="4"/>
      <c r="AR1184" s="4"/>
      <c r="AS1184" s="4"/>
      <c r="AT1184" s="4"/>
      <c r="AU1184" s="4"/>
      <c r="AV1184" s="4"/>
      <c r="AW1184" s="4"/>
      <c r="AX1184" s="4"/>
      <c r="AY1184" s="4"/>
      <c r="AZ1184" s="4"/>
      <c r="BA1184" s="4"/>
      <c r="BB1184" s="4"/>
      <c r="BC1184" s="4"/>
      <c r="BD1184" s="4"/>
      <c r="BE1184" s="4"/>
      <c r="BF1184" s="4"/>
      <c r="BG1184" s="4"/>
      <c r="BH1184" s="4"/>
      <c r="BI1184" s="4"/>
      <c r="BJ1184" s="4"/>
      <c r="BK1184" s="4"/>
      <c r="BL1184" s="4"/>
      <c r="BM1184" s="4"/>
      <c r="BN1184" s="4"/>
      <c r="BO1184" s="4"/>
      <c r="BP1184" s="4"/>
      <c r="BQ1184" s="4"/>
      <c r="BR1184" s="4"/>
      <c r="BS1184" s="4"/>
      <c r="BT1184" s="4"/>
      <c r="BU1184" s="4"/>
    </row>
    <row r="1185" spans="29:73" s="1" customFormat="1" x14ac:dyDescent="0.25">
      <c r="AC1185" s="4"/>
      <c r="AD1185" s="4"/>
      <c r="AE1185" s="4"/>
      <c r="AF1185" s="4"/>
      <c r="AG1185" s="4"/>
      <c r="AH1185" s="4"/>
      <c r="AI1185" s="4"/>
      <c r="AJ1185" s="4"/>
      <c r="AK1185" s="4"/>
      <c r="AL1185" s="4"/>
      <c r="AM1185" s="4"/>
      <c r="AN1185" s="4"/>
      <c r="AO1185" s="4"/>
      <c r="AP1185" s="4"/>
      <c r="AQ1185" s="4"/>
      <c r="AR1185" s="4"/>
      <c r="AS1185" s="4"/>
      <c r="AT1185" s="4"/>
      <c r="AU1185" s="4"/>
      <c r="AV1185" s="4"/>
      <c r="AW1185" s="4"/>
      <c r="AX1185" s="4"/>
      <c r="AY1185" s="4"/>
      <c r="AZ1185" s="4"/>
      <c r="BA1185" s="4"/>
      <c r="BB1185" s="4"/>
      <c r="BC1185" s="4"/>
      <c r="BD1185" s="4"/>
      <c r="BE1185" s="4"/>
      <c r="BF1185" s="4"/>
      <c r="BG1185" s="4"/>
      <c r="BH1185" s="4"/>
      <c r="BI1185" s="4"/>
      <c r="BJ1185" s="4"/>
      <c r="BK1185" s="4"/>
      <c r="BL1185" s="4"/>
      <c r="BM1185" s="4"/>
      <c r="BN1185" s="4"/>
      <c r="BO1185" s="4"/>
      <c r="BP1185" s="4"/>
      <c r="BQ1185" s="4"/>
      <c r="BR1185" s="4"/>
      <c r="BS1185" s="4"/>
      <c r="BT1185" s="4"/>
      <c r="BU1185" s="4"/>
    </row>
    <row r="1186" spans="29:73" s="1" customFormat="1" x14ac:dyDescent="0.25">
      <c r="AC1186" s="4"/>
      <c r="AD1186" s="4"/>
      <c r="AE1186" s="4"/>
      <c r="AF1186" s="4"/>
      <c r="AG1186" s="4"/>
      <c r="AH1186" s="4"/>
      <c r="AI1186" s="4"/>
      <c r="AJ1186" s="4"/>
      <c r="AK1186" s="4"/>
      <c r="AL1186" s="4"/>
      <c r="AM1186" s="4"/>
      <c r="AN1186" s="4"/>
      <c r="AO1186" s="4"/>
      <c r="AP1186" s="4"/>
      <c r="AQ1186" s="4"/>
      <c r="AR1186" s="4"/>
      <c r="AS1186" s="4"/>
      <c r="AT1186" s="4"/>
      <c r="AU1186" s="4"/>
      <c r="AV1186" s="4"/>
      <c r="AW1186" s="4"/>
      <c r="AX1186" s="4"/>
      <c r="AY1186" s="4"/>
      <c r="AZ1186" s="4"/>
      <c r="BA1186" s="4"/>
      <c r="BB1186" s="4"/>
      <c r="BC1186" s="4"/>
      <c r="BD1186" s="4"/>
      <c r="BE1186" s="4"/>
      <c r="BF1186" s="4"/>
      <c r="BG1186" s="4"/>
      <c r="BH1186" s="4"/>
      <c r="BI1186" s="4"/>
      <c r="BJ1186" s="4"/>
      <c r="BK1186" s="4"/>
      <c r="BL1186" s="4"/>
      <c r="BM1186" s="4"/>
      <c r="BN1186" s="4"/>
      <c r="BO1186" s="4"/>
      <c r="BP1186" s="4"/>
      <c r="BQ1186" s="4"/>
      <c r="BR1186" s="4"/>
      <c r="BS1186" s="4"/>
      <c r="BT1186" s="4"/>
      <c r="BU1186" s="4"/>
    </row>
    <row r="1187" spans="29:73" s="1" customFormat="1" x14ac:dyDescent="0.25">
      <c r="AC1187" s="4"/>
      <c r="AD1187" s="4"/>
      <c r="AE1187" s="4"/>
      <c r="AF1187" s="4"/>
      <c r="AG1187" s="4"/>
      <c r="AH1187" s="4"/>
      <c r="AI1187" s="4"/>
      <c r="AJ1187" s="4"/>
      <c r="AK1187" s="4"/>
      <c r="AL1187" s="4"/>
      <c r="AM1187" s="4"/>
      <c r="AN1187" s="4"/>
      <c r="AO1187" s="4"/>
      <c r="AP1187" s="4"/>
      <c r="AQ1187" s="4"/>
      <c r="AR1187" s="4"/>
      <c r="AS1187" s="4"/>
      <c r="AT1187" s="4"/>
      <c r="AU1187" s="4"/>
      <c r="AV1187" s="4"/>
      <c r="AW1187" s="4"/>
      <c r="AX1187" s="4"/>
      <c r="AY1187" s="4"/>
      <c r="AZ1187" s="4"/>
      <c r="BA1187" s="4"/>
      <c r="BB1187" s="4"/>
      <c r="BC1187" s="4"/>
      <c r="BD1187" s="4"/>
      <c r="BE1187" s="4"/>
      <c r="BF1187" s="4"/>
      <c r="BG1187" s="4"/>
      <c r="BH1187" s="4"/>
      <c r="BI1187" s="4"/>
      <c r="BJ1187" s="4"/>
      <c r="BK1187" s="4"/>
      <c r="BL1187" s="4"/>
      <c r="BM1187" s="4"/>
      <c r="BN1187" s="4"/>
      <c r="BO1187" s="4"/>
      <c r="BP1187" s="4"/>
      <c r="BQ1187" s="4"/>
      <c r="BR1187" s="4"/>
      <c r="BS1187" s="4"/>
      <c r="BT1187" s="4"/>
      <c r="BU1187" s="4"/>
    </row>
    <row r="1188" spans="29:73" s="1" customFormat="1" x14ac:dyDescent="0.25">
      <c r="AC1188" s="4"/>
      <c r="AD1188" s="4"/>
      <c r="AE1188" s="4"/>
      <c r="AF1188" s="4"/>
      <c r="AG1188" s="4"/>
      <c r="AH1188" s="4"/>
      <c r="AI1188" s="4"/>
      <c r="AJ1188" s="4"/>
      <c r="AK1188" s="4"/>
      <c r="AL1188" s="4"/>
      <c r="AM1188" s="4"/>
      <c r="AN1188" s="4"/>
      <c r="AO1188" s="4"/>
      <c r="AP1188" s="4"/>
      <c r="AQ1188" s="4"/>
      <c r="AR1188" s="4"/>
      <c r="AS1188" s="4"/>
      <c r="AT1188" s="4"/>
      <c r="AU1188" s="4"/>
      <c r="AV1188" s="4"/>
      <c r="AW1188" s="4"/>
      <c r="AX1188" s="4"/>
      <c r="AY1188" s="4"/>
      <c r="AZ1188" s="4"/>
      <c r="BA1188" s="4"/>
      <c r="BB1188" s="4"/>
      <c r="BC1188" s="4"/>
      <c r="BD1188" s="4"/>
      <c r="BE1188" s="4"/>
      <c r="BF1188" s="4"/>
      <c r="BG1188" s="4"/>
      <c r="BH1188" s="4"/>
      <c r="BI1188" s="4"/>
      <c r="BJ1188" s="4"/>
      <c r="BK1188" s="4"/>
      <c r="BL1188" s="4"/>
      <c r="BM1188" s="4"/>
      <c r="BN1188" s="4"/>
      <c r="BO1188" s="4"/>
      <c r="BP1188" s="4"/>
      <c r="BQ1188" s="4"/>
      <c r="BR1188" s="4"/>
      <c r="BS1188" s="4"/>
      <c r="BT1188" s="4"/>
      <c r="BU1188" s="4"/>
    </row>
    <row r="1189" spans="29:73" s="1" customFormat="1" x14ac:dyDescent="0.25">
      <c r="AC1189" s="4"/>
      <c r="AD1189" s="4"/>
      <c r="AE1189" s="4"/>
      <c r="AF1189" s="4"/>
      <c r="AG1189" s="4"/>
      <c r="AH1189" s="4"/>
      <c r="AI1189" s="4"/>
      <c r="AJ1189" s="4"/>
      <c r="AK1189" s="4"/>
      <c r="AL1189" s="4"/>
      <c r="AM1189" s="4"/>
      <c r="AN1189" s="4"/>
      <c r="AO1189" s="4"/>
      <c r="AP1189" s="4"/>
      <c r="AQ1189" s="4"/>
      <c r="AR1189" s="4"/>
      <c r="AS1189" s="4"/>
      <c r="AT1189" s="4"/>
      <c r="AU1189" s="4"/>
      <c r="AV1189" s="4"/>
      <c r="AW1189" s="4"/>
      <c r="AX1189" s="4"/>
      <c r="AY1189" s="4"/>
      <c r="AZ1189" s="4"/>
      <c r="BA1189" s="4"/>
      <c r="BB1189" s="4"/>
      <c r="BC1189" s="4"/>
      <c r="BD1189" s="4"/>
      <c r="BE1189" s="4"/>
      <c r="BF1189" s="4"/>
      <c r="BG1189" s="4"/>
      <c r="BH1189" s="4"/>
      <c r="BI1189" s="4"/>
      <c r="BJ1189" s="4"/>
      <c r="BK1189" s="4"/>
      <c r="BL1189" s="4"/>
      <c r="BM1189" s="4"/>
      <c r="BN1189" s="4"/>
      <c r="BO1189" s="4"/>
      <c r="BP1189" s="4"/>
      <c r="BQ1189" s="4"/>
      <c r="BR1189" s="4"/>
      <c r="BS1189" s="4"/>
      <c r="BT1189" s="4"/>
      <c r="BU1189" s="4"/>
    </row>
    <row r="1190" spans="29:73" s="1" customFormat="1" x14ac:dyDescent="0.25">
      <c r="AC1190" s="4"/>
      <c r="AD1190" s="4"/>
      <c r="AE1190" s="4"/>
      <c r="AF1190" s="4"/>
      <c r="AG1190" s="4"/>
      <c r="AH1190" s="4"/>
      <c r="AI1190" s="4"/>
      <c r="AJ1190" s="4"/>
      <c r="AK1190" s="4"/>
      <c r="AL1190" s="4"/>
      <c r="AM1190" s="4"/>
      <c r="AN1190" s="4"/>
      <c r="AO1190" s="4"/>
      <c r="AP1190" s="4"/>
      <c r="AQ1190" s="4"/>
      <c r="AR1190" s="4"/>
      <c r="AS1190" s="4"/>
      <c r="AT1190" s="4"/>
      <c r="AU1190" s="4"/>
      <c r="AV1190" s="4"/>
      <c r="AW1190" s="4"/>
      <c r="AX1190" s="4"/>
      <c r="AY1190" s="4"/>
      <c r="AZ1190" s="4"/>
      <c r="BA1190" s="4"/>
      <c r="BB1190" s="4"/>
      <c r="BC1190" s="4"/>
      <c r="BD1190" s="4"/>
      <c r="BE1190" s="4"/>
      <c r="BF1190" s="4"/>
      <c r="BG1190" s="4"/>
      <c r="BH1190" s="4"/>
      <c r="BI1190" s="4"/>
      <c r="BJ1190" s="4"/>
      <c r="BK1190" s="4"/>
      <c r="BL1190" s="4"/>
      <c r="BM1190" s="4"/>
      <c r="BN1190" s="4"/>
      <c r="BO1190" s="4"/>
      <c r="BP1190" s="4"/>
      <c r="BQ1190" s="4"/>
      <c r="BR1190" s="4"/>
      <c r="BS1190" s="4"/>
      <c r="BT1190" s="4"/>
      <c r="BU1190" s="4"/>
    </row>
    <row r="1191" spans="29:73" s="1" customFormat="1" x14ac:dyDescent="0.25">
      <c r="AC1191" s="4"/>
      <c r="AD1191" s="4"/>
      <c r="AE1191" s="4"/>
      <c r="AF1191" s="4"/>
      <c r="AG1191" s="4"/>
      <c r="AH1191" s="4"/>
      <c r="AI1191" s="4"/>
      <c r="AJ1191" s="4"/>
      <c r="AK1191" s="4"/>
      <c r="AL1191" s="4"/>
      <c r="AM1191" s="4"/>
      <c r="AN1191" s="4"/>
      <c r="AO1191" s="4"/>
      <c r="AP1191" s="4"/>
      <c r="AQ1191" s="4"/>
      <c r="AR1191" s="4"/>
      <c r="AS1191" s="4"/>
      <c r="AT1191" s="4"/>
      <c r="AU1191" s="4"/>
      <c r="AV1191" s="4"/>
      <c r="AW1191" s="4"/>
      <c r="AX1191" s="4"/>
      <c r="AY1191" s="4"/>
      <c r="AZ1191" s="4"/>
      <c r="BA1191" s="4"/>
      <c r="BB1191" s="4"/>
      <c r="BC1191" s="4"/>
      <c r="BD1191" s="4"/>
      <c r="BE1191" s="4"/>
      <c r="BF1191" s="4"/>
      <c r="BG1191" s="4"/>
      <c r="BH1191" s="4"/>
      <c r="BI1191" s="4"/>
      <c r="BJ1191" s="4"/>
      <c r="BK1191" s="4"/>
      <c r="BL1191" s="4"/>
      <c r="BM1191" s="4"/>
      <c r="BN1191" s="4"/>
      <c r="BO1191" s="4"/>
      <c r="BP1191" s="4"/>
      <c r="BQ1191" s="4"/>
      <c r="BR1191" s="4"/>
      <c r="BS1191" s="4"/>
      <c r="BT1191" s="4"/>
      <c r="BU1191" s="4"/>
    </row>
    <row r="1192" spans="29:73" s="1" customFormat="1" x14ac:dyDescent="0.25">
      <c r="AC1192" s="4"/>
      <c r="AD1192" s="4"/>
      <c r="AE1192" s="4"/>
      <c r="AF1192" s="4"/>
      <c r="AG1192" s="4"/>
      <c r="AH1192" s="4"/>
      <c r="AI1192" s="4"/>
      <c r="AJ1192" s="4"/>
      <c r="AK1192" s="4"/>
      <c r="AL1192" s="4"/>
      <c r="AM1192" s="4"/>
      <c r="AN1192" s="4"/>
      <c r="AO1192" s="4"/>
      <c r="AP1192" s="4"/>
      <c r="AQ1192" s="4"/>
      <c r="AR1192" s="4"/>
      <c r="AS1192" s="4"/>
      <c r="AT1192" s="4"/>
      <c r="AU1192" s="4"/>
      <c r="AV1192" s="4"/>
      <c r="AW1192" s="4"/>
      <c r="AX1192" s="4"/>
      <c r="AY1192" s="4"/>
      <c r="AZ1192" s="4"/>
      <c r="BA1192" s="4"/>
      <c r="BB1192" s="4"/>
      <c r="BC1192" s="4"/>
      <c r="BD1192" s="4"/>
      <c r="BE1192" s="4"/>
      <c r="BF1192" s="4"/>
      <c r="BG1192" s="4"/>
      <c r="BH1192" s="4"/>
      <c r="BI1192" s="4"/>
      <c r="BJ1192" s="4"/>
      <c r="BK1192" s="4"/>
      <c r="BL1192" s="4"/>
      <c r="BM1192" s="4"/>
      <c r="BN1192" s="4"/>
      <c r="BO1192" s="4"/>
      <c r="BP1192" s="4"/>
      <c r="BQ1192" s="4"/>
      <c r="BR1192" s="4"/>
      <c r="BS1192" s="4"/>
      <c r="BT1192" s="4"/>
      <c r="BU1192" s="4"/>
    </row>
    <row r="1193" spans="29:73" s="1" customFormat="1" x14ac:dyDescent="0.25">
      <c r="AC1193" s="4"/>
      <c r="AD1193" s="4"/>
      <c r="AE1193" s="4"/>
      <c r="AF1193" s="4"/>
      <c r="AG1193" s="4"/>
      <c r="AH1193" s="4"/>
      <c r="AI1193" s="4"/>
      <c r="AJ1193" s="4"/>
      <c r="AK1193" s="4"/>
      <c r="AL1193" s="4"/>
      <c r="AM1193" s="4"/>
      <c r="AN1193" s="4"/>
      <c r="AO1193" s="4"/>
      <c r="AP1193" s="4"/>
      <c r="AQ1193" s="4"/>
      <c r="AR1193" s="4"/>
      <c r="AS1193" s="4"/>
      <c r="AT1193" s="4"/>
      <c r="AU1193" s="4"/>
      <c r="AV1193" s="4"/>
      <c r="AW1193" s="4"/>
      <c r="AX1193" s="4"/>
      <c r="AY1193" s="4"/>
      <c r="AZ1193" s="4"/>
      <c r="BA1193" s="4"/>
      <c r="BB1193" s="4"/>
      <c r="BC1193" s="4"/>
      <c r="BD1193" s="4"/>
      <c r="BE1193" s="4"/>
      <c r="BF1193" s="4"/>
      <c r="BG1193" s="4"/>
      <c r="BH1193" s="4"/>
      <c r="BI1193" s="4"/>
      <c r="BJ1193" s="4"/>
      <c r="BK1193" s="4"/>
      <c r="BL1193" s="4"/>
      <c r="BM1193" s="4"/>
      <c r="BN1193" s="4"/>
      <c r="BO1193" s="4"/>
      <c r="BP1193" s="4"/>
      <c r="BQ1193" s="4"/>
      <c r="BR1193" s="4"/>
      <c r="BS1193" s="4"/>
      <c r="BT1193" s="4"/>
      <c r="BU1193" s="4"/>
    </row>
    <row r="1194" spans="29:73" s="1" customFormat="1" x14ac:dyDescent="0.25">
      <c r="AC1194" s="4"/>
      <c r="AD1194" s="4"/>
      <c r="AE1194" s="4"/>
      <c r="AF1194" s="4"/>
      <c r="AG1194" s="4"/>
      <c r="AH1194" s="4"/>
      <c r="AI1194" s="4"/>
      <c r="AJ1194" s="4"/>
      <c r="AK1194" s="4"/>
      <c r="AL1194" s="4"/>
      <c r="AM1194" s="4"/>
      <c r="AN1194" s="4"/>
      <c r="AO1194" s="4"/>
      <c r="AP1194" s="4"/>
      <c r="AQ1194" s="4"/>
      <c r="AR1194" s="4"/>
      <c r="AS1194" s="4"/>
      <c r="AT1194" s="4"/>
      <c r="AU1194" s="4"/>
      <c r="AV1194" s="4"/>
      <c r="AW1194" s="4"/>
      <c r="AX1194" s="4"/>
      <c r="AY1194" s="4"/>
      <c r="AZ1194" s="4"/>
      <c r="BA1194" s="4"/>
      <c r="BB1194" s="4"/>
      <c r="BC1194" s="4"/>
      <c r="BD1194" s="4"/>
      <c r="BE1194" s="4"/>
      <c r="BF1194" s="4"/>
      <c r="BG1194" s="4"/>
      <c r="BH1194" s="4"/>
      <c r="BI1194" s="4"/>
      <c r="BJ1194" s="4"/>
      <c r="BK1194" s="4"/>
      <c r="BL1194" s="4"/>
      <c r="BM1194" s="4"/>
      <c r="BN1194" s="4"/>
      <c r="BO1194" s="4"/>
      <c r="BP1194" s="4"/>
      <c r="BQ1194" s="4"/>
      <c r="BR1194" s="4"/>
      <c r="BS1194" s="4"/>
      <c r="BT1194" s="4"/>
      <c r="BU1194" s="4"/>
    </row>
    <row r="1195" spans="29:73" s="1" customFormat="1" x14ac:dyDescent="0.25">
      <c r="AC1195" s="4"/>
      <c r="AD1195" s="4"/>
      <c r="AE1195" s="4"/>
      <c r="AF1195" s="4"/>
      <c r="AG1195" s="4"/>
      <c r="AH1195" s="4"/>
      <c r="AI1195" s="4"/>
      <c r="AJ1195" s="4"/>
      <c r="AK1195" s="4"/>
      <c r="AL1195" s="4"/>
      <c r="AM1195" s="4"/>
      <c r="AN1195" s="4"/>
      <c r="AO1195" s="4"/>
      <c r="AP1195" s="4"/>
      <c r="AQ1195" s="4"/>
      <c r="AR1195" s="4"/>
      <c r="AS1195" s="4"/>
      <c r="AT1195" s="4"/>
      <c r="AU1195" s="4"/>
      <c r="AV1195" s="4"/>
      <c r="AW1195" s="4"/>
      <c r="AX1195" s="4"/>
      <c r="AY1195" s="4"/>
      <c r="AZ1195" s="4"/>
      <c r="BA1195" s="4"/>
      <c r="BB1195" s="4"/>
      <c r="BC1195" s="4"/>
      <c r="BD1195" s="4"/>
      <c r="BE1195" s="4"/>
      <c r="BF1195" s="4"/>
      <c r="BG1195" s="4"/>
      <c r="BH1195" s="4"/>
      <c r="BI1195" s="4"/>
      <c r="BJ1195" s="4"/>
      <c r="BK1195" s="4"/>
      <c r="BL1195" s="4"/>
      <c r="BM1195" s="4"/>
      <c r="BN1195" s="4"/>
      <c r="BO1195" s="4"/>
      <c r="BP1195" s="4"/>
      <c r="BQ1195" s="4"/>
      <c r="BR1195" s="4"/>
      <c r="BS1195" s="4"/>
      <c r="BT1195" s="4"/>
      <c r="BU1195" s="4"/>
    </row>
    <row r="1196" spans="29:73" s="1" customFormat="1" x14ac:dyDescent="0.25">
      <c r="AC1196" s="4"/>
      <c r="AD1196" s="4"/>
      <c r="AE1196" s="4"/>
      <c r="AF1196" s="4"/>
      <c r="AG1196" s="4"/>
      <c r="AH1196" s="4"/>
      <c r="AI1196" s="4"/>
      <c r="AJ1196" s="4"/>
      <c r="AK1196" s="4"/>
      <c r="AL1196" s="4"/>
      <c r="AM1196" s="4"/>
      <c r="AN1196" s="4"/>
      <c r="AO1196" s="4"/>
      <c r="AP1196" s="4"/>
      <c r="AQ1196" s="4"/>
      <c r="AR1196" s="4"/>
      <c r="AS1196" s="4"/>
      <c r="AT1196" s="4"/>
      <c r="AU1196" s="4"/>
      <c r="AV1196" s="4"/>
      <c r="AW1196" s="4"/>
      <c r="AX1196" s="4"/>
      <c r="AY1196" s="4"/>
      <c r="AZ1196" s="4"/>
      <c r="BA1196" s="4"/>
      <c r="BB1196" s="4"/>
      <c r="BC1196" s="4"/>
      <c r="BD1196" s="4"/>
      <c r="BE1196" s="4"/>
      <c r="BF1196" s="4"/>
      <c r="BG1196" s="4"/>
      <c r="BH1196" s="4"/>
      <c r="BI1196" s="4"/>
      <c r="BJ1196" s="4"/>
      <c r="BK1196" s="4"/>
      <c r="BL1196" s="4"/>
      <c r="BM1196" s="4"/>
      <c r="BN1196" s="4"/>
      <c r="BO1196" s="4"/>
      <c r="BP1196" s="4"/>
      <c r="BQ1196" s="4"/>
      <c r="BR1196" s="4"/>
      <c r="BS1196" s="4"/>
      <c r="BT1196" s="4"/>
      <c r="BU1196" s="4"/>
    </row>
    <row r="1197" spans="29:73" s="1" customFormat="1" x14ac:dyDescent="0.25">
      <c r="AC1197" s="4"/>
      <c r="AD1197" s="4"/>
      <c r="AE1197" s="4"/>
      <c r="AF1197" s="4"/>
      <c r="AG1197" s="4"/>
      <c r="AH1197" s="4"/>
      <c r="AI1197" s="4"/>
      <c r="AJ1197" s="4"/>
      <c r="AK1197" s="4"/>
      <c r="AL1197" s="4"/>
      <c r="AM1197" s="4"/>
      <c r="AN1197" s="4"/>
      <c r="AO1197" s="4"/>
      <c r="AP1197" s="4"/>
      <c r="AQ1197" s="4"/>
      <c r="AR1197" s="4"/>
      <c r="AS1197" s="4"/>
      <c r="AT1197" s="4"/>
      <c r="AU1197" s="4"/>
      <c r="AV1197" s="4"/>
      <c r="AW1197" s="4"/>
      <c r="AX1197" s="4"/>
      <c r="AY1197" s="4"/>
      <c r="AZ1197" s="4"/>
      <c r="BA1197" s="4"/>
      <c r="BB1197" s="4"/>
      <c r="BC1197" s="4"/>
      <c r="BD1197" s="4"/>
      <c r="BE1197" s="4"/>
      <c r="BF1197" s="4"/>
      <c r="BG1197" s="4"/>
      <c r="BH1197" s="4"/>
      <c r="BI1197" s="4"/>
      <c r="BJ1197" s="4"/>
      <c r="BK1197" s="4"/>
      <c r="BL1197" s="4"/>
      <c r="BM1197" s="4"/>
      <c r="BN1197" s="4"/>
      <c r="BO1197" s="4"/>
      <c r="BP1197" s="4"/>
      <c r="BQ1197" s="4"/>
      <c r="BR1197" s="4"/>
      <c r="BS1197" s="4"/>
      <c r="BT1197" s="4"/>
      <c r="BU1197" s="4"/>
    </row>
    <row r="1198" spans="29:73" s="1" customFormat="1" x14ac:dyDescent="0.25">
      <c r="AC1198" s="4"/>
      <c r="AD1198" s="4"/>
      <c r="AE1198" s="4"/>
      <c r="AF1198" s="4"/>
      <c r="AG1198" s="4"/>
      <c r="AH1198" s="4"/>
      <c r="AI1198" s="4"/>
      <c r="AJ1198" s="4"/>
      <c r="AK1198" s="4"/>
      <c r="AL1198" s="4"/>
      <c r="AM1198" s="4"/>
      <c r="AN1198" s="4"/>
      <c r="AO1198" s="4"/>
      <c r="AP1198" s="4"/>
      <c r="AQ1198" s="4"/>
      <c r="AR1198" s="4"/>
      <c r="AS1198" s="4"/>
      <c r="AT1198" s="4"/>
      <c r="AU1198" s="4"/>
      <c r="AV1198" s="4"/>
      <c r="AW1198" s="4"/>
      <c r="AX1198" s="4"/>
      <c r="AY1198" s="4"/>
      <c r="AZ1198" s="4"/>
      <c r="BA1198" s="4"/>
      <c r="BB1198" s="4"/>
      <c r="BC1198" s="4"/>
      <c r="BD1198" s="4"/>
      <c r="BE1198" s="4"/>
      <c r="BF1198" s="4"/>
      <c r="BG1198" s="4"/>
      <c r="BH1198" s="4"/>
      <c r="BI1198" s="4"/>
      <c r="BJ1198" s="4"/>
      <c r="BK1198" s="4"/>
      <c r="BL1198" s="4"/>
      <c r="BM1198" s="4"/>
      <c r="BN1198" s="4"/>
      <c r="BO1198" s="4"/>
      <c r="BP1198" s="4"/>
      <c r="BQ1198" s="4"/>
      <c r="BR1198" s="4"/>
      <c r="BS1198" s="4"/>
      <c r="BT1198" s="4"/>
      <c r="BU1198" s="4"/>
    </row>
    <row r="1199" spans="29:73" s="1" customFormat="1" x14ac:dyDescent="0.25">
      <c r="AC1199" s="4"/>
      <c r="AD1199" s="4"/>
      <c r="AE1199" s="4"/>
      <c r="AF1199" s="4"/>
      <c r="AG1199" s="4"/>
      <c r="AH1199" s="4"/>
      <c r="AI1199" s="4"/>
      <c r="AJ1199" s="4"/>
      <c r="AK1199" s="4"/>
      <c r="AL1199" s="4"/>
      <c r="AM1199" s="4"/>
      <c r="AN1199" s="4"/>
      <c r="AO1199" s="4"/>
      <c r="AP1199" s="4"/>
      <c r="AQ1199" s="4"/>
      <c r="AR1199" s="4"/>
      <c r="AS1199" s="4"/>
      <c r="AT1199" s="4"/>
      <c r="AU1199" s="4"/>
      <c r="AV1199" s="4"/>
      <c r="AW1199" s="4"/>
      <c r="AX1199" s="4"/>
      <c r="AY1199" s="4"/>
      <c r="AZ1199" s="4"/>
      <c r="BA1199" s="4"/>
      <c r="BB1199" s="4"/>
      <c r="BC1199" s="4"/>
      <c r="BD1199" s="4"/>
      <c r="BE1199" s="4"/>
      <c r="BF1199" s="4"/>
      <c r="BG1199" s="4"/>
      <c r="BH1199" s="4"/>
      <c r="BI1199" s="4"/>
      <c r="BJ1199" s="4"/>
      <c r="BK1199" s="4"/>
      <c r="BL1199" s="4"/>
      <c r="BM1199" s="4"/>
      <c r="BN1199" s="4"/>
      <c r="BO1199" s="4"/>
      <c r="BP1199" s="4"/>
      <c r="BQ1199" s="4"/>
      <c r="BR1199" s="4"/>
      <c r="BS1199" s="4"/>
      <c r="BT1199" s="4"/>
      <c r="BU1199" s="4"/>
    </row>
    <row r="1200" spans="29:73" s="1" customFormat="1" x14ac:dyDescent="0.25">
      <c r="AC1200" s="4"/>
      <c r="AD1200" s="4"/>
      <c r="AE1200" s="4"/>
      <c r="AF1200" s="4"/>
      <c r="AG1200" s="4"/>
      <c r="AH1200" s="4"/>
      <c r="AI1200" s="4"/>
      <c r="AJ1200" s="4"/>
      <c r="AK1200" s="4"/>
      <c r="AL1200" s="4"/>
      <c r="AM1200" s="4"/>
      <c r="AN1200" s="4"/>
      <c r="AO1200" s="4"/>
      <c r="AP1200" s="4"/>
      <c r="AQ1200" s="4"/>
      <c r="AR1200" s="4"/>
      <c r="AS1200" s="4"/>
      <c r="AT1200" s="4"/>
      <c r="AU1200" s="4"/>
      <c r="AV1200" s="4"/>
      <c r="AW1200" s="4"/>
      <c r="AX1200" s="4"/>
      <c r="AY1200" s="4"/>
      <c r="AZ1200" s="4"/>
      <c r="BA1200" s="4"/>
      <c r="BB1200" s="4"/>
      <c r="BC1200" s="4"/>
      <c r="BD1200" s="4"/>
      <c r="BE1200" s="4"/>
      <c r="BF1200" s="4"/>
      <c r="BG1200" s="4"/>
      <c r="BH1200" s="4"/>
      <c r="BI1200" s="4"/>
      <c r="BJ1200" s="4"/>
      <c r="BK1200" s="4"/>
      <c r="BL1200" s="4"/>
      <c r="BM1200" s="4"/>
      <c r="BN1200" s="4"/>
      <c r="BO1200" s="4"/>
      <c r="BP1200" s="4"/>
      <c r="BQ1200" s="4"/>
      <c r="BR1200" s="4"/>
      <c r="BS1200" s="4"/>
      <c r="BT1200" s="4"/>
      <c r="BU1200" s="4"/>
    </row>
    <row r="1201" spans="29:73" s="1" customFormat="1" x14ac:dyDescent="0.25">
      <c r="AC1201" s="4"/>
      <c r="AD1201" s="4"/>
      <c r="AE1201" s="4"/>
      <c r="AF1201" s="4"/>
      <c r="AG1201" s="4"/>
      <c r="AH1201" s="4"/>
      <c r="AI1201" s="4"/>
      <c r="AJ1201" s="4"/>
      <c r="AK1201" s="4"/>
      <c r="AL1201" s="4"/>
      <c r="AM1201" s="4"/>
      <c r="AN1201" s="4"/>
      <c r="AO1201" s="4"/>
      <c r="AP1201" s="4"/>
      <c r="AQ1201" s="4"/>
      <c r="AR1201" s="4"/>
      <c r="AS1201" s="4"/>
      <c r="AT1201" s="4"/>
      <c r="AU1201" s="4"/>
      <c r="AV1201" s="4"/>
      <c r="AW1201" s="4"/>
      <c r="AX1201" s="4"/>
      <c r="AY1201" s="4"/>
      <c r="AZ1201" s="4"/>
      <c r="BA1201" s="4"/>
      <c r="BB1201" s="4"/>
      <c r="BC1201" s="4"/>
      <c r="BD1201" s="4"/>
      <c r="BE1201" s="4"/>
      <c r="BF1201" s="4"/>
      <c r="BG1201" s="4"/>
      <c r="BH1201" s="4"/>
      <c r="BI1201" s="4"/>
      <c r="BJ1201" s="4"/>
      <c r="BK1201" s="4"/>
      <c r="BL1201" s="4"/>
      <c r="BM1201" s="4"/>
      <c r="BN1201" s="4"/>
      <c r="BO1201" s="4"/>
      <c r="BP1201" s="4"/>
      <c r="BQ1201" s="4"/>
      <c r="BR1201" s="4"/>
      <c r="BS1201" s="4"/>
      <c r="BT1201" s="4"/>
      <c r="BU1201" s="4"/>
    </row>
    <row r="1202" spans="29:73" s="1" customFormat="1" x14ac:dyDescent="0.25">
      <c r="AC1202" s="4"/>
      <c r="AD1202" s="4"/>
      <c r="AE1202" s="4"/>
      <c r="AF1202" s="4"/>
      <c r="AG1202" s="4"/>
      <c r="AH1202" s="4"/>
      <c r="AI1202" s="4"/>
      <c r="AJ1202" s="4"/>
      <c r="AK1202" s="4"/>
      <c r="AL1202" s="4"/>
      <c r="AM1202" s="4"/>
      <c r="AN1202" s="4"/>
      <c r="AO1202" s="4"/>
      <c r="AP1202" s="4"/>
      <c r="AQ1202" s="4"/>
      <c r="AR1202" s="4"/>
      <c r="AS1202" s="4"/>
      <c r="AT1202" s="4"/>
      <c r="AU1202" s="4"/>
      <c r="AV1202" s="4"/>
      <c r="AW1202" s="4"/>
      <c r="AX1202" s="4"/>
      <c r="AY1202" s="4"/>
      <c r="AZ1202" s="4"/>
      <c r="BA1202" s="4"/>
      <c r="BB1202" s="4"/>
      <c r="BC1202" s="4"/>
      <c r="BD1202" s="4"/>
      <c r="BE1202" s="4"/>
      <c r="BF1202" s="4"/>
      <c r="BG1202" s="4"/>
      <c r="BH1202" s="4"/>
      <c r="BI1202" s="4"/>
      <c r="BJ1202" s="4"/>
      <c r="BK1202" s="4"/>
      <c r="BL1202" s="4"/>
      <c r="BM1202" s="4"/>
      <c r="BN1202" s="4"/>
      <c r="BO1202" s="4"/>
      <c r="BP1202" s="4"/>
      <c r="BQ1202" s="4"/>
      <c r="BR1202" s="4"/>
      <c r="BS1202" s="4"/>
      <c r="BT1202" s="4"/>
      <c r="BU1202" s="4"/>
    </row>
    <row r="1203" spans="29:73" s="1" customFormat="1" x14ac:dyDescent="0.25">
      <c r="AC1203" s="4"/>
      <c r="AD1203" s="4"/>
      <c r="AE1203" s="4"/>
      <c r="AF1203" s="4"/>
      <c r="AG1203" s="4"/>
      <c r="AH1203" s="4"/>
      <c r="AI1203" s="4"/>
      <c r="AJ1203" s="4"/>
      <c r="AK1203" s="4"/>
      <c r="AL1203" s="4"/>
      <c r="AM1203" s="4"/>
      <c r="AN1203" s="4"/>
      <c r="AO1203" s="4"/>
      <c r="AP1203" s="4"/>
      <c r="AQ1203" s="4"/>
      <c r="AR1203" s="4"/>
      <c r="AS1203" s="4"/>
      <c r="AT1203" s="4"/>
      <c r="AU1203" s="4"/>
      <c r="AV1203" s="4"/>
      <c r="AW1203" s="4"/>
      <c r="AX1203" s="4"/>
      <c r="AY1203" s="4"/>
      <c r="AZ1203" s="4"/>
      <c r="BA1203" s="4"/>
      <c r="BB1203" s="4"/>
      <c r="BC1203" s="4"/>
      <c r="BD1203" s="4"/>
      <c r="BE1203" s="4"/>
      <c r="BF1203" s="4"/>
      <c r="BG1203" s="4"/>
      <c r="BH1203" s="4"/>
      <c r="BI1203" s="4"/>
      <c r="BJ1203" s="4"/>
      <c r="BK1203" s="4"/>
      <c r="BL1203" s="4"/>
      <c r="BM1203" s="4"/>
      <c r="BN1203" s="4"/>
      <c r="BO1203" s="4"/>
      <c r="BP1203" s="4"/>
      <c r="BQ1203" s="4"/>
      <c r="BR1203" s="4"/>
      <c r="BS1203" s="4"/>
      <c r="BT1203" s="4"/>
      <c r="BU1203" s="4"/>
    </row>
    <row r="1204" spans="29:73" s="1" customFormat="1" x14ac:dyDescent="0.25">
      <c r="AC1204" s="4"/>
      <c r="AD1204" s="4"/>
      <c r="AE1204" s="4"/>
      <c r="AF1204" s="4"/>
      <c r="AG1204" s="4"/>
      <c r="AH1204" s="4"/>
      <c r="AI1204" s="4"/>
      <c r="AJ1204" s="4"/>
      <c r="AK1204" s="4"/>
      <c r="AL1204" s="4"/>
      <c r="AM1204" s="4"/>
      <c r="AN1204" s="4"/>
      <c r="AO1204" s="4"/>
      <c r="AP1204" s="4"/>
      <c r="AQ1204" s="4"/>
      <c r="AR1204" s="4"/>
      <c r="AS1204" s="4"/>
      <c r="AT1204" s="4"/>
      <c r="AU1204" s="4"/>
      <c r="AV1204" s="4"/>
      <c r="AW1204" s="4"/>
      <c r="AX1204" s="4"/>
      <c r="AY1204" s="4"/>
      <c r="AZ1204" s="4"/>
      <c r="BA1204" s="4"/>
      <c r="BB1204" s="4"/>
      <c r="BC1204" s="4"/>
      <c r="BD1204" s="4"/>
      <c r="BE1204" s="4"/>
      <c r="BF1204" s="4"/>
      <c r="BG1204" s="4"/>
      <c r="BH1204" s="4"/>
      <c r="BI1204" s="4"/>
      <c r="BJ1204" s="4"/>
      <c r="BK1204" s="4"/>
      <c r="BL1204" s="4"/>
      <c r="BM1204" s="4"/>
      <c r="BN1204" s="4"/>
      <c r="BO1204" s="4"/>
      <c r="BP1204" s="4"/>
      <c r="BQ1204" s="4"/>
      <c r="BR1204" s="4"/>
      <c r="BS1204" s="4"/>
      <c r="BT1204" s="4"/>
      <c r="BU1204" s="4"/>
    </row>
    <row r="1205" spans="29:73" s="1" customFormat="1" x14ac:dyDescent="0.25">
      <c r="AC1205" s="4"/>
      <c r="AD1205" s="4"/>
      <c r="AE1205" s="4"/>
      <c r="AF1205" s="4"/>
      <c r="AG1205" s="4"/>
      <c r="AH1205" s="4"/>
      <c r="AI1205" s="4"/>
      <c r="AJ1205" s="4"/>
      <c r="AK1205" s="4"/>
      <c r="AL1205" s="4"/>
      <c r="AM1205" s="4"/>
      <c r="AN1205" s="4"/>
      <c r="AO1205" s="4"/>
      <c r="AP1205" s="4"/>
      <c r="AQ1205" s="4"/>
      <c r="AR1205" s="4"/>
      <c r="AS1205" s="4"/>
      <c r="AT1205" s="4"/>
      <c r="AU1205" s="4"/>
      <c r="AV1205" s="4"/>
      <c r="AW1205" s="4"/>
      <c r="AX1205" s="4"/>
      <c r="AY1205" s="4"/>
      <c r="AZ1205" s="4"/>
      <c r="BA1205" s="4"/>
      <c r="BB1205" s="4"/>
      <c r="BC1205" s="4"/>
      <c r="BD1205" s="4"/>
      <c r="BE1205" s="4"/>
      <c r="BF1205" s="4"/>
      <c r="BG1205" s="4"/>
      <c r="BH1205" s="4"/>
      <c r="BI1205" s="4"/>
      <c r="BJ1205" s="4"/>
      <c r="BK1205" s="4"/>
      <c r="BL1205" s="4"/>
      <c r="BM1205" s="4"/>
      <c r="BN1205" s="4"/>
      <c r="BO1205" s="4"/>
      <c r="BP1205" s="4"/>
      <c r="BQ1205" s="4"/>
      <c r="BR1205" s="4"/>
      <c r="BS1205" s="4"/>
      <c r="BT1205" s="4"/>
      <c r="BU1205" s="4"/>
    </row>
    <row r="1206" spans="29:73" s="1" customFormat="1" x14ac:dyDescent="0.25">
      <c r="AC1206" s="4"/>
      <c r="AD1206" s="4"/>
      <c r="AE1206" s="4"/>
      <c r="AF1206" s="4"/>
      <c r="AG1206" s="4"/>
      <c r="AH1206" s="4"/>
      <c r="AI1206" s="4"/>
      <c r="AJ1206" s="4"/>
      <c r="AK1206" s="4"/>
      <c r="AL1206" s="4"/>
      <c r="AM1206" s="4"/>
      <c r="AN1206" s="4"/>
      <c r="AO1206" s="4"/>
      <c r="AP1206" s="4"/>
      <c r="AQ1206" s="4"/>
      <c r="AR1206" s="4"/>
      <c r="AS1206" s="4"/>
      <c r="AT1206" s="4"/>
      <c r="AU1206" s="4"/>
      <c r="AV1206" s="4"/>
      <c r="AW1206" s="4"/>
      <c r="AX1206" s="4"/>
      <c r="AY1206" s="4"/>
      <c r="AZ1206" s="4"/>
      <c r="BA1206" s="4"/>
      <c r="BB1206" s="4"/>
      <c r="BC1206" s="4"/>
      <c r="BD1206" s="4"/>
      <c r="BE1206" s="4"/>
      <c r="BF1206" s="4"/>
      <c r="BG1206" s="4"/>
      <c r="BH1206" s="4"/>
      <c r="BI1206" s="4"/>
      <c r="BJ1206" s="4"/>
      <c r="BK1206" s="4"/>
      <c r="BL1206" s="4"/>
      <c r="BM1206" s="4"/>
      <c r="BN1206" s="4"/>
      <c r="BO1206" s="4"/>
      <c r="BP1206" s="4"/>
      <c r="BQ1206" s="4"/>
      <c r="BR1206" s="4"/>
      <c r="BS1206" s="4"/>
      <c r="BT1206" s="4"/>
      <c r="BU1206" s="4"/>
    </row>
    <row r="1207" spans="29:73" s="1" customFormat="1" x14ac:dyDescent="0.25">
      <c r="AC1207" s="4"/>
      <c r="AD1207" s="4"/>
      <c r="AE1207" s="4"/>
      <c r="AF1207" s="4"/>
      <c r="AG1207" s="4"/>
      <c r="AH1207" s="4"/>
      <c r="AI1207" s="4"/>
      <c r="AJ1207" s="4"/>
      <c r="AK1207" s="4"/>
      <c r="AL1207" s="4"/>
      <c r="AM1207" s="4"/>
      <c r="AN1207" s="4"/>
      <c r="AO1207" s="4"/>
      <c r="AP1207" s="4"/>
      <c r="AQ1207" s="4"/>
      <c r="AR1207" s="4"/>
      <c r="AS1207" s="4"/>
      <c r="AT1207" s="4"/>
      <c r="AU1207" s="4"/>
      <c r="AV1207" s="4"/>
      <c r="AW1207" s="4"/>
      <c r="AX1207" s="4"/>
      <c r="AY1207" s="4"/>
      <c r="AZ1207" s="4"/>
      <c r="BA1207" s="4"/>
      <c r="BB1207" s="4"/>
      <c r="BC1207" s="4"/>
      <c r="BD1207" s="4"/>
      <c r="BE1207" s="4"/>
      <c r="BF1207" s="4"/>
      <c r="BG1207" s="4"/>
      <c r="BH1207" s="4"/>
      <c r="BI1207" s="4"/>
      <c r="BJ1207" s="4"/>
      <c r="BK1207" s="4"/>
      <c r="BL1207" s="4"/>
      <c r="BM1207" s="4"/>
      <c r="BN1207" s="4"/>
      <c r="BO1207" s="4"/>
      <c r="BP1207" s="4"/>
      <c r="BQ1207" s="4"/>
      <c r="BR1207" s="4"/>
      <c r="BS1207" s="4"/>
      <c r="BT1207" s="4"/>
      <c r="BU1207" s="4"/>
    </row>
    <row r="1208" spans="29:73" s="1" customFormat="1" x14ac:dyDescent="0.25">
      <c r="AC1208" s="4"/>
      <c r="AD1208" s="4"/>
      <c r="AE1208" s="4"/>
      <c r="AF1208" s="4"/>
      <c r="AG1208" s="4"/>
      <c r="AH1208" s="4"/>
      <c r="AI1208" s="4"/>
      <c r="AJ1208" s="4"/>
      <c r="AK1208" s="4"/>
      <c r="AL1208" s="4"/>
      <c r="AM1208" s="4"/>
      <c r="AN1208" s="4"/>
      <c r="AO1208" s="4"/>
      <c r="AP1208" s="4"/>
      <c r="AQ1208" s="4"/>
      <c r="AR1208" s="4"/>
      <c r="AS1208" s="4"/>
      <c r="AT1208" s="4"/>
      <c r="AU1208" s="4"/>
      <c r="AV1208" s="4"/>
      <c r="AW1208" s="4"/>
      <c r="AX1208" s="4"/>
      <c r="AY1208" s="4"/>
      <c r="AZ1208" s="4"/>
      <c r="BA1208" s="4"/>
      <c r="BB1208" s="4"/>
      <c r="BC1208" s="4"/>
      <c r="BD1208" s="4"/>
      <c r="BE1208" s="4"/>
      <c r="BF1208" s="4"/>
      <c r="BG1208" s="4"/>
      <c r="BH1208" s="4"/>
      <c r="BI1208" s="4"/>
      <c r="BJ1208" s="4"/>
      <c r="BK1208" s="4"/>
      <c r="BL1208" s="4"/>
      <c r="BM1208" s="4"/>
      <c r="BN1208" s="4"/>
      <c r="BO1208" s="4"/>
      <c r="BP1208" s="4"/>
      <c r="BQ1208" s="4"/>
      <c r="BR1208" s="4"/>
      <c r="BS1208" s="4"/>
      <c r="BT1208" s="4"/>
      <c r="BU1208" s="4"/>
    </row>
    <row r="1209" spans="29:73" s="1" customFormat="1" x14ac:dyDescent="0.25">
      <c r="AC1209" s="4"/>
      <c r="AD1209" s="4"/>
      <c r="AE1209" s="4"/>
      <c r="AF1209" s="4"/>
      <c r="AG1209" s="4"/>
      <c r="AH1209" s="4"/>
      <c r="AI1209" s="4"/>
      <c r="AJ1209" s="4"/>
      <c r="AK1209" s="4"/>
      <c r="AL1209" s="4"/>
      <c r="AM1209" s="4"/>
      <c r="AN1209" s="4"/>
      <c r="AO1209" s="4"/>
      <c r="AP1209" s="4"/>
      <c r="AQ1209" s="4"/>
      <c r="AR1209" s="4"/>
      <c r="AS1209" s="4"/>
      <c r="AT1209" s="4"/>
      <c r="AU1209" s="4"/>
      <c r="AV1209" s="4"/>
      <c r="AW1209" s="4"/>
      <c r="AX1209" s="4"/>
      <c r="AY1209" s="4"/>
      <c r="AZ1209" s="4"/>
      <c r="BA1209" s="4"/>
      <c r="BB1209" s="4"/>
      <c r="BC1209" s="4"/>
      <c r="BD1209" s="4"/>
      <c r="BE1209" s="4"/>
      <c r="BF1209" s="4"/>
      <c r="BG1209" s="4"/>
      <c r="BH1209" s="4"/>
      <c r="BI1209" s="4"/>
      <c r="BJ1209" s="4"/>
      <c r="BK1209" s="4"/>
      <c r="BL1209" s="4"/>
      <c r="BM1209" s="4"/>
      <c r="BN1209" s="4"/>
      <c r="BO1209" s="4"/>
      <c r="BP1209" s="4"/>
      <c r="BQ1209" s="4"/>
      <c r="BR1209" s="4"/>
      <c r="BS1209" s="4"/>
      <c r="BT1209" s="4"/>
      <c r="BU1209" s="4"/>
    </row>
    <row r="1210" spans="29:73" s="1" customFormat="1" x14ac:dyDescent="0.25">
      <c r="AC1210" s="4"/>
      <c r="AD1210" s="4"/>
      <c r="AE1210" s="4"/>
      <c r="AF1210" s="4"/>
      <c r="AG1210" s="4"/>
      <c r="AH1210" s="4"/>
      <c r="AI1210" s="4"/>
      <c r="AJ1210" s="4"/>
      <c r="AK1210" s="4"/>
      <c r="AL1210" s="4"/>
      <c r="AM1210" s="4"/>
      <c r="AN1210" s="4"/>
      <c r="AO1210" s="4"/>
      <c r="AP1210" s="4"/>
      <c r="AQ1210" s="4"/>
      <c r="AR1210" s="4"/>
      <c r="AS1210" s="4"/>
      <c r="AT1210" s="4"/>
      <c r="AU1210" s="4"/>
      <c r="AV1210" s="4"/>
      <c r="AW1210" s="4"/>
      <c r="AX1210" s="4"/>
      <c r="AY1210" s="4"/>
      <c r="AZ1210" s="4"/>
      <c r="BA1210" s="4"/>
      <c r="BB1210" s="4"/>
      <c r="BC1210" s="4"/>
      <c r="BD1210" s="4"/>
      <c r="BE1210" s="4"/>
      <c r="BF1210" s="4"/>
      <c r="BG1210" s="4"/>
      <c r="BH1210" s="4"/>
      <c r="BI1210" s="4"/>
      <c r="BJ1210" s="4"/>
      <c r="BK1210" s="4"/>
      <c r="BL1210" s="4"/>
      <c r="BM1210" s="4"/>
      <c r="BN1210" s="4"/>
      <c r="BO1210" s="4"/>
      <c r="BP1210" s="4"/>
      <c r="BQ1210" s="4"/>
      <c r="BR1210" s="4"/>
      <c r="BS1210" s="4"/>
      <c r="BT1210" s="4"/>
      <c r="BU1210" s="4"/>
    </row>
    <row r="1211" spans="29:73" s="1" customFormat="1" x14ac:dyDescent="0.25">
      <c r="AC1211" s="4"/>
      <c r="AD1211" s="4"/>
      <c r="AE1211" s="4"/>
      <c r="AF1211" s="4"/>
      <c r="AG1211" s="4"/>
      <c r="AH1211" s="4"/>
      <c r="AI1211" s="4"/>
      <c r="AJ1211" s="4"/>
      <c r="AK1211" s="4"/>
      <c r="AL1211" s="4"/>
      <c r="AM1211" s="4"/>
      <c r="AN1211" s="4"/>
      <c r="AO1211" s="4"/>
      <c r="AP1211" s="4"/>
      <c r="AQ1211" s="4"/>
      <c r="AR1211" s="4"/>
      <c r="AS1211" s="4"/>
      <c r="AT1211" s="4"/>
      <c r="AU1211" s="4"/>
      <c r="AV1211" s="4"/>
      <c r="AW1211" s="4"/>
      <c r="AX1211" s="4"/>
      <c r="AY1211" s="4"/>
      <c r="AZ1211" s="4"/>
      <c r="BA1211" s="4"/>
      <c r="BB1211" s="4"/>
      <c r="BC1211" s="4"/>
      <c r="BD1211" s="4"/>
      <c r="BE1211" s="4"/>
      <c r="BF1211" s="4"/>
      <c r="BG1211" s="4"/>
      <c r="BH1211" s="4"/>
      <c r="BI1211" s="4"/>
      <c r="BJ1211" s="4"/>
      <c r="BK1211" s="4"/>
      <c r="BL1211" s="4"/>
      <c r="BM1211" s="4"/>
      <c r="BN1211" s="4"/>
      <c r="BO1211" s="4"/>
      <c r="BP1211" s="4"/>
      <c r="BQ1211" s="4"/>
      <c r="BR1211" s="4"/>
      <c r="BS1211" s="4"/>
      <c r="BT1211" s="4"/>
      <c r="BU1211" s="4"/>
    </row>
    <row r="1212" spans="29:73" s="1" customFormat="1" x14ac:dyDescent="0.25">
      <c r="AC1212" s="4"/>
      <c r="AD1212" s="4"/>
      <c r="AE1212" s="4"/>
      <c r="AF1212" s="4"/>
      <c r="AG1212" s="4"/>
      <c r="AH1212" s="4"/>
      <c r="AI1212" s="4"/>
      <c r="AJ1212" s="4"/>
      <c r="AK1212" s="4"/>
      <c r="AL1212" s="4"/>
      <c r="AM1212" s="4"/>
      <c r="AN1212" s="4"/>
      <c r="AO1212" s="4"/>
      <c r="AP1212" s="4"/>
      <c r="AQ1212" s="4"/>
      <c r="AR1212" s="4"/>
      <c r="AS1212" s="4"/>
      <c r="AT1212" s="4"/>
      <c r="AU1212" s="4"/>
      <c r="AV1212" s="4"/>
      <c r="AW1212" s="4"/>
      <c r="AX1212" s="4"/>
      <c r="AY1212" s="4"/>
      <c r="AZ1212" s="4"/>
      <c r="BA1212" s="4"/>
      <c r="BB1212" s="4"/>
      <c r="BC1212" s="4"/>
      <c r="BD1212" s="4"/>
      <c r="BE1212" s="4"/>
      <c r="BF1212" s="4"/>
      <c r="BG1212" s="4"/>
      <c r="BH1212" s="4"/>
      <c r="BI1212" s="4"/>
      <c r="BJ1212" s="4"/>
      <c r="BK1212" s="4"/>
      <c r="BL1212" s="4"/>
      <c r="BM1212" s="4"/>
      <c r="BN1212" s="4"/>
      <c r="BO1212" s="4"/>
      <c r="BP1212" s="4"/>
      <c r="BQ1212" s="4"/>
      <c r="BR1212" s="4"/>
      <c r="BS1212" s="4"/>
      <c r="BT1212" s="4"/>
      <c r="BU1212" s="4"/>
    </row>
    <row r="1213" spans="29:73" s="1" customFormat="1" x14ac:dyDescent="0.25">
      <c r="AC1213" s="4"/>
      <c r="AD1213" s="4"/>
      <c r="AE1213" s="4"/>
      <c r="AF1213" s="4"/>
      <c r="AG1213" s="4"/>
      <c r="AH1213" s="4"/>
      <c r="AI1213" s="4"/>
      <c r="AJ1213" s="4"/>
      <c r="AK1213" s="4"/>
      <c r="AL1213" s="4"/>
      <c r="AM1213" s="4"/>
      <c r="AN1213" s="4"/>
      <c r="AO1213" s="4"/>
      <c r="AP1213" s="4"/>
      <c r="AQ1213" s="4"/>
      <c r="AR1213" s="4"/>
      <c r="AS1213" s="4"/>
      <c r="AT1213" s="4"/>
      <c r="AU1213" s="4"/>
      <c r="AV1213" s="4"/>
      <c r="AW1213" s="4"/>
      <c r="AX1213" s="4"/>
      <c r="AY1213" s="4"/>
      <c r="AZ1213" s="4"/>
      <c r="BA1213" s="4"/>
      <c r="BB1213" s="4"/>
      <c r="BC1213" s="4"/>
      <c r="BD1213" s="4"/>
      <c r="BE1213" s="4"/>
      <c r="BF1213" s="4"/>
      <c r="BG1213" s="4"/>
      <c r="BH1213" s="4"/>
      <c r="BI1213" s="4"/>
      <c r="BJ1213" s="4"/>
      <c r="BK1213" s="4"/>
      <c r="BL1213" s="4"/>
      <c r="BM1213" s="4"/>
      <c r="BN1213" s="4"/>
      <c r="BO1213" s="4"/>
      <c r="BP1213" s="4"/>
      <c r="BQ1213" s="4"/>
      <c r="BR1213" s="4"/>
      <c r="BS1213" s="4"/>
      <c r="BT1213" s="4"/>
      <c r="BU1213" s="4"/>
    </row>
    <row r="1214" spans="29:73" s="1" customFormat="1" x14ac:dyDescent="0.25">
      <c r="AC1214" s="4"/>
      <c r="AD1214" s="4"/>
      <c r="AE1214" s="4"/>
      <c r="AF1214" s="4"/>
      <c r="AG1214" s="4"/>
      <c r="AH1214" s="4"/>
      <c r="AI1214" s="4"/>
      <c r="AJ1214" s="4"/>
      <c r="AK1214" s="4"/>
      <c r="AL1214" s="4"/>
      <c r="AM1214" s="4"/>
      <c r="AN1214" s="4"/>
      <c r="AO1214" s="4"/>
      <c r="AP1214" s="4"/>
      <c r="AQ1214" s="4"/>
      <c r="AR1214" s="4"/>
      <c r="AS1214" s="4"/>
      <c r="AT1214" s="4"/>
      <c r="AU1214" s="4"/>
      <c r="AV1214" s="4"/>
      <c r="AW1214" s="4"/>
      <c r="AX1214" s="4"/>
      <c r="AY1214" s="4"/>
      <c r="AZ1214" s="4"/>
      <c r="BA1214" s="4"/>
      <c r="BB1214" s="4"/>
      <c r="BC1214" s="4"/>
      <c r="BD1214" s="4"/>
      <c r="BE1214" s="4"/>
      <c r="BF1214" s="4"/>
      <c r="BG1214" s="4"/>
      <c r="BH1214" s="4"/>
      <c r="BI1214" s="4"/>
      <c r="BJ1214" s="4"/>
      <c r="BK1214" s="4"/>
      <c r="BL1214" s="4"/>
      <c r="BM1214" s="4"/>
      <c r="BN1214" s="4"/>
      <c r="BO1214" s="4"/>
      <c r="BP1214" s="4"/>
      <c r="BQ1214" s="4"/>
      <c r="BR1214" s="4"/>
      <c r="BS1214" s="4"/>
      <c r="BT1214" s="4"/>
      <c r="BU1214" s="4"/>
    </row>
    <row r="1215" spans="29:73" s="1" customFormat="1" x14ac:dyDescent="0.25">
      <c r="AC1215" s="4"/>
      <c r="AD1215" s="4"/>
      <c r="AE1215" s="4"/>
      <c r="AF1215" s="4"/>
      <c r="AG1215" s="4"/>
      <c r="AH1215" s="4"/>
      <c r="AI1215" s="4"/>
      <c r="AJ1215" s="4"/>
      <c r="AK1215" s="4"/>
      <c r="AL1215" s="4"/>
      <c r="AM1215" s="4"/>
      <c r="AN1215" s="4"/>
      <c r="AO1215" s="4"/>
      <c r="AP1215" s="4"/>
      <c r="AQ1215" s="4"/>
      <c r="AR1215" s="4"/>
      <c r="AS1215" s="4"/>
      <c r="AT1215" s="4"/>
      <c r="AU1215" s="4"/>
      <c r="AV1215" s="4"/>
      <c r="AW1215" s="4"/>
      <c r="AX1215" s="4"/>
      <c r="AY1215" s="4"/>
      <c r="AZ1215" s="4"/>
      <c r="BA1215" s="4"/>
      <c r="BB1215" s="4"/>
      <c r="BC1215" s="4"/>
      <c r="BD1215" s="4"/>
      <c r="BE1215" s="4"/>
      <c r="BF1215" s="4"/>
      <c r="BG1215" s="4"/>
      <c r="BH1215" s="4"/>
      <c r="BI1215" s="4"/>
      <c r="BJ1215" s="4"/>
      <c r="BK1215" s="4"/>
      <c r="BL1215" s="4"/>
      <c r="BM1215" s="4"/>
      <c r="BN1215" s="4"/>
      <c r="BO1215" s="4"/>
      <c r="BP1215" s="4"/>
      <c r="BQ1215" s="4"/>
      <c r="BR1215" s="4"/>
      <c r="BS1215" s="4"/>
      <c r="BT1215" s="4"/>
      <c r="BU1215" s="4"/>
    </row>
    <row r="1216" spans="29:73" s="1" customFormat="1" x14ac:dyDescent="0.25">
      <c r="AC1216" s="4"/>
      <c r="AD1216" s="4"/>
      <c r="AE1216" s="4"/>
      <c r="AF1216" s="4"/>
      <c r="AG1216" s="4"/>
      <c r="AH1216" s="4"/>
      <c r="AI1216" s="4"/>
      <c r="AJ1216" s="4"/>
      <c r="AK1216" s="4"/>
      <c r="AL1216" s="4"/>
      <c r="AM1216" s="4"/>
      <c r="AN1216" s="4"/>
      <c r="AO1216" s="4"/>
      <c r="AP1216" s="4"/>
      <c r="AQ1216" s="4"/>
      <c r="AR1216" s="4"/>
      <c r="AS1216" s="4"/>
      <c r="AT1216" s="4"/>
      <c r="AU1216" s="4"/>
      <c r="AV1216" s="4"/>
      <c r="AW1216" s="4"/>
      <c r="AX1216" s="4"/>
      <c r="AY1216" s="4"/>
      <c r="AZ1216" s="4"/>
      <c r="BA1216" s="4"/>
      <c r="BB1216" s="4"/>
      <c r="BC1216" s="4"/>
      <c r="BD1216" s="4"/>
      <c r="BE1216" s="4"/>
      <c r="BF1216" s="4"/>
      <c r="BG1216" s="4"/>
      <c r="BH1216" s="4"/>
      <c r="BI1216" s="4"/>
      <c r="BJ1216" s="4"/>
      <c r="BK1216" s="4"/>
      <c r="BL1216" s="4"/>
      <c r="BM1216" s="4"/>
      <c r="BN1216" s="4"/>
      <c r="BO1216" s="4"/>
      <c r="BP1216" s="4"/>
      <c r="BQ1216" s="4"/>
      <c r="BR1216" s="4"/>
      <c r="BS1216" s="4"/>
      <c r="BT1216" s="4"/>
      <c r="BU1216" s="4"/>
    </row>
    <row r="1217" spans="29:73" s="1" customFormat="1" x14ac:dyDescent="0.25">
      <c r="AC1217" s="4"/>
      <c r="AD1217" s="4"/>
      <c r="AE1217" s="4"/>
      <c r="AF1217" s="4"/>
      <c r="AG1217" s="4"/>
      <c r="AH1217" s="4"/>
      <c r="AI1217" s="4"/>
      <c r="AJ1217" s="4"/>
      <c r="AK1217" s="4"/>
      <c r="AL1217" s="4"/>
      <c r="AM1217" s="4"/>
      <c r="AN1217" s="4"/>
      <c r="AO1217" s="4"/>
      <c r="AP1217" s="4"/>
      <c r="AQ1217" s="4"/>
      <c r="AR1217" s="4"/>
      <c r="AS1217" s="4"/>
      <c r="AT1217" s="4"/>
      <c r="AU1217" s="4"/>
      <c r="AV1217" s="4"/>
      <c r="AW1217" s="4"/>
      <c r="AX1217" s="4"/>
      <c r="AY1217" s="4"/>
      <c r="AZ1217" s="4"/>
      <c r="BA1217" s="4"/>
      <c r="BB1217" s="4"/>
      <c r="BC1217" s="4"/>
      <c r="BD1217" s="4"/>
      <c r="BE1217" s="4"/>
      <c r="BF1217" s="4"/>
      <c r="BG1217" s="4"/>
      <c r="BH1217" s="4"/>
      <c r="BI1217" s="4"/>
      <c r="BJ1217" s="4"/>
      <c r="BK1217" s="4"/>
      <c r="BL1217" s="4"/>
      <c r="BM1217" s="4"/>
      <c r="BN1217" s="4"/>
      <c r="BO1217" s="4"/>
      <c r="BP1217" s="4"/>
      <c r="BQ1217" s="4"/>
      <c r="BR1217" s="4"/>
      <c r="BS1217" s="4"/>
      <c r="BT1217" s="4"/>
      <c r="BU1217" s="4"/>
    </row>
    <row r="1218" spans="29:73" s="1" customFormat="1" x14ac:dyDescent="0.25">
      <c r="AC1218" s="4"/>
      <c r="AD1218" s="4"/>
      <c r="AE1218" s="4"/>
      <c r="AF1218" s="4"/>
      <c r="AG1218" s="4"/>
      <c r="AH1218" s="4"/>
      <c r="AI1218" s="4"/>
      <c r="AJ1218" s="4"/>
      <c r="AK1218" s="4"/>
      <c r="AL1218" s="4"/>
      <c r="AM1218" s="4"/>
      <c r="AN1218" s="4"/>
      <c r="AO1218" s="4"/>
      <c r="AP1218" s="4"/>
      <c r="AQ1218" s="4"/>
      <c r="AR1218" s="4"/>
      <c r="AS1218" s="4"/>
      <c r="AT1218" s="4"/>
      <c r="AU1218" s="4"/>
      <c r="AV1218" s="4"/>
      <c r="AW1218" s="4"/>
      <c r="AX1218" s="4"/>
      <c r="AY1218" s="4"/>
      <c r="AZ1218" s="4"/>
      <c r="BA1218" s="4"/>
      <c r="BB1218" s="4"/>
      <c r="BC1218" s="4"/>
      <c r="BD1218" s="4"/>
      <c r="BE1218" s="4"/>
      <c r="BF1218" s="4"/>
      <c r="BG1218" s="4"/>
      <c r="BH1218" s="4"/>
      <c r="BI1218" s="4"/>
      <c r="BJ1218" s="4"/>
      <c r="BK1218" s="4"/>
      <c r="BL1218" s="4"/>
      <c r="BM1218" s="4"/>
      <c r="BN1218" s="4"/>
      <c r="BO1218" s="4"/>
      <c r="BP1218" s="4"/>
      <c r="BQ1218" s="4"/>
      <c r="BR1218" s="4"/>
      <c r="BS1218" s="4"/>
      <c r="BT1218" s="4"/>
      <c r="BU1218" s="4"/>
    </row>
    <row r="1219" spans="29:73" s="1" customFormat="1" x14ac:dyDescent="0.25">
      <c r="AC1219" s="4"/>
      <c r="AD1219" s="4"/>
      <c r="AE1219" s="4"/>
      <c r="AF1219" s="4"/>
      <c r="AG1219" s="4"/>
      <c r="AH1219" s="4"/>
      <c r="AI1219" s="4"/>
      <c r="AJ1219" s="4"/>
      <c r="AK1219" s="4"/>
      <c r="AL1219" s="4"/>
      <c r="AM1219" s="4"/>
      <c r="AN1219" s="4"/>
      <c r="AO1219" s="4"/>
      <c r="AP1219" s="4"/>
      <c r="AQ1219" s="4"/>
      <c r="AR1219" s="4"/>
      <c r="AS1219" s="4"/>
      <c r="AT1219" s="4"/>
      <c r="AU1219" s="4"/>
      <c r="AV1219" s="4"/>
      <c r="AW1219" s="4"/>
      <c r="AX1219" s="4"/>
      <c r="AY1219" s="4"/>
      <c r="AZ1219" s="4"/>
      <c r="BA1219" s="4"/>
      <c r="BB1219" s="4"/>
      <c r="BC1219" s="4"/>
      <c r="BD1219" s="4"/>
      <c r="BE1219" s="4"/>
      <c r="BF1219" s="4"/>
      <c r="BG1219" s="4"/>
      <c r="BH1219" s="4"/>
      <c r="BI1219" s="4"/>
      <c r="BJ1219" s="4"/>
      <c r="BK1219" s="4"/>
      <c r="BL1219" s="4"/>
      <c r="BM1219" s="4"/>
      <c r="BN1219" s="4"/>
      <c r="BO1219" s="4"/>
      <c r="BP1219" s="4"/>
      <c r="BQ1219" s="4"/>
      <c r="BR1219" s="4"/>
      <c r="BS1219" s="4"/>
      <c r="BT1219" s="4"/>
      <c r="BU1219" s="4"/>
    </row>
    <row r="1220" spans="29:73" s="1" customFormat="1" x14ac:dyDescent="0.25">
      <c r="AC1220" s="4"/>
      <c r="AD1220" s="4"/>
      <c r="AE1220" s="4"/>
      <c r="AF1220" s="4"/>
      <c r="AG1220" s="4"/>
      <c r="AH1220" s="4"/>
      <c r="AI1220" s="4"/>
      <c r="AJ1220" s="4"/>
      <c r="AK1220" s="4"/>
      <c r="AL1220" s="4"/>
      <c r="AM1220" s="4"/>
      <c r="AN1220" s="4"/>
      <c r="AO1220" s="4"/>
      <c r="AP1220" s="4"/>
      <c r="AQ1220" s="4"/>
      <c r="AR1220" s="4"/>
      <c r="AS1220" s="4"/>
      <c r="AT1220" s="4"/>
      <c r="AU1220" s="4"/>
      <c r="AV1220" s="4"/>
      <c r="AW1220" s="4"/>
      <c r="AX1220" s="4"/>
      <c r="AY1220" s="4"/>
      <c r="AZ1220" s="4"/>
      <c r="BA1220" s="4"/>
      <c r="BB1220" s="4"/>
      <c r="BC1220" s="4"/>
      <c r="BD1220" s="4"/>
      <c r="BE1220" s="4"/>
      <c r="BF1220" s="4"/>
      <c r="BG1220" s="4"/>
      <c r="BH1220" s="4"/>
      <c r="BI1220" s="4"/>
      <c r="BJ1220" s="4"/>
      <c r="BK1220" s="4"/>
      <c r="BL1220" s="4"/>
      <c r="BM1220" s="4"/>
      <c r="BN1220" s="4"/>
      <c r="BO1220" s="4"/>
      <c r="BP1220" s="4"/>
      <c r="BQ1220" s="4"/>
      <c r="BR1220" s="4"/>
      <c r="BS1220" s="4"/>
      <c r="BT1220" s="4"/>
      <c r="BU1220" s="4"/>
    </row>
    <row r="1221" spans="29:73" s="1" customFormat="1" x14ac:dyDescent="0.25">
      <c r="AC1221" s="4"/>
      <c r="AD1221" s="4"/>
      <c r="AE1221" s="4"/>
      <c r="AF1221" s="4"/>
      <c r="AG1221" s="4"/>
      <c r="AH1221" s="4"/>
      <c r="AI1221" s="4"/>
      <c r="AJ1221" s="4"/>
      <c r="AK1221" s="4"/>
      <c r="AL1221" s="4"/>
      <c r="AM1221" s="4"/>
      <c r="AN1221" s="4"/>
      <c r="AO1221" s="4"/>
      <c r="AP1221" s="4"/>
      <c r="AQ1221" s="4"/>
      <c r="AR1221" s="4"/>
      <c r="AS1221" s="4"/>
      <c r="AT1221" s="4"/>
      <c r="AU1221" s="4"/>
      <c r="AV1221" s="4"/>
      <c r="AW1221" s="4"/>
      <c r="AX1221" s="4"/>
      <c r="AY1221" s="4"/>
      <c r="AZ1221" s="4"/>
      <c r="BA1221" s="4"/>
      <c r="BB1221" s="4"/>
      <c r="BC1221" s="4"/>
      <c r="BD1221" s="4"/>
      <c r="BE1221" s="4"/>
      <c r="BF1221" s="4"/>
      <c r="BG1221" s="4"/>
      <c r="BH1221" s="4"/>
      <c r="BI1221" s="4"/>
      <c r="BJ1221" s="4"/>
      <c r="BK1221" s="4"/>
      <c r="BL1221" s="4"/>
      <c r="BM1221" s="4"/>
      <c r="BN1221" s="4"/>
      <c r="BO1221" s="4"/>
      <c r="BP1221" s="4"/>
      <c r="BQ1221" s="4"/>
      <c r="BR1221" s="4"/>
      <c r="BS1221" s="4"/>
      <c r="BT1221" s="4"/>
      <c r="BU1221" s="4"/>
    </row>
    <row r="1222" spans="29:73" s="1" customFormat="1" x14ac:dyDescent="0.25">
      <c r="AC1222" s="4"/>
      <c r="AD1222" s="4"/>
      <c r="AE1222" s="4"/>
      <c r="AF1222" s="4"/>
      <c r="AG1222" s="4"/>
      <c r="AH1222" s="4"/>
      <c r="AI1222" s="4"/>
      <c r="AJ1222" s="4"/>
      <c r="AK1222" s="4"/>
      <c r="AL1222" s="4"/>
      <c r="AM1222" s="4"/>
      <c r="AN1222" s="4"/>
      <c r="AO1222" s="4"/>
      <c r="AP1222" s="4"/>
      <c r="AQ1222" s="4"/>
      <c r="AR1222" s="4"/>
      <c r="AS1222" s="4"/>
      <c r="AT1222" s="4"/>
      <c r="AU1222" s="4"/>
      <c r="AV1222" s="4"/>
      <c r="AW1222" s="4"/>
      <c r="AX1222" s="4"/>
      <c r="AY1222" s="4"/>
      <c r="AZ1222" s="4"/>
      <c r="BA1222" s="4"/>
      <c r="BB1222" s="4"/>
      <c r="BC1222" s="4"/>
      <c r="BD1222" s="4"/>
      <c r="BE1222" s="4"/>
      <c r="BF1222" s="4"/>
      <c r="BG1222" s="4"/>
      <c r="BH1222" s="4"/>
      <c r="BI1222" s="4"/>
      <c r="BJ1222" s="4"/>
      <c r="BK1222" s="4"/>
      <c r="BL1222" s="4"/>
      <c r="BM1222" s="4"/>
      <c r="BN1222" s="4"/>
      <c r="BO1222" s="4"/>
      <c r="BP1222" s="4"/>
      <c r="BQ1222" s="4"/>
      <c r="BR1222" s="4"/>
      <c r="BS1222" s="4"/>
      <c r="BT1222" s="4"/>
      <c r="BU1222" s="4"/>
    </row>
    <row r="1223" spans="29:73" s="1" customFormat="1" x14ac:dyDescent="0.25">
      <c r="AC1223" s="4"/>
      <c r="AD1223" s="4"/>
      <c r="AE1223" s="4"/>
      <c r="AF1223" s="4"/>
      <c r="AG1223" s="4"/>
      <c r="AH1223" s="4"/>
      <c r="AI1223" s="4"/>
      <c r="AJ1223" s="4"/>
      <c r="AK1223" s="4"/>
      <c r="AL1223" s="4"/>
      <c r="AM1223" s="4"/>
      <c r="AN1223" s="4"/>
      <c r="AO1223" s="4"/>
      <c r="AP1223" s="4"/>
      <c r="AQ1223" s="4"/>
      <c r="AR1223" s="4"/>
      <c r="AS1223" s="4"/>
      <c r="AT1223" s="4"/>
      <c r="AU1223" s="4"/>
      <c r="AV1223" s="4"/>
      <c r="AW1223" s="4"/>
      <c r="AX1223" s="4"/>
      <c r="AY1223" s="4"/>
      <c r="AZ1223" s="4"/>
      <c r="BA1223" s="4"/>
      <c r="BB1223" s="4"/>
      <c r="BC1223" s="4"/>
      <c r="BD1223" s="4"/>
      <c r="BE1223" s="4"/>
      <c r="BF1223" s="4"/>
      <c r="BG1223" s="4"/>
      <c r="BH1223" s="4"/>
      <c r="BI1223" s="4"/>
      <c r="BJ1223" s="4"/>
      <c r="BK1223" s="4"/>
      <c r="BL1223" s="4"/>
      <c r="BM1223" s="4"/>
      <c r="BN1223" s="4"/>
      <c r="BO1223" s="4"/>
      <c r="BP1223" s="4"/>
      <c r="BQ1223" s="4"/>
      <c r="BR1223" s="4"/>
      <c r="BS1223" s="4"/>
      <c r="BT1223" s="4"/>
      <c r="BU1223" s="4"/>
    </row>
    <row r="1224" spans="29:73" s="1" customFormat="1" x14ac:dyDescent="0.25">
      <c r="AC1224" s="4"/>
      <c r="AD1224" s="4"/>
      <c r="AE1224" s="4"/>
      <c r="AF1224" s="4"/>
      <c r="AG1224" s="4"/>
      <c r="AH1224" s="4"/>
      <c r="AI1224" s="4"/>
      <c r="AJ1224" s="4"/>
      <c r="AK1224" s="4"/>
      <c r="AL1224" s="4"/>
      <c r="AM1224" s="4"/>
      <c r="AN1224" s="4"/>
      <c r="AO1224" s="4"/>
      <c r="AP1224" s="4"/>
      <c r="AQ1224" s="4"/>
      <c r="AR1224" s="4"/>
      <c r="AS1224" s="4"/>
      <c r="AT1224" s="4"/>
      <c r="AU1224" s="4"/>
      <c r="AV1224" s="4"/>
      <c r="AW1224" s="4"/>
      <c r="AX1224" s="4"/>
      <c r="AY1224" s="4"/>
      <c r="AZ1224" s="4"/>
      <c r="BA1224" s="4"/>
      <c r="BB1224" s="4"/>
      <c r="BC1224" s="4"/>
      <c r="BD1224" s="4"/>
      <c r="BE1224" s="4"/>
      <c r="BF1224" s="4"/>
      <c r="BG1224" s="4"/>
      <c r="BH1224" s="4"/>
      <c r="BI1224" s="4"/>
      <c r="BJ1224" s="4"/>
      <c r="BK1224" s="4"/>
      <c r="BL1224" s="4"/>
      <c r="BM1224" s="4"/>
      <c r="BN1224" s="4"/>
      <c r="BO1224" s="4"/>
      <c r="BP1224" s="4"/>
      <c r="BQ1224" s="4"/>
      <c r="BR1224" s="4"/>
      <c r="BS1224" s="4"/>
      <c r="BT1224" s="4"/>
      <c r="BU1224" s="4"/>
    </row>
    <row r="1225" spans="29:73" s="1" customFormat="1" x14ac:dyDescent="0.25">
      <c r="AC1225" s="4"/>
      <c r="AD1225" s="4"/>
      <c r="AE1225" s="4"/>
      <c r="AF1225" s="4"/>
      <c r="AG1225" s="4"/>
      <c r="AH1225" s="4"/>
      <c r="AI1225" s="4"/>
      <c r="AJ1225" s="4"/>
      <c r="AK1225" s="4"/>
      <c r="AL1225" s="4"/>
      <c r="AM1225" s="4"/>
      <c r="AN1225" s="4"/>
      <c r="AO1225" s="4"/>
      <c r="AP1225" s="4"/>
      <c r="AQ1225" s="4"/>
      <c r="AR1225" s="4"/>
      <c r="AS1225" s="4"/>
      <c r="AT1225" s="4"/>
      <c r="AU1225" s="4"/>
      <c r="AV1225" s="4"/>
      <c r="AW1225" s="4"/>
      <c r="AX1225" s="4"/>
      <c r="AY1225" s="4"/>
      <c r="AZ1225" s="4"/>
      <c r="BA1225" s="4"/>
      <c r="BB1225" s="4"/>
      <c r="BC1225" s="4"/>
      <c r="BD1225" s="4"/>
      <c r="BE1225" s="4"/>
      <c r="BF1225" s="4"/>
      <c r="BG1225" s="4"/>
      <c r="BH1225" s="4"/>
      <c r="BI1225" s="4"/>
      <c r="BJ1225" s="4"/>
      <c r="BK1225" s="4"/>
      <c r="BL1225" s="4"/>
      <c r="BM1225" s="4"/>
      <c r="BN1225" s="4"/>
      <c r="BO1225" s="4"/>
      <c r="BP1225" s="4"/>
      <c r="BQ1225" s="4"/>
      <c r="BR1225" s="4"/>
      <c r="BS1225" s="4"/>
      <c r="BT1225" s="4"/>
      <c r="BU1225" s="4"/>
    </row>
    <row r="1226" spans="29:73" s="1" customFormat="1" x14ac:dyDescent="0.25">
      <c r="AC1226" s="4"/>
      <c r="AD1226" s="4"/>
      <c r="AE1226" s="4"/>
      <c r="AF1226" s="4"/>
      <c r="AG1226" s="4"/>
      <c r="AH1226" s="4"/>
      <c r="AI1226" s="4"/>
      <c r="AJ1226" s="4"/>
      <c r="AK1226" s="4"/>
      <c r="AL1226" s="4"/>
      <c r="AM1226" s="4"/>
      <c r="AN1226" s="4"/>
      <c r="AO1226" s="4"/>
      <c r="AP1226" s="4"/>
      <c r="AQ1226" s="4"/>
      <c r="AR1226" s="4"/>
      <c r="AS1226" s="4"/>
      <c r="AT1226" s="4"/>
      <c r="AU1226" s="4"/>
      <c r="AV1226" s="4"/>
      <c r="AW1226" s="4"/>
      <c r="AX1226" s="4"/>
      <c r="AY1226" s="4"/>
      <c r="AZ1226" s="4"/>
      <c r="BA1226" s="4"/>
      <c r="BB1226" s="4"/>
      <c r="BC1226" s="4"/>
      <c r="BD1226" s="4"/>
      <c r="BE1226" s="4"/>
      <c r="BF1226" s="4"/>
      <c r="BG1226" s="4"/>
      <c r="BH1226" s="4"/>
      <c r="BI1226" s="4"/>
      <c r="BJ1226" s="4"/>
      <c r="BK1226" s="4"/>
      <c r="BL1226" s="4"/>
      <c r="BM1226" s="4"/>
      <c r="BN1226" s="4"/>
      <c r="BO1226" s="4"/>
      <c r="BP1226" s="4"/>
      <c r="BQ1226" s="4"/>
      <c r="BR1226" s="4"/>
      <c r="BS1226" s="4"/>
      <c r="BT1226" s="4"/>
      <c r="BU1226" s="4"/>
    </row>
    <row r="1227" spans="29:73" s="1" customFormat="1" x14ac:dyDescent="0.25">
      <c r="AC1227" s="4"/>
      <c r="AD1227" s="4"/>
      <c r="AE1227" s="4"/>
      <c r="AF1227" s="4"/>
      <c r="AG1227" s="4"/>
      <c r="AH1227" s="4"/>
      <c r="AI1227" s="4"/>
      <c r="AJ1227" s="4"/>
      <c r="AK1227" s="4"/>
      <c r="AL1227" s="4"/>
      <c r="AM1227" s="4"/>
      <c r="AN1227" s="4"/>
      <c r="AO1227" s="4"/>
      <c r="AP1227" s="4"/>
      <c r="AQ1227" s="4"/>
      <c r="AR1227" s="4"/>
      <c r="AS1227" s="4"/>
      <c r="AT1227" s="4"/>
      <c r="AU1227" s="4"/>
      <c r="AV1227" s="4"/>
      <c r="AW1227" s="4"/>
      <c r="AX1227" s="4"/>
      <c r="AY1227" s="4"/>
      <c r="AZ1227" s="4"/>
      <c r="BA1227" s="4"/>
      <c r="BB1227" s="4"/>
      <c r="BC1227" s="4"/>
      <c r="BD1227" s="4"/>
      <c r="BE1227" s="4"/>
      <c r="BF1227" s="4"/>
      <c r="BG1227" s="4"/>
      <c r="BH1227" s="4"/>
      <c r="BI1227" s="4"/>
      <c r="BJ1227" s="4"/>
      <c r="BK1227" s="4"/>
      <c r="BL1227" s="4"/>
      <c r="BM1227" s="4"/>
      <c r="BN1227" s="4"/>
      <c r="BO1227" s="4"/>
      <c r="BP1227" s="4"/>
      <c r="BQ1227" s="4"/>
      <c r="BR1227" s="4"/>
      <c r="BS1227" s="4"/>
      <c r="BT1227" s="4"/>
      <c r="BU1227" s="4"/>
    </row>
    <row r="1228" spans="29:73" s="1" customFormat="1" x14ac:dyDescent="0.25">
      <c r="AC1228" s="4"/>
      <c r="AD1228" s="4"/>
      <c r="AE1228" s="4"/>
      <c r="AF1228" s="4"/>
      <c r="AG1228" s="4"/>
      <c r="AH1228" s="4"/>
      <c r="AI1228" s="4"/>
      <c r="AJ1228" s="4"/>
      <c r="AK1228" s="4"/>
      <c r="AL1228" s="4"/>
      <c r="AM1228" s="4"/>
      <c r="AN1228" s="4"/>
      <c r="AO1228" s="4"/>
      <c r="AP1228" s="4"/>
      <c r="AQ1228" s="4"/>
      <c r="AR1228" s="4"/>
      <c r="AS1228" s="4"/>
      <c r="AT1228" s="4"/>
      <c r="AU1228" s="4"/>
      <c r="AV1228" s="4"/>
      <c r="AW1228" s="4"/>
      <c r="AX1228" s="4"/>
      <c r="AY1228" s="4"/>
      <c r="AZ1228" s="4"/>
      <c r="BA1228" s="4"/>
      <c r="BB1228" s="4"/>
      <c r="BC1228" s="4"/>
      <c r="BD1228" s="4"/>
      <c r="BE1228" s="4"/>
      <c r="BF1228" s="4"/>
      <c r="BG1228" s="4"/>
      <c r="BH1228" s="4"/>
      <c r="BI1228" s="4"/>
      <c r="BJ1228" s="4"/>
      <c r="BK1228" s="4"/>
      <c r="BL1228" s="4"/>
      <c r="BM1228" s="4"/>
      <c r="BN1228" s="4"/>
      <c r="BO1228" s="4"/>
      <c r="BP1228" s="4"/>
      <c r="BQ1228" s="4"/>
      <c r="BR1228" s="4"/>
      <c r="BS1228" s="4"/>
      <c r="BT1228" s="4"/>
      <c r="BU1228" s="4"/>
    </row>
    <row r="1229" spans="29:73" s="1" customFormat="1" x14ac:dyDescent="0.25">
      <c r="AC1229" s="4"/>
      <c r="AD1229" s="4"/>
      <c r="AE1229" s="4"/>
      <c r="AF1229" s="4"/>
      <c r="AG1229" s="4"/>
      <c r="AH1229" s="4"/>
      <c r="AI1229" s="4"/>
      <c r="AJ1229" s="4"/>
      <c r="AK1229" s="4"/>
      <c r="AL1229" s="4"/>
      <c r="AM1229" s="4"/>
      <c r="AN1229" s="4"/>
      <c r="AO1229" s="4"/>
      <c r="AP1229" s="4"/>
      <c r="AQ1229" s="4"/>
      <c r="AR1229" s="4"/>
      <c r="AS1229" s="4"/>
      <c r="AT1229" s="4"/>
      <c r="AU1229" s="4"/>
      <c r="AV1229" s="4"/>
      <c r="AW1229" s="4"/>
      <c r="AX1229" s="4"/>
      <c r="AY1229" s="4"/>
      <c r="AZ1229" s="4"/>
      <c r="BA1229" s="4"/>
      <c r="BB1229" s="4"/>
      <c r="BC1229" s="4"/>
      <c r="BD1229" s="4"/>
      <c r="BE1229" s="4"/>
      <c r="BF1229" s="4"/>
      <c r="BG1229" s="4"/>
      <c r="BH1229" s="4"/>
      <c r="BI1229" s="4"/>
      <c r="BJ1229" s="4"/>
      <c r="BK1229" s="4"/>
      <c r="BL1229" s="4"/>
      <c r="BM1229" s="4"/>
      <c r="BN1229" s="4"/>
      <c r="BO1229" s="4"/>
      <c r="BP1229" s="4"/>
      <c r="BQ1229" s="4"/>
      <c r="BR1229" s="4"/>
      <c r="BS1229" s="4"/>
      <c r="BT1229" s="4"/>
      <c r="BU1229" s="4"/>
    </row>
    <row r="1230" spans="29:73" s="1" customFormat="1" x14ac:dyDescent="0.25">
      <c r="AC1230" s="4"/>
      <c r="AD1230" s="4"/>
      <c r="AE1230" s="4"/>
      <c r="AF1230" s="4"/>
      <c r="AG1230" s="4"/>
      <c r="AH1230" s="4"/>
      <c r="AI1230" s="4"/>
      <c r="AJ1230" s="4"/>
      <c r="AK1230" s="4"/>
      <c r="AL1230" s="4"/>
      <c r="AM1230" s="4"/>
      <c r="AN1230" s="4"/>
      <c r="AO1230" s="4"/>
      <c r="AP1230" s="4"/>
      <c r="AQ1230" s="4"/>
      <c r="AR1230" s="4"/>
      <c r="AS1230" s="4"/>
      <c r="AT1230" s="4"/>
      <c r="AU1230" s="4"/>
      <c r="AV1230" s="4"/>
      <c r="AW1230" s="4"/>
      <c r="AX1230" s="4"/>
      <c r="AY1230" s="4"/>
      <c r="AZ1230" s="4"/>
      <c r="BA1230" s="4"/>
      <c r="BB1230" s="4"/>
      <c r="BC1230" s="4"/>
      <c r="BD1230" s="4"/>
      <c r="BE1230" s="4"/>
      <c r="BF1230" s="4"/>
      <c r="BG1230" s="4"/>
      <c r="BH1230" s="4"/>
      <c r="BI1230" s="4"/>
      <c r="BJ1230" s="4"/>
      <c r="BK1230" s="4"/>
      <c r="BL1230" s="4"/>
      <c r="BM1230" s="4"/>
      <c r="BN1230" s="4"/>
      <c r="BO1230" s="4"/>
      <c r="BP1230" s="4"/>
      <c r="BQ1230" s="4"/>
      <c r="BR1230" s="4"/>
      <c r="BS1230" s="4"/>
      <c r="BT1230" s="4"/>
      <c r="BU1230" s="4"/>
    </row>
    <row r="1231" spans="29:73" s="1" customFormat="1" x14ac:dyDescent="0.25">
      <c r="AC1231" s="4"/>
      <c r="AD1231" s="4"/>
      <c r="AE1231" s="4"/>
      <c r="AF1231" s="4"/>
      <c r="AG1231" s="4"/>
      <c r="AH1231" s="4"/>
      <c r="AI1231" s="4"/>
      <c r="AJ1231" s="4"/>
      <c r="AK1231" s="4"/>
      <c r="AL1231" s="4"/>
      <c r="AM1231" s="4"/>
      <c r="AN1231" s="4"/>
      <c r="AO1231" s="4"/>
      <c r="AP1231" s="4"/>
      <c r="AQ1231" s="4"/>
      <c r="AR1231" s="4"/>
      <c r="AS1231" s="4"/>
      <c r="AT1231" s="4"/>
      <c r="AU1231" s="4"/>
      <c r="AV1231" s="4"/>
      <c r="AW1231" s="4"/>
      <c r="AX1231" s="4"/>
      <c r="AY1231" s="4"/>
      <c r="AZ1231" s="4"/>
      <c r="BA1231" s="4"/>
      <c r="BB1231" s="4"/>
      <c r="BC1231" s="4"/>
      <c r="BD1231" s="4"/>
      <c r="BE1231" s="4"/>
      <c r="BF1231" s="4"/>
      <c r="BG1231" s="4"/>
      <c r="BH1231" s="4"/>
      <c r="BI1231" s="4"/>
      <c r="BJ1231" s="4"/>
      <c r="BK1231" s="4"/>
      <c r="BL1231" s="4"/>
      <c r="BM1231" s="4"/>
      <c r="BN1231" s="4"/>
      <c r="BO1231" s="4"/>
      <c r="BP1231" s="4"/>
      <c r="BQ1231" s="4"/>
      <c r="BR1231" s="4"/>
      <c r="BS1231" s="4"/>
      <c r="BT1231" s="4"/>
      <c r="BU1231" s="4"/>
    </row>
    <row r="1232" spans="29:73" s="1" customFormat="1" x14ac:dyDescent="0.25">
      <c r="AC1232" s="4"/>
      <c r="AD1232" s="4"/>
      <c r="AE1232" s="4"/>
      <c r="AF1232" s="4"/>
      <c r="AG1232" s="4"/>
      <c r="AH1232" s="4"/>
      <c r="AI1232" s="4"/>
      <c r="AJ1232" s="4"/>
      <c r="AK1232" s="4"/>
      <c r="AL1232" s="4"/>
      <c r="AM1232" s="4"/>
      <c r="AN1232" s="4"/>
      <c r="AO1232" s="4"/>
      <c r="AP1232" s="4"/>
      <c r="AQ1232" s="4"/>
      <c r="AR1232" s="4"/>
      <c r="AS1232" s="4"/>
      <c r="AT1232" s="4"/>
      <c r="AU1232" s="4"/>
      <c r="AV1232" s="4"/>
      <c r="AW1232" s="4"/>
      <c r="AX1232" s="4"/>
      <c r="AY1232" s="4"/>
      <c r="AZ1232" s="4"/>
      <c r="BA1232" s="4"/>
      <c r="BB1232" s="4"/>
      <c r="BC1232" s="4"/>
      <c r="BD1232" s="4"/>
      <c r="BE1232" s="4"/>
      <c r="BF1232" s="4"/>
      <c r="BG1232" s="4"/>
      <c r="BH1232" s="4"/>
      <c r="BI1232" s="4"/>
      <c r="BJ1232" s="4"/>
      <c r="BK1232" s="4"/>
      <c r="BL1232" s="4"/>
      <c r="BM1232" s="4"/>
      <c r="BN1232" s="4"/>
      <c r="BO1232" s="4"/>
      <c r="BP1232" s="4"/>
      <c r="BQ1232" s="4"/>
      <c r="BR1232" s="4"/>
      <c r="BS1232" s="4"/>
      <c r="BT1232" s="4"/>
      <c r="BU1232" s="4"/>
    </row>
    <row r="1233" spans="29:73" s="1" customFormat="1" x14ac:dyDescent="0.25">
      <c r="AC1233" s="4"/>
      <c r="AD1233" s="4"/>
      <c r="AE1233" s="4"/>
      <c r="AF1233" s="4"/>
      <c r="AG1233" s="4"/>
      <c r="AH1233" s="4"/>
      <c r="AI1233" s="4"/>
      <c r="AJ1233" s="4"/>
      <c r="AK1233" s="4"/>
      <c r="AL1233" s="4"/>
      <c r="AM1233" s="4"/>
      <c r="AN1233" s="4"/>
      <c r="AO1233" s="4"/>
      <c r="AP1233" s="4"/>
      <c r="AQ1233" s="4"/>
      <c r="AR1233" s="4"/>
      <c r="AS1233" s="4"/>
      <c r="AT1233" s="4"/>
      <c r="AU1233" s="4"/>
      <c r="AV1233" s="4"/>
      <c r="AW1233" s="4"/>
      <c r="AX1233" s="4"/>
      <c r="AY1233" s="4"/>
      <c r="AZ1233" s="4"/>
      <c r="BA1233" s="4"/>
      <c r="BB1233" s="4"/>
      <c r="BC1233" s="4"/>
      <c r="BD1233" s="4"/>
      <c r="BE1233" s="4"/>
      <c r="BF1233" s="4"/>
      <c r="BG1233" s="4"/>
      <c r="BH1233" s="4"/>
      <c r="BI1233" s="4"/>
      <c r="BJ1233" s="4"/>
      <c r="BK1233" s="4"/>
      <c r="BL1233" s="4"/>
      <c r="BM1233" s="4"/>
      <c r="BN1233" s="4"/>
      <c r="BO1233" s="4"/>
      <c r="BP1233" s="4"/>
      <c r="BQ1233" s="4"/>
      <c r="BR1233" s="4"/>
      <c r="BS1233" s="4"/>
      <c r="BT1233" s="4"/>
      <c r="BU1233" s="4"/>
    </row>
    <row r="1234" spans="29:73" s="1" customFormat="1" x14ac:dyDescent="0.25">
      <c r="AC1234" s="4"/>
      <c r="AD1234" s="4"/>
      <c r="AE1234" s="4"/>
      <c r="AF1234" s="4"/>
      <c r="AG1234" s="4"/>
      <c r="AH1234" s="4"/>
      <c r="AI1234" s="4"/>
      <c r="AJ1234" s="4"/>
      <c r="AK1234" s="4"/>
      <c r="AL1234" s="4"/>
      <c r="AM1234" s="4"/>
      <c r="AN1234" s="4"/>
      <c r="AO1234" s="4"/>
      <c r="AP1234" s="4"/>
      <c r="AQ1234" s="4"/>
      <c r="AR1234" s="4"/>
      <c r="AS1234" s="4"/>
      <c r="AT1234" s="4"/>
      <c r="AU1234" s="4"/>
      <c r="AV1234" s="4"/>
      <c r="AW1234" s="4"/>
      <c r="AX1234" s="4"/>
      <c r="AY1234" s="4"/>
      <c r="AZ1234" s="4"/>
      <c r="BA1234" s="4"/>
      <c r="BB1234" s="4"/>
      <c r="BC1234" s="4"/>
      <c r="BD1234" s="4"/>
      <c r="BE1234" s="4"/>
      <c r="BF1234" s="4"/>
      <c r="BG1234" s="4"/>
      <c r="BH1234" s="4"/>
      <c r="BI1234" s="4"/>
      <c r="BJ1234" s="4"/>
      <c r="BK1234" s="4"/>
      <c r="BL1234" s="4"/>
      <c r="BM1234" s="4"/>
      <c r="BN1234" s="4"/>
      <c r="BO1234" s="4"/>
      <c r="BP1234" s="4"/>
      <c r="BQ1234" s="4"/>
      <c r="BR1234" s="4"/>
      <c r="BS1234" s="4"/>
      <c r="BT1234" s="4"/>
      <c r="BU1234" s="4"/>
    </row>
    <row r="1235" spans="29:73" s="1" customFormat="1" x14ac:dyDescent="0.25">
      <c r="AC1235" s="4"/>
      <c r="AD1235" s="4"/>
      <c r="AE1235" s="4"/>
      <c r="AF1235" s="4"/>
      <c r="AG1235" s="4"/>
      <c r="AH1235" s="4"/>
      <c r="AI1235" s="4"/>
      <c r="AJ1235" s="4"/>
      <c r="AK1235" s="4"/>
      <c r="AL1235" s="4"/>
      <c r="AM1235" s="4"/>
      <c r="AN1235" s="4"/>
      <c r="AO1235" s="4"/>
      <c r="AP1235" s="4"/>
      <c r="AQ1235" s="4"/>
      <c r="AR1235" s="4"/>
      <c r="AS1235" s="4"/>
      <c r="AT1235" s="4"/>
      <c r="AU1235" s="4"/>
      <c r="AV1235" s="4"/>
      <c r="AW1235" s="4"/>
      <c r="AX1235" s="4"/>
      <c r="AY1235" s="4"/>
      <c r="AZ1235" s="4"/>
      <c r="BA1235" s="4"/>
      <c r="BB1235" s="4"/>
      <c r="BC1235" s="4"/>
      <c r="BD1235" s="4"/>
      <c r="BE1235" s="4"/>
      <c r="BF1235" s="4"/>
      <c r="BG1235" s="4"/>
      <c r="BH1235" s="4"/>
      <c r="BI1235" s="4"/>
      <c r="BJ1235" s="4"/>
      <c r="BK1235" s="4"/>
      <c r="BL1235" s="4"/>
      <c r="BM1235" s="4"/>
      <c r="BN1235" s="4"/>
      <c r="BO1235" s="4"/>
      <c r="BP1235" s="4"/>
      <c r="BQ1235" s="4"/>
      <c r="BR1235" s="4"/>
      <c r="BS1235" s="4"/>
      <c r="BT1235" s="4"/>
      <c r="BU1235" s="4"/>
    </row>
    <row r="1236" spans="29:73" s="1" customFormat="1" x14ac:dyDescent="0.25">
      <c r="AC1236" s="4"/>
      <c r="AD1236" s="4"/>
      <c r="AE1236" s="4"/>
      <c r="AF1236" s="4"/>
      <c r="AG1236" s="4"/>
      <c r="AH1236" s="4"/>
      <c r="AI1236" s="4"/>
      <c r="AJ1236" s="4"/>
      <c r="AK1236" s="4"/>
      <c r="AL1236" s="4"/>
      <c r="AM1236" s="4"/>
      <c r="AN1236" s="4"/>
      <c r="AO1236" s="4"/>
      <c r="AP1236" s="4"/>
      <c r="AQ1236" s="4"/>
      <c r="AR1236" s="4"/>
      <c r="AS1236" s="4"/>
      <c r="AT1236" s="4"/>
      <c r="AU1236" s="4"/>
      <c r="AV1236" s="4"/>
      <c r="AW1236" s="4"/>
      <c r="AX1236" s="4"/>
      <c r="AY1236" s="4"/>
      <c r="AZ1236" s="4"/>
      <c r="BA1236" s="4"/>
      <c r="BB1236" s="4"/>
      <c r="BC1236" s="4"/>
      <c r="BD1236" s="4"/>
      <c r="BE1236" s="4"/>
      <c r="BF1236" s="4"/>
      <c r="BG1236" s="4"/>
      <c r="BH1236" s="4"/>
      <c r="BI1236" s="4"/>
      <c r="BJ1236" s="4"/>
      <c r="BK1236" s="4"/>
      <c r="BL1236" s="4"/>
      <c r="BM1236" s="4"/>
      <c r="BN1236" s="4"/>
      <c r="BO1236" s="4"/>
      <c r="BP1236" s="4"/>
      <c r="BQ1236" s="4"/>
      <c r="BR1236" s="4"/>
      <c r="BS1236" s="4"/>
      <c r="BT1236" s="4"/>
      <c r="BU1236" s="4"/>
    </row>
    <row r="1237" spans="29:73" s="1" customFormat="1" x14ac:dyDescent="0.25">
      <c r="AC1237" s="4"/>
      <c r="AD1237" s="4"/>
      <c r="AE1237" s="4"/>
      <c r="AF1237" s="4"/>
      <c r="AG1237" s="4"/>
      <c r="AH1237" s="4"/>
      <c r="AI1237" s="4"/>
      <c r="AJ1237" s="4"/>
      <c r="AK1237" s="4"/>
      <c r="AL1237" s="4"/>
      <c r="AM1237" s="4"/>
      <c r="AN1237" s="4"/>
      <c r="AO1237" s="4"/>
      <c r="AP1237" s="4"/>
      <c r="AQ1237" s="4"/>
      <c r="AR1237" s="4"/>
      <c r="AS1237" s="4"/>
      <c r="AT1237" s="4"/>
      <c r="AU1237" s="4"/>
      <c r="AV1237" s="4"/>
      <c r="AW1237" s="4"/>
      <c r="AX1237" s="4"/>
      <c r="AY1237" s="4"/>
      <c r="AZ1237" s="4"/>
      <c r="BA1237" s="4"/>
      <c r="BB1237" s="4"/>
      <c r="BC1237" s="4"/>
      <c r="BD1237" s="4"/>
      <c r="BE1237" s="4"/>
      <c r="BF1237" s="4"/>
      <c r="BG1237" s="4"/>
      <c r="BH1237" s="4"/>
      <c r="BI1237" s="4"/>
      <c r="BJ1237" s="4"/>
      <c r="BK1237" s="4"/>
      <c r="BL1237" s="4"/>
      <c r="BM1237" s="4"/>
      <c r="BN1237" s="4"/>
      <c r="BO1237" s="4"/>
      <c r="BP1237" s="4"/>
      <c r="BQ1237" s="4"/>
      <c r="BR1237" s="4"/>
      <c r="BS1237" s="4"/>
      <c r="BT1237" s="4"/>
      <c r="BU1237" s="4"/>
    </row>
    <row r="1238" spans="29:73" s="1" customFormat="1" x14ac:dyDescent="0.25">
      <c r="AC1238" s="4"/>
      <c r="AD1238" s="4"/>
      <c r="AE1238" s="4"/>
      <c r="AF1238" s="4"/>
      <c r="AG1238" s="4"/>
      <c r="AH1238" s="4"/>
      <c r="AI1238" s="4"/>
      <c r="AJ1238" s="4"/>
      <c r="AK1238" s="4"/>
      <c r="AL1238" s="4"/>
      <c r="AM1238" s="4"/>
      <c r="AN1238" s="4"/>
      <c r="AO1238" s="4"/>
      <c r="AP1238" s="4"/>
      <c r="AQ1238" s="4"/>
      <c r="AR1238" s="4"/>
      <c r="AS1238" s="4"/>
      <c r="AT1238" s="4"/>
      <c r="AU1238" s="4"/>
      <c r="AV1238" s="4"/>
      <c r="AW1238" s="4"/>
      <c r="AX1238" s="4"/>
      <c r="AY1238" s="4"/>
      <c r="AZ1238" s="4"/>
      <c r="BA1238" s="4"/>
      <c r="BB1238" s="4"/>
      <c r="BC1238" s="4"/>
      <c r="BD1238" s="4"/>
      <c r="BE1238" s="4"/>
      <c r="BF1238" s="4"/>
      <c r="BG1238" s="4"/>
      <c r="BH1238" s="4"/>
      <c r="BI1238" s="4"/>
      <c r="BJ1238" s="4"/>
      <c r="BK1238" s="4"/>
      <c r="BL1238" s="4"/>
      <c r="BM1238" s="4"/>
      <c r="BN1238" s="4"/>
      <c r="BO1238" s="4"/>
      <c r="BP1238" s="4"/>
      <c r="BQ1238" s="4"/>
      <c r="BR1238" s="4"/>
      <c r="BS1238" s="4"/>
      <c r="BT1238" s="4"/>
      <c r="BU1238" s="4"/>
    </row>
    <row r="1239" spans="29:73" s="1" customFormat="1" x14ac:dyDescent="0.25">
      <c r="AC1239" s="4"/>
      <c r="AD1239" s="4"/>
      <c r="AE1239" s="4"/>
      <c r="AF1239" s="4"/>
      <c r="AG1239" s="4"/>
      <c r="AH1239" s="4"/>
      <c r="AI1239" s="4"/>
      <c r="AJ1239" s="4"/>
      <c r="AK1239" s="4"/>
      <c r="AL1239" s="4"/>
      <c r="AM1239" s="4"/>
      <c r="AN1239" s="4"/>
      <c r="AO1239" s="4"/>
      <c r="AP1239" s="4"/>
      <c r="AQ1239" s="4"/>
      <c r="AR1239" s="4"/>
      <c r="AS1239" s="4"/>
      <c r="AT1239" s="4"/>
      <c r="AU1239" s="4"/>
      <c r="AV1239" s="4"/>
      <c r="AW1239" s="4"/>
      <c r="AX1239" s="4"/>
      <c r="AY1239" s="4"/>
      <c r="AZ1239" s="4"/>
      <c r="BA1239" s="4"/>
      <c r="BB1239" s="4"/>
      <c r="BC1239" s="4"/>
      <c r="BD1239" s="4"/>
      <c r="BE1239" s="4"/>
      <c r="BF1239" s="4"/>
      <c r="BG1239" s="4"/>
      <c r="BH1239" s="4"/>
      <c r="BI1239" s="4"/>
      <c r="BJ1239" s="4"/>
      <c r="BK1239" s="4"/>
      <c r="BL1239" s="4"/>
      <c r="BM1239" s="4"/>
      <c r="BN1239" s="4"/>
      <c r="BO1239" s="4"/>
      <c r="BP1239" s="4"/>
      <c r="BQ1239" s="4"/>
      <c r="BR1239" s="4"/>
      <c r="BS1239" s="4"/>
      <c r="BT1239" s="4"/>
      <c r="BU1239" s="4"/>
    </row>
    <row r="1240" spans="29:73" s="1" customFormat="1" x14ac:dyDescent="0.25">
      <c r="AC1240" s="4"/>
      <c r="AD1240" s="4"/>
      <c r="AE1240" s="4"/>
      <c r="AF1240" s="4"/>
      <c r="AG1240" s="4"/>
      <c r="AH1240" s="4"/>
      <c r="AI1240" s="4"/>
      <c r="AJ1240" s="4"/>
      <c r="AK1240" s="4"/>
      <c r="AL1240" s="4"/>
      <c r="AM1240" s="4"/>
      <c r="AN1240" s="4"/>
      <c r="AO1240" s="4"/>
      <c r="AP1240" s="4"/>
      <c r="AQ1240" s="4"/>
      <c r="AR1240" s="4"/>
      <c r="AS1240" s="4"/>
      <c r="AT1240" s="4"/>
      <c r="AU1240" s="4"/>
      <c r="AV1240" s="4"/>
      <c r="AW1240" s="4"/>
      <c r="AX1240" s="4"/>
      <c r="AY1240" s="4"/>
      <c r="AZ1240" s="4"/>
      <c r="BA1240" s="4"/>
      <c r="BB1240" s="4"/>
      <c r="BC1240" s="4"/>
      <c r="BD1240" s="4"/>
      <c r="BE1240" s="4"/>
      <c r="BF1240" s="4"/>
      <c r="BG1240" s="4"/>
      <c r="BH1240" s="4"/>
      <c r="BI1240" s="4"/>
      <c r="BJ1240" s="4"/>
      <c r="BK1240" s="4"/>
      <c r="BL1240" s="4"/>
      <c r="BM1240" s="4"/>
      <c r="BN1240" s="4"/>
      <c r="BO1240" s="4"/>
      <c r="BP1240" s="4"/>
      <c r="BQ1240" s="4"/>
      <c r="BR1240" s="4"/>
      <c r="BS1240" s="4"/>
      <c r="BT1240" s="4"/>
      <c r="BU1240" s="4"/>
    </row>
    <row r="1241" spans="29:73" s="1" customFormat="1" x14ac:dyDescent="0.25">
      <c r="AC1241" s="4"/>
      <c r="AD1241" s="4"/>
      <c r="AE1241" s="4"/>
      <c r="AF1241" s="4"/>
      <c r="AG1241" s="4"/>
      <c r="AH1241" s="4"/>
      <c r="AI1241" s="4"/>
      <c r="AJ1241" s="4"/>
      <c r="AK1241" s="4"/>
      <c r="AL1241" s="4"/>
      <c r="AM1241" s="4"/>
      <c r="AN1241" s="4"/>
      <c r="AO1241" s="4"/>
      <c r="AP1241" s="4"/>
      <c r="AQ1241" s="4"/>
      <c r="AR1241" s="4"/>
      <c r="AS1241" s="4"/>
      <c r="AT1241" s="4"/>
      <c r="AU1241" s="4"/>
      <c r="AV1241" s="4"/>
      <c r="AW1241" s="4"/>
      <c r="AX1241" s="4"/>
      <c r="AY1241" s="4"/>
      <c r="AZ1241" s="4"/>
      <c r="BA1241" s="4"/>
      <c r="BB1241" s="4"/>
      <c r="BC1241" s="4"/>
      <c r="BD1241" s="4"/>
      <c r="BE1241" s="4"/>
      <c r="BF1241" s="4"/>
      <c r="BG1241" s="4"/>
      <c r="BH1241" s="4"/>
      <c r="BI1241" s="4"/>
      <c r="BJ1241" s="4"/>
      <c r="BK1241" s="4"/>
      <c r="BL1241" s="4"/>
      <c r="BM1241" s="4"/>
      <c r="BN1241" s="4"/>
      <c r="BO1241" s="4"/>
      <c r="BP1241" s="4"/>
      <c r="BQ1241" s="4"/>
      <c r="BR1241" s="4"/>
      <c r="BS1241" s="4"/>
      <c r="BT1241" s="4"/>
      <c r="BU1241" s="4"/>
    </row>
    <row r="1242" spans="29:73" s="1" customFormat="1" x14ac:dyDescent="0.25">
      <c r="AC1242" s="4"/>
      <c r="AD1242" s="4"/>
      <c r="AE1242" s="4"/>
      <c r="AF1242" s="4"/>
      <c r="AG1242" s="4"/>
      <c r="AH1242" s="4"/>
      <c r="AI1242" s="4"/>
      <c r="AJ1242" s="4"/>
      <c r="AK1242" s="4"/>
      <c r="AL1242" s="4"/>
      <c r="AM1242" s="4"/>
      <c r="AN1242" s="4"/>
      <c r="AO1242" s="4"/>
      <c r="AP1242" s="4"/>
      <c r="AQ1242" s="4"/>
      <c r="AR1242" s="4"/>
      <c r="AS1242" s="4"/>
      <c r="AT1242" s="4"/>
      <c r="AU1242" s="4"/>
      <c r="AV1242" s="4"/>
      <c r="AW1242" s="4"/>
      <c r="AX1242" s="4"/>
      <c r="AY1242" s="4"/>
      <c r="AZ1242" s="4"/>
      <c r="BA1242" s="4"/>
      <c r="BB1242" s="4"/>
      <c r="BC1242" s="4"/>
      <c r="BD1242" s="4"/>
      <c r="BE1242" s="4"/>
      <c r="BF1242" s="4"/>
      <c r="BG1242" s="4"/>
      <c r="BH1242" s="4"/>
      <c r="BI1242" s="4"/>
      <c r="BJ1242" s="4"/>
      <c r="BK1242" s="4"/>
      <c r="BL1242" s="4"/>
      <c r="BM1242" s="4"/>
      <c r="BN1242" s="4"/>
      <c r="BO1242" s="4"/>
      <c r="BP1242" s="4"/>
      <c r="BQ1242" s="4"/>
      <c r="BR1242" s="4"/>
      <c r="BS1242" s="4"/>
      <c r="BT1242" s="4"/>
      <c r="BU1242" s="4"/>
    </row>
    <row r="1243" spans="29:73" s="1" customFormat="1" x14ac:dyDescent="0.25">
      <c r="AC1243" s="4"/>
      <c r="AD1243" s="4"/>
      <c r="AE1243" s="4"/>
      <c r="AF1243" s="4"/>
      <c r="AG1243" s="4"/>
      <c r="AH1243" s="4"/>
      <c r="AI1243" s="4"/>
      <c r="AJ1243" s="4"/>
      <c r="AK1243" s="4"/>
      <c r="AL1243" s="4"/>
      <c r="AM1243" s="4"/>
      <c r="AN1243" s="4"/>
      <c r="AO1243" s="4"/>
      <c r="AP1243" s="4"/>
      <c r="AQ1243" s="4"/>
      <c r="AR1243" s="4"/>
      <c r="AS1243" s="4"/>
      <c r="AT1243" s="4"/>
      <c r="AU1243" s="4"/>
      <c r="AV1243" s="4"/>
      <c r="AW1243" s="4"/>
      <c r="AX1243" s="4"/>
      <c r="AY1243" s="4"/>
      <c r="AZ1243" s="4"/>
      <c r="BA1243" s="4"/>
      <c r="BB1243" s="4"/>
      <c r="BC1243" s="4"/>
      <c r="BD1243" s="4"/>
      <c r="BE1243" s="4"/>
      <c r="BF1243" s="4"/>
      <c r="BG1243" s="4"/>
      <c r="BH1243" s="4"/>
      <c r="BI1243" s="4"/>
      <c r="BJ1243" s="4"/>
      <c r="BK1243" s="4"/>
      <c r="BL1243" s="4"/>
      <c r="BM1243" s="4"/>
      <c r="BN1243" s="4"/>
      <c r="BO1243" s="4"/>
      <c r="BP1243" s="4"/>
      <c r="BQ1243" s="4"/>
      <c r="BR1243" s="4"/>
      <c r="BS1243" s="4"/>
      <c r="BT1243" s="4"/>
      <c r="BU1243" s="4"/>
    </row>
    <row r="1244" spans="29:73" s="1" customFormat="1" x14ac:dyDescent="0.25">
      <c r="AC1244" s="4"/>
      <c r="AD1244" s="4"/>
      <c r="AE1244" s="4"/>
      <c r="AF1244" s="4"/>
      <c r="AG1244" s="4"/>
      <c r="AH1244" s="4"/>
      <c r="AI1244" s="4"/>
      <c r="AJ1244" s="4"/>
      <c r="AK1244" s="4"/>
      <c r="AL1244" s="4"/>
      <c r="AM1244" s="4"/>
      <c r="AN1244" s="4"/>
      <c r="AO1244" s="4"/>
      <c r="AP1244" s="4"/>
      <c r="AQ1244" s="4"/>
      <c r="AR1244" s="4"/>
      <c r="AS1244" s="4"/>
      <c r="AT1244" s="4"/>
      <c r="AU1244" s="4"/>
      <c r="AV1244" s="4"/>
      <c r="AW1244" s="4"/>
      <c r="AX1244" s="4"/>
      <c r="AY1244" s="4"/>
      <c r="AZ1244" s="4"/>
      <c r="BA1244" s="4"/>
      <c r="BB1244" s="4"/>
      <c r="BC1244" s="4"/>
      <c r="BD1244" s="4"/>
      <c r="BE1244" s="4"/>
      <c r="BF1244" s="4"/>
      <c r="BG1244" s="4"/>
      <c r="BH1244" s="4"/>
      <c r="BI1244" s="4"/>
      <c r="BJ1244" s="4"/>
      <c r="BK1244" s="4"/>
      <c r="BL1244" s="4"/>
      <c r="BM1244" s="4"/>
      <c r="BN1244" s="4"/>
      <c r="BO1244" s="4"/>
      <c r="BP1244" s="4"/>
      <c r="BQ1244" s="4"/>
      <c r="BR1244" s="4"/>
      <c r="BS1244" s="4"/>
      <c r="BT1244" s="4"/>
      <c r="BU1244" s="4"/>
    </row>
    <row r="1245" spans="29:73" s="1" customFormat="1" x14ac:dyDescent="0.25">
      <c r="AC1245" s="4"/>
      <c r="AD1245" s="4"/>
      <c r="AE1245" s="4"/>
      <c r="AF1245" s="4"/>
      <c r="AG1245" s="4"/>
      <c r="AH1245" s="4"/>
      <c r="AI1245" s="4"/>
      <c r="AJ1245" s="4"/>
      <c r="AK1245" s="4"/>
      <c r="AL1245" s="4"/>
      <c r="AM1245" s="4"/>
      <c r="AN1245" s="4"/>
      <c r="AO1245" s="4"/>
      <c r="AP1245" s="4"/>
      <c r="AQ1245" s="4"/>
      <c r="AR1245" s="4"/>
      <c r="AS1245" s="4"/>
      <c r="AT1245" s="4"/>
      <c r="AU1245" s="4"/>
      <c r="AV1245" s="4"/>
      <c r="AW1245" s="4"/>
      <c r="AX1245" s="4"/>
      <c r="AY1245" s="4"/>
      <c r="AZ1245" s="4"/>
      <c r="BA1245" s="4"/>
      <c r="BB1245" s="4"/>
      <c r="BC1245" s="4"/>
      <c r="BD1245" s="4"/>
      <c r="BE1245" s="4"/>
      <c r="BF1245" s="4"/>
      <c r="BG1245" s="4"/>
      <c r="BH1245" s="4"/>
      <c r="BI1245" s="4"/>
      <c r="BJ1245" s="4"/>
      <c r="BK1245" s="4"/>
      <c r="BL1245" s="4"/>
      <c r="BM1245" s="4"/>
      <c r="BN1245" s="4"/>
      <c r="BO1245" s="4"/>
      <c r="BP1245" s="4"/>
      <c r="BQ1245" s="4"/>
      <c r="BR1245" s="4"/>
      <c r="BS1245" s="4"/>
      <c r="BT1245" s="4"/>
      <c r="BU1245" s="4"/>
    </row>
    <row r="1246" spans="29:73" s="1" customFormat="1" x14ac:dyDescent="0.25">
      <c r="AC1246" s="4"/>
      <c r="AD1246" s="4"/>
      <c r="AE1246" s="4"/>
      <c r="AF1246" s="4"/>
      <c r="AG1246" s="4"/>
      <c r="AH1246" s="4"/>
      <c r="AI1246" s="4"/>
      <c r="AJ1246" s="4"/>
      <c r="AK1246" s="4"/>
      <c r="AL1246" s="4"/>
      <c r="AM1246" s="4"/>
      <c r="AN1246" s="4"/>
      <c r="AO1246" s="4"/>
      <c r="AP1246" s="4"/>
      <c r="AQ1246" s="4"/>
      <c r="AR1246" s="4"/>
      <c r="AS1246" s="4"/>
      <c r="AT1246" s="4"/>
      <c r="AU1246" s="4"/>
      <c r="AV1246" s="4"/>
      <c r="AW1246" s="4"/>
      <c r="AX1246" s="4"/>
      <c r="AY1246" s="4"/>
      <c r="AZ1246" s="4"/>
      <c r="BA1246" s="4"/>
      <c r="BB1246" s="4"/>
      <c r="BC1246" s="4"/>
      <c r="BD1246" s="4"/>
      <c r="BE1246" s="4"/>
      <c r="BF1246" s="4"/>
      <c r="BG1246" s="4"/>
      <c r="BH1246" s="4"/>
      <c r="BI1246" s="4"/>
      <c r="BJ1246" s="4"/>
      <c r="BK1246" s="4"/>
      <c r="BL1246" s="4"/>
      <c r="BM1246" s="4"/>
      <c r="BN1246" s="4"/>
      <c r="BO1246" s="4"/>
      <c r="BP1246" s="4"/>
      <c r="BQ1246" s="4"/>
      <c r="BR1246" s="4"/>
      <c r="BS1246" s="4"/>
      <c r="BT1246" s="4"/>
      <c r="BU1246" s="4"/>
    </row>
    <row r="1247" spans="29:73" s="1" customFormat="1" x14ac:dyDescent="0.25">
      <c r="AC1247" s="4"/>
      <c r="AD1247" s="4"/>
      <c r="AE1247" s="4"/>
      <c r="AF1247" s="4"/>
      <c r="AG1247" s="4"/>
      <c r="AH1247" s="4"/>
      <c r="AI1247" s="4"/>
      <c r="AJ1247" s="4"/>
      <c r="AK1247" s="4"/>
      <c r="AL1247" s="4"/>
      <c r="AM1247" s="4"/>
      <c r="AN1247" s="4"/>
      <c r="AO1247" s="4"/>
      <c r="AP1247" s="4"/>
      <c r="AQ1247" s="4"/>
      <c r="AR1247" s="4"/>
      <c r="AS1247" s="4"/>
      <c r="AT1247" s="4"/>
      <c r="AU1247" s="4"/>
      <c r="AV1247" s="4"/>
      <c r="AW1247" s="4"/>
      <c r="AX1247" s="4"/>
      <c r="AY1247" s="4"/>
      <c r="AZ1247" s="4"/>
      <c r="BA1247" s="4"/>
      <c r="BB1247" s="4"/>
      <c r="BC1247" s="4"/>
      <c r="BD1247" s="4"/>
      <c r="BE1247" s="4"/>
      <c r="BF1247" s="4"/>
      <c r="BG1247" s="4"/>
      <c r="BH1247" s="4"/>
      <c r="BI1247" s="4"/>
      <c r="BJ1247" s="4"/>
      <c r="BK1247" s="4"/>
      <c r="BL1247" s="4"/>
      <c r="BM1247" s="4"/>
      <c r="BN1247" s="4"/>
      <c r="BO1247" s="4"/>
      <c r="BP1247" s="4"/>
      <c r="BQ1247" s="4"/>
      <c r="BR1247" s="4"/>
      <c r="BS1247" s="4"/>
      <c r="BT1247" s="4"/>
      <c r="BU1247" s="4"/>
    </row>
    <row r="1248" spans="29:73" s="1" customFormat="1" x14ac:dyDescent="0.25">
      <c r="AC1248" s="4"/>
      <c r="AD1248" s="4"/>
      <c r="AE1248" s="4"/>
      <c r="AF1248" s="4"/>
      <c r="AG1248" s="4"/>
      <c r="AH1248" s="4"/>
      <c r="AI1248" s="4"/>
      <c r="AJ1248" s="4"/>
      <c r="AK1248" s="4"/>
      <c r="AL1248" s="4"/>
      <c r="AM1248" s="4"/>
      <c r="AN1248" s="4"/>
      <c r="AO1248" s="4"/>
      <c r="AP1248" s="4"/>
      <c r="AQ1248" s="4"/>
      <c r="AR1248" s="4"/>
      <c r="AS1248" s="4"/>
      <c r="AT1248" s="4"/>
      <c r="AU1248" s="4"/>
      <c r="AV1248" s="4"/>
      <c r="AW1248" s="4"/>
      <c r="AX1248" s="4"/>
      <c r="AY1248" s="4"/>
      <c r="AZ1248" s="4"/>
      <c r="BA1248" s="4"/>
      <c r="BB1248" s="4"/>
      <c r="BC1248" s="4"/>
      <c r="BD1248" s="4"/>
      <c r="BE1248" s="4"/>
      <c r="BF1248" s="4"/>
      <c r="BG1248" s="4"/>
      <c r="BH1248" s="4"/>
      <c r="BI1248" s="4"/>
      <c r="BJ1248" s="4"/>
      <c r="BK1248" s="4"/>
      <c r="BL1248" s="4"/>
      <c r="BM1248" s="4"/>
      <c r="BN1248" s="4"/>
      <c r="BO1248" s="4"/>
      <c r="BP1248" s="4"/>
      <c r="BQ1248" s="4"/>
      <c r="BR1248" s="4"/>
      <c r="BS1248" s="4"/>
      <c r="BT1248" s="4"/>
      <c r="BU1248" s="4"/>
    </row>
    <row r="1249" spans="29:73" s="1" customFormat="1" x14ac:dyDescent="0.25">
      <c r="AC1249" s="4"/>
      <c r="AD1249" s="4"/>
      <c r="AE1249" s="4"/>
      <c r="AF1249" s="4"/>
      <c r="AG1249" s="4"/>
      <c r="AH1249" s="4"/>
      <c r="AI1249" s="4"/>
      <c r="AJ1249" s="4"/>
      <c r="AK1249" s="4"/>
      <c r="AL1249" s="4"/>
      <c r="AM1249" s="4"/>
      <c r="AN1249" s="4"/>
      <c r="AO1249" s="4"/>
      <c r="AP1249" s="4"/>
      <c r="AQ1249" s="4"/>
      <c r="AR1249" s="4"/>
      <c r="AS1249" s="4"/>
      <c r="AT1249" s="4"/>
      <c r="AU1249" s="4"/>
      <c r="AV1249" s="4"/>
      <c r="AW1249" s="4"/>
      <c r="AX1249" s="4"/>
      <c r="AY1249" s="4"/>
      <c r="AZ1249" s="4"/>
      <c r="BA1249" s="4"/>
      <c r="BB1249" s="4"/>
      <c r="BC1249" s="4"/>
      <c r="BD1249" s="4"/>
      <c r="BE1249" s="4"/>
      <c r="BF1249" s="4"/>
      <c r="BG1249" s="4"/>
      <c r="BH1249" s="4"/>
      <c r="BI1249" s="4"/>
      <c r="BJ1249" s="4"/>
      <c r="BK1249" s="4"/>
      <c r="BL1249" s="4"/>
      <c r="BM1249" s="4"/>
      <c r="BN1249" s="4"/>
      <c r="BO1249" s="4"/>
      <c r="BP1249" s="4"/>
      <c r="BQ1249" s="4"/>
      <c r="BR1249" s="4"/>
      <c r="BS1249" s="4"/>
      <c r="BT1249" s="4"/>
      <c r="BU1249" s="4"/>
    </row>
    <row r="1250" spans="29:73" s="1" customFormat="1" x14ac:dyDescent="0.25">
      <c r="AC1250" s="4"/>
      <c r="AD1250" s="4"/>
      <c r="AE1250" s="4"/>
      <c r="AF1250" s="4"/>
      <c r="AG1250" s="4"/>
      <c r="AH1250" s="4"/>
      <c r="AI1250" s="4"/>
      <c r="AJ1250" s="4"/>
      <c r="AK1250" s="4"/>
      <c r="AL1250" s="4"/>
      <c r="AM1250" s="4"/>
      <c r="AN1250" s="4"/>
      <c r="AO1250" s="4"/>
      <c r="AP1250" s="4"/>
      <c r="AQ1250" s="4"/>
      <c r="AR1250" s="4"/>
      <c r="AS1250" s="4"/>
      <c r="AT1250" s="4"/>
      <c r="AU1250" s="4"/>
      <c r="AV1250" s="4"/>
      <c r="AW1250" s="4"/>
      <c r="AX1250" s="4"/>
      <c r="AY1250" s="4"/>
      <c r="AZ1250" s="4"/>
      <c r="BA1250" s="4"/>
      <c r="BB1250" s="4"/>
      <c r="BC1250" s="4"/>
      <c r="BD1250" s="4"/>
      <c r="BE1250" s="4"/>
      <c r="BF1250" s="4"/>
      <c r="BG1250" s="4"/>
      <c r="BH1250" s="4"/>
      <c r="BI1250" s="4"/>
      <c r="BJ1250" s="4"/>
      <c r="BK1250" s="4"/>
      <c r="BL1250" s="4"/>
      <c r="BM1250" s="4"/>
      <c r="BN1250" s="4"/>
      <c r="BO1250" s="4"/>
      <c r="BP1250" s="4"/>
      <c r="BQ1250" s="4"/>
      <c r="BR1250" s="4"/>
      <c r="BS1250" s="4"/>
      <c r="BT1250" s="4"/>
      <c r="BU1250" s="4"/>
    </row>
    <row r="1251" spans="29:73" s="1" customFormat="1" x14ac:dyDescent="0.25">
      <c r="AC1251" s="4"/>
      <c r="AD1251" s="4"/>
      <c r="AE1251" s="4"/>
      <c r="AF1251" s="4"/>
      <c r="AG1251" s="4"/>
      <c r="AH1251" s="4"/>
      <c r="AI1251" s="4"/>
      <c r="AJ1251" s="4"/>
      <c r="AK1251" s="4"/>
      <c r="AL1251" s="4"/>
      <c r="AM1251" s="4"/>
      <c r="AN1251" s="4"/>
      <c r="AO1251" s="4"/>
      <c r="AP1251" s="4"/>
      <c r="AQ1251" s="4"/>
      <c r="AR1251" s="4"/>
      <c r="AS1251" s="4"/>
      <c r="AT1251" s="4"/>
      <c r="AU1251" s="4"/>
      <c r="AV1251" s="4"/>
      <c r="AW1251" s="4"/>
      <c r="AX1251" s="4"/>
      <c r="AY1251" s="4"/>
      <c r="AZ1251" s="4"/>
      <c r="BA1251" s="4"/>
      <c r="BB1251" s="4"/>
      <c r="BC1251" s="4"/>
      <c r="BD1251" s="4"/>
      <c r="BE1251" s="4"/>
      <c r="BF1251" s="4"/>
      <c r="BG1251" s="4"/>
      <c r="BH1251" s="4"/>
      <c r="BI1251" s="4"/>
      <c r="BJ1251" s="4"/>
      <c r="BK1251" s="4"/>
      <c r="BL1251" s="4"/>
      <c r="BM1251" s="4"/>
      <c r="BN1251" s="4"/>
      <c r="BO1251" s="4"/>
      <c r="BP1251" s="4"/>
      <c r="BQ1251" s="4"/>
      <c r="BR1251" s="4"/>
      <c r="BS1251" s="4"/>
      <c r="BT1251" s="4"/>
      <c r="BU1251" s="4"/>
    </row>
    <row r="1252" spans="29:73" s="1" customFormat="1" x14ac:dyDescent="0.25">
      <c r="AC1252" s="4"/>
      <c r="AD1252" s="4"/>
      <c r="AE1252" s="4"/>
      <c r="AF1252" s="4"/>
      <c r="AG1252" s="4"/>
      <c r="AH1252" s="4"/>
      <c r="AI1252" s="4"/>
      <c r="AJ1252" s="4"/>
      <c r="AK1252" s="4"/>
      <c r="AL1252" s="4"/>
      <c r="AM1252" s="4"/>
      <c r="AN1252" s="4"/>
      <c r="AO1252" s="4"/>
      <c r="AP1252" s="4"/>
      <c r="AQ1252" s="4"/>
      <c r="AR1252" s="4"/>
      <c r="AS1252" s="4"/>
      <c r="AT1252" s="4"/>
      <c r="AU1252" s="4"/>
      <c r="AV1252" s="4"/>
      <c r="AW1252" s="4"/>
      <c r="AX1252" s="4"/>
      <c r="AY1252" s="4"/>
      <c r="AZ1252" s="4"/>
      <c r="BA1252" s="4"/>
      <c r="BB1252" s="4"/>
      <c r="BC1252" s="4"/>
      <c r="BD1252" s="4"/>
      <c r="BE1252" s="4"/>
      <c r="BF1252" s="4"/>
      <c r="BG1252" s="4"/>
      <c r="BH1252" s="4"/>
      <c r="BI1252" s="4"/>
      <c r="BJ1252" s="4"/>
      <c r="BK1252" s="4"/>
      <c r="BL1252" s="4"/>
      <c r="BM1252" s="4"/>
      <c r="BN1252" s="4"/>
      <c r="BO1252" s="4"/>
      <c r="BP1252" s="4"/>
      <c r="BQ1252" s="4"/>
      <c r="BR1252" s="4"/>
      <c r="BS1252" s="4"/>
      <c r="BT1252" s="4"/>
      <c r="BU1252" s="4"/>
    </row>
    <row r="1253" spans="29:73" s="1" customFormat="1" x14ac:dyDescent="0.25">
      <c r="AC1253" s="4"/>
      <c r="AD1253" s="4"/>
      <c r="AE1253" s="4"/>
      <c r="AF1253" s="4"/>
      <c r="AG1253" s="4"/>
      <c r="AH1253" s="4"/>
      <c r="AI1253" s="4"/>
      <c r="AJ1253" s="4"/>
      <c r="AK1253" s="4"/>
      <c r="AL1253" s="4"/>
      <c r="AM1253" s="4"/>
      <c r="AN1253" s="4"/>
      <c r="AO1253" s="4"/>
      <c r="AP1253" s="4"/>
      <c r="AQ1253" s="4"/>
      <c r="AR1253" s="4"/>
      <c r="AS1253" s="4"/>
      <c r="AT1253" s="4"/>
      <c r="AU1253" s="4"/>
      <c r="AV1253" s="4"/>
      <c r="AW1253" s="4"/>
      <c r="AX1253" s="4"/>
      <c r="AY1253" s="4"/>
      <c r="AZ1253" s="4"/>
      <c r="BA1253" s="4"/>
      <c r="BB1253" s="4"/>
      <c r="BC1253" s="4"/>
      <c r="BD1253" s="4"/>
      <c r="BE1253" s="4"/>
      <c r="BF1253" s="4"/>
      <c r="BG1253" s="4"/>
      <c r="BH1253" s="4"/>
      <c r="BI1253" s="4"/>
      <c r="BJ1253" s="4"/>
      <c r="BK1253" s="4"/>
      <c r="BL1253" s="4"/>
      <c r="BM1253" s="4"/>
      <c r="BN1253" s="4"/>
      <c r="BO1253" s="4"/>
      <c r="BP1253" s="4"/>
      <c r="BQ1253" s="4"/>
      <c r="BR1253" s="4"/>
      <c r="BS1253" s="4"/>
      <c r="BT1253" s="4"/>
      <c r="BU1253" s="4"/>
    </row>
    <row r="1254" spans="29:73" s="1" customFormat="1" x14ac:dyDescent="0.25">
      <c r="AC1254" s="4"/>
      <c r="AD1254" s="4"/>
      <c r="AE1254" s="4"/>
      <c r="AF1254" s="4"/>
      <c r="AG1254" s="4"/>
      <c r="AH1254" s="4"/>
      <c r="AI1254" s="4"/>
      <c r="AJ1254" s="4"/>
      <c r="AK1254" s="4"/>
      <c r="AL1254" s="4"/>
      <c r="AM1254" s="4"/>
      <c r="AN1254" s="4"/>
      <c r="AO1254" s="4"/>
      <c r="AP1254" s="4"/>
      <c r="AQ1254" s="4"/>
      <c r="AR1254" s="4"/>
      <c r="AS1254" s="4"/>
      <c r="AT1254" s="4"/>
      <c r="AU1254" s="4"/>
      <c r="AV1254" s="4"/>
      <c r="AW1254" s="4"/>
      <c r="AX1254" s="4"/>
      <c r="AY1254" s="4"/>
      <c r="AZ1254" s="4"/>
      <c r="BA1254" s="4"/>
      <c r="BB1254" s="4"/>
      <c r="BC1254" s="4"/>
      <c r="BD1254" s="4"/>
      <c r="BE1254" s="4"/>
      <c r="BF1254" s="4"/>
      <c r="BG1254" s="4"/>
      <c r="BH1254" s="4"/>
      <c r="BI1254" s="4"/>
      <c r="BJ1254" s="4"/>
      <c r="BK1254" s="4"/>
      <c r="BL1254" s="4"/>
      <c r="BM1254" s="4"/>
      <c r="BN1254" s="4"/>
      <c r="BO1254" s="4"/>
      <c r="BP1254" s="4"/>
      <c r="BQ1254" s="4"/>
      <c r="BR1254" s="4"/>
      <c r="BS1254" s="4"/>
      <c r="BT1254" s="4"/>
      <c r="BU1254" s="4"/>
    </row>
    <row r="1255" spans="29:73" s="1" customFormat="1" x14ac:dyDescent="0.25">
      <c r="AC1255" s="4"/>
      <c r="AD1255" s="4"/>
      <c r="AE1255" s="4"/>
      <c r="AF1255" s="4"/>
      <c r="AG1255" s="4"/>
      <c r="AH1255" s="4"/>
      <c r="AI1255" s="4"/>
      <c r="AJ1255" s="4"/>
      <c r="AK1255" s="4"/>
      <c r="AL1255" s="4"/>
      <c r="AM1255" s="4"/>
      <c r="AN1255" s="4"/>
      <c r="AO1255" s="4"/>
      <c r="AP1255" s="4"/>
      <c r="AQ1255" s="4"/>
      <c r="AR1255" s="4"/>
      <c r="AS1255" s="4"/>
      <c r="AT1255" s="4"/>
      <c r="AU1255" s="4"/>
      <c r="AV1255" s="4"/>
      <c r="AW1255" s="4"/>
      <c r="AX1255" s="4"/>
      <c r="AY1255" s="4"/>
      <c r="AZ1255" s="4"/>
      <c r="BA1255" s="4"/>
      <c r="BB1255" s="4"/>
      <c r="BC1255" s="4"/>
      <c r="BD1255" s="4"/>
      <c r="BE1255" s="4"/>
      <c r="BF1255" s="4"/>
      <c r="BG1255" s="4"/>
      <c r="BH1255" s="4"/>
      <c r="BI1255" s="4"/>
      <c r="BJ1255" s="4"/>
      <c r="BK1255" s="4"/>
      <c r="BL1255" s="4"/>
      <c r="BM1255" s="4"/>
      <c r="BN1255" s="4"/>
      <c r="BO1255" s="4"/>
      <c r="BP1255" s="4"/>
      <c r="BQ1255" s="4"/>
      <c r="BR1255" s="4"/>
      <c r="BS1255" s="4"/>
      <c r="BT1255" s="4"/>
      <c r="BU1255" s="4"/>
    </row>
    <row r="1256" spans="29:73" s="1" customFormat="1" x14ac:dyDescent="0.25">
      <c r="AC1256" s="4"/>
      <c r="AD1256" s="4"/>
      <c r="AE1256" s="4"/>
      <c r="AF1256" s="4"/>
      <c r="AG1256" s="4"/>
      <c r="AH1256" s="4"/>
      <c r="AI1256" s="4"/>
      <c r="AJ1256" s="4"/>
      <c r="AK1256" s="4"/>
      <c r="AL1256" s="4"/>
      <c r="AM1256" s="4"/>
      <c r="AN1256" s="4"/>
      <c r="AO1256" s="4"/>
      <c r="AP1256" s="4"/>
      <c r="AQ1256" s="4"/>
      <c r="AR1256" s="4"/>
      <c r="AS1256" s="4"/>
      <c r="AT1256" s="4"/>
      <c r="AU1256" s="4"/>
      <c r="AV1256" s="4"/>
      <c r="AW1256" s="4"/>
      <c r="AX1256" s="4"/>
      <c r="AY1256" s="4"/>
      <c r="AZ1256" s="4"/>
      <c r="BA1256" s="4"/>
      <c r="BB1256" s="4"/>
      <c r="BC1256" s="4"/>
      <c r="BD1256" s="4"/>
      <c r="BE1256" s="4"/>
      <c r="BF1256" s="4"/>
      <c r="BG1256" s="4"/>
      <c r="BH1256" s="4"/>
      <c r="BI1256" s="4"/>
      <c r="BJ1256" s="4"/>
      <c r="BK1256" s="4"/>
      <c r="BL1256" s="4"/>
      <c r="BM1256" s="4"/>
      <c r="BN1256" s="4"/>
      <c r="BO1256" s="4"/>
      <c r="BP1256" s="4"/>
      <c r="BQ1256" s="4"/>
      <c r="BR1256" s="4"/>
      <c r="BS1256" s="4"/>
      <c r="BT1256" s="4"/>
      <c r="BU1256" s="4"/>
    </row>
    <row r="1257" spans="29:73" s="1" customFormat="1" x14ac:dyDescent="0.25">
      <c r="AC1257" s="4"/>
      <c r="AD1257" s="4"/>
      <c r="AE1257" s="4"/>
      <c r="AF1257" s="4"/>
      <c r="AG1257" s="4"/>
      <c r="AH1257" s="4"/>
      <c r="AI1257" s="4"/>
      <c r="AJ1257" s="4"/>
      <c r="AK1257" s="4"/>
      <c r="AL1257" s="4"/>
      <c r="AM1257" s="4"/>
      <c r="AN1257" s="4"/>
      <c r="AO1257" s="4"/>
      <c r="AP1257" s="4"/>
      <c r="AQ1257" s="4"/>
      <c r="AR1257" s="4"/>
      <c r="AS1257" s="4"/>
      <c r="AT1257" s="4"/>
      <c r="AU1257" s="4"/>
      <c r="AV1257" s="4"/>
      <c r="AW1257" s="4"/>
      <c r="AX1257" s="4"/>
      <c r="AY1257" s="4"/>
      <c r="AZ1257" s="4"/>
      <c r="BA1257" s="4"/>
      <c r="BB1257" s="4"/>
      <c r="BC1257" s="4"/>
      <c r="BD1257" s="4"/>
      <c r="BE1257" s="4"/>
      <c r="BF1257" s="4"/>
      <c r="BG1257" s="4"/>
      <c r="BH1257" s="4"/>
      <c r="BI1257" s="4"/>
      <c r="BJ1257" s="4"/>
      <c r="BK1257" s="4"/>
      <c r="BL1257" s="4"/>
      <c r="BM1257" s="4"/>
      <c r="BN1257" s="4"/>
      <c r="BO1257" s="4"/>
      <c r="BP1257" s="4"/>
      <c r="BQ1257" s="4"/>
      <c r="BR1257" s="4"/>
      <c r="BS1257" s="4"/>
      <c r="BT1257" s="4"/>
      <c r="BU1257" s="4"/>
    </row>
    <row r="1258" spans="29:73" s="1" customFormat="1" x14ac:dyDescent="0.25">
      <c r="AC1258" s="4"/>
      <c r="AD1258" s="4"/>
      <c r="AE1258" s="4"/>
      <c r="AF1258" s="4"/>
      <c r="AG1258" s="4"/>
      <c r="AH1258" s="4"/>
      <c r="AI1258" s="4"/>
      <c r="AJ1258" s="4"/>
      <c r="AK1258" s="4"/>
      <c r="AL1258" s="4"/>
      <c r="AM1258" s="4"/>
      <c r="AN1258" s="4"/>
      <c r="AO1258" s="4"/>
      <c r="AP1258" s="4"/>
      <c r="AQ1258" s="4"/>
      <c r="AR1258" s="4"/>
      <c r="AS1258" s="4"/>
      <c r="AT1258" s="4"/>
      <c r="AU1258" s="4"/>
      <c r="AV1258" s="4"/>
      <c r="AW1258" s="4"/>
      <c r="AX1258" s="4"/>
      <c r="AY1258" s="4"/>
      <c r="AZ1258" s="4"/>
      <c r="BA1258" s="4"/>
      <c r="BB1258" s="4"/>
      <c r="BC1258" s="4"/>
      <c r="BD1258" s="4"/>
      <c r="BE1258" s="4"/>
      <c r="BF1258" s="4"/>
      <c r="BG1258" s="4"/>
      <c r="BH1258" s="4"/>
      <c r="BI1258" s="4"/>
      <c r="BJ1258" s="4"/>
      <c r="BK1258" s="4"/>
      <c r="BL1258" s="4"/>
      <c r="BM1258" s="4"/>
      <c r="BN1258" s="4"/>
      <c r="BO1258" s="4"/>
      <c r="BP1258" s="4"/>
      <c r="BQ1258" s="4"/>
      <c r="BR1258" s="4"/>
      <c r="BS1258" s="4"/>
      <c r="BT1258" s="4"/>
      <c r="BU1258" s="4"/>
    </row>
    <row r="1259" spans="29:73" s="1" customFormat="1" x14ac:dyDescent="0.25">
      <c r="AC1259" s="4"/>
      <c r="AD1259" s="4"/>
      <c r="AE1259" s="4"/>
      <c r="AF1259" s="4"/>
      <c r="AG1259" s="4"/>
      <c r="AH1259" s="4"/>
      <c r="AI1259" s="4"/>
      <c r="AJ1259" s="4"/>
      <c r="AK1259" s="4"/>
      <c r="AL1259" s="4"/>
      <c r="AM1259" s="4"/>
      <c r="AN1259" s="4"/>
      <c r="AO1259" s="4"/>
      <c r="AP1259" s="4"/>
      <c r="AQ1259" s="4"/>
      <c r="AR1259" s="4"/>
      <c r="AS1259" s="4"/>
      <c r="AT1259" s="4"/>
      <c r="AU1259" s="4"/>
      <c r="AV1259" s="4"/>
      <c r="AW1259" s="4"/>
      <c r="AX1259" s="4"/>
      <c r="AY1259" s="4"/>
      <c r="AZ1259" s="4"/>
      <c r="BA1259" s="4"/>
      <c r="BB1259" s="4"/>
      <c r="BC1259" s="4"/>
      <c r="BD1259" s="4"/>
      <c r="BE1259" s="4"/>
      <c r="BF1259" s="4"/>
      <c r="BG1259" s="4"/>
      <c r="BH1259" s="4"/>
      <c r="BI1259" s="4"/>
      <c r="BJ1259" s="4"/>
      <c r="BK1259" s="4"/>
      <c r="BL1259" s="4"/>
      <c r="BM1259" s="4"/>
      <c r="BN1259" s="4"/>
      <c r="BO1259" s="4"/>
      <c r="BP1259" s="4"/>
      <c r="BQ1259" s="4"/>
      <c r="BR1259" s="4"/>
      <c r="BS1259" s="4"/>
      <c r="BT1259" s="4"/>
      <c r="BU1259" s="4"/>
    </row>
    <row r="1260" spans="29:73" s="1" customFormat="1" x14ac:dyDescent="0.25">
      <c r="AC1260" s="4"/>
      <c r="AD1260" s="4"/>
      <c r="AE1260" s="4"/>
      <c r="AF1260" s="4"/>
      <c r="AG1260" s="4"/>
      <c r="AH1260" s="4"/>
      <c r="AI1260" s="4"/>
      <c r="AJ1260" s="4"/>
      <c r="AK1260" s="4"/>
      <c r="AL1260" s="4"/>
      <c r="AM1260" s="4"/>
      <c r="AN1260" s="4"/>
      <c r="AO1260" s="4"/>
      <c r="AP1260" s="4"/>
      <c r="AQ1260" s="4"/>
      <c r="AR1260" s="4"/>
      <c r="AS1260" s="4"/>
      <c r="AT1260" s="4"/>
      <c r="AU1260" s="4"/>
      <c r="AV1260" s="4"/>
      <c r="AW1260" s="4"/>
      <c r="AX1260" s="4"/>
      <c r="AY1260" s="4"/>
      <c r="AZ1260" s="4"/>
      <c r="BA1260" s="4"/>
      <c r="BB1260" s="4"/>
      <c r="BC1260" s="4"/>
      <c r="BD1260" s="4"/>
      <c r="BE1260" s="4"/>
      <c r="BF1260" s="4"/>
      <c r="BG1260" s="4"/>
      <c r="BH1260" s="4"/>
      <c r="BI1260" s="4"/>
      <c r="BJ1260" s="4"/>
      <c r="BK1260" s="4"/>
      <c r="BL1260" s="4"/>
      <c r="BM1260" s="4"/>
      <c r="BN1260" s="4"/>
      <c r="BO1260" s="4"/>
      <c r="BP1260" s="4"/>
      <c r="BQ1260" s="4"/>
      <c r="BR1260" s="4"/>
      <c r="BS1260" s="4"/>
      <c r="BT1260" s="4"/>
      <c r="BU1260" s="4"/>
    </row>
    <row r="1261" spans="29:73" s="1" customFormat="1" x14ac:dyDescent="0.25">
      <c r="AC1261" s="4"/>
      <c r="AD1261" s="4"/>
      <c r="AE1261" s="4"/>
      <c r="AF1261" s="4"/>
      <c r="AG1261" s="4"/>
      <c r="AH1261" s="4"/>
      <c r="AI1261" s="4"/>
      <c r="AJ1261" s="4"/>
      <c r="AK1261" s="4"/>
      <c r="AL1261" s="4"/>
      <c r="AM1261" s="4"/>
      <c r="AN1261" s="4"/>
      <c r="AO1261" s="4"/>
      <c r="AP1261" s="4"/>
      <c r="AQ1261" s="4"/>
      <c r="AR1261" s="4"/>
      <c r="AS1261" s="4"/>
      <c r="AT1261" s="4"/>
      <c r="AU1261" s="4"/>
      <c r="AV1261" s="4"/>
      <c r="AW1261" s="4"/>
      <c r="AX1261" s="4"/>
      <c r="AY1261" s="4"/>
      <c r="AZ1261" s="4"/>
      <c r="BA1261" s="4"/>
      <c r="BB1261" s="4"/>
      <c r="BC1261" s="4"/>
      <c r="BD1261" s="4"/>
      <c r="BE1261" s="4"/>
      <c r="BF1261" s="4"/>
      <c r="BG1261" s="4"/>
      <c r="BH1261" s="4"/>
      <c r="BI1261" s="4"/>
      <c r="BJ1261" s="4"/>
      <c r="BK1261" s="4"/>
      <c r="BL1261" s="4"/>
      <c r="BM1261" s="4"/>
      <c r="BN1261" s="4"/>
      <c r="BO1261" s="4"/>
      <c r="BP1261" s="4"/>
      <c r="BQ1261" s="4"/>
      <c r="BR1261" s="4"/>
      <c r="BS1261" s="4"/>
      <c r="BT1261" s="4"/>
      <c r="BU1261" s="4"/>
    </row>
    <row r="1262" spans="29:73" s="1" customFormat="1" x14ac:dyDescent="0.25">
      <c r="AC1262" s="4"/>
      <c r="AD1262" s="4"/>
      <c r="AE1262" s="4"/>
      <c r="AF1262" s="4"/>
      <c r="AG1262" s="4"/>
      <c r="AH1262" s="4"/>
      <c r="AI1262" s="4"/>
      <c r="AJ1262" s="4"/>
      <c r="AK1262" s="4"/>
      <c r="AL1262" s="4"/>
      <c r="AM1262" s="4"/>
      <c r="AN1262" s="4"/>
      <c r="AO1262" s="4"/>
      <c r="AP1262" s="4"/>
      <c r="AQ1262" s="4"/>
      <c r="AR1262" s="4"/>
      <c r="AS1262" s="4"/>
      <c r="AT1262" s="4"/>
      <c r="AU1262" s="4"/>
      <c r="AV1262" s="4"/>
      <c r="AW1262" s="4"/>
      <c r="AX1262" s="4"/>
      <c r="AY1262" s="4"/>
      <c r="AZ1262" s="4"/>
      <c r="BA1262" s="4"/>
      <c r="BB1262" s="4"/>
      <c r="BC1262" s="4"/>
      <c r="BD1262" s="4"/>
      <c r="BE1262" s="4"/>
      <c r="BF1262" s="4"/>
      <c r="BG1262" s="4"/>
      <c r="BH1262" s="4"/>
      <c r="BI1262" s="4"/>
      <c r="BJ1262" s="4"/>
      <c r="BK1262" s="4"/>
      <c r="BL1262" s="4"/>
      <c r="BM1262" s="4"/>
      <c r="BN1262" s="4"/>
      <c r="BO1262" s="4"/>
      <c r="BP1262" s="4"/>
      <c r="BQ1262" s="4"/>
      <c r="BR1262" s="4"/>
      <c r="BS1262" s="4"/>
      <c r="BT1262" s="4"/>
      <c r="BU1262" s="4"/>
    </row>
    <row r="1263" spans="29:73" s="1" customFormat="1" x14ac:dyDescent="0.25">
      <c r="AC1263" s="4"/>
      <c r="AD1263" s="4"/>
      <c r="AE1263" s="4"/>
      <c r="AF1263" s="4"/>
      <c r="AG1263" s="4"/>
      <c r="AH1263" s="4"/>
      <c r="AI1263" s="4"/>
      <c r="AJ1263" s="4"/>
      <c r="AK1263" s="4"/>
      <c r="AL1263" s="4"/>
      <c r="AM1263" s="4"/>
      <c r="AN1263" s="4"/>
      <c r="AO1263" s="4"/>
      <c r="AP1263" s="4"/>
      <c r="AQ1263" s="4"/>
      <c r="AR1263" s="4"/>
      <c r="AS1263" s="4"/>
      <c r="AT1263" s="4"/>
      <c r="AU1263" s="4"/>
      <c r="AV1263" s="4"/>
      <c r="AW1263" s="4"/>
      <c r="AX1263" s="4"/>
      <c r="AY1263" s="4"/>
      <c r="AZ1263" s="4"/>
      <c r="BA1263" s="4"/>
      <c r="BB1263" s="4"/>
      <c r="BC1263" s="4"/>
      <c r="BD1263" s="4"/>
      <c r="BE1263" s="4"/>
      <c r="BF1263" s="4"/>
      <c r="BG1263" s="4"/>
      <c r="BH1263" s="4"/>
      <c r="BI1263" s="4"/>
      <c r="BJ1263" s="4"/>
      <c r="BK1263" s="4"/>
      <c r="BL1263" s="4"/>
      <c r="BM1263" s="4"/>
      <c r="BN1263" s="4"/>
      <c r="BO1263" s="4"/>
      <c r="BP1263" s="4"/>
      <c r="BQ1263" s="4"/>
      <c r="BR1263" s="4"/>
      <c r="BS1263" s="4"/>
      <c r="BT1263" s="4"/>
      <c r="BU1263" s="4"/>
    </row>
    <row r="1264" spans="29:73" s="1" customFormat="1" x14ac:dyDescent="0.25">
      <c r="AC1264" s="4"/>
      <c r="AD1264" s="4"/>
      <c r="AE1264" s="4"/>
      <c r="AF1264" s="4"/>
      <c r="AG1264" s="4"/>
      <c r="AH1264" s="4"/>
      <c r="AI1264" s="4"/>
      <c r="AJ1264" s="4"/>
      <c r="AK1264" s="4"/>
      <c r="AL1264" s="4"/>
      <c r="AM1264" s="4"/>
      <c r="AN1264" s="4"/>
      <c r="AO1264" s="4"/>
      <c r="AP1264" s="4"/>
      <c r="AQ1264" s="4"/>
      <c r="AR1264" s="4"/>
      <c r="AS1264" s="4"/>
      <c r="AT1264" s="4"/>
      <c r="AU1264" s="4"/>
      <c r="AV1264" s="4"/>
      <c r="AW1264" s="4"/>
      <c r="AX1264" s="4"/>
      <c r="AY1264" s="4"/>
      <c r="AZ1264" s="4"/>
      <c r="BA1264" s="4"/>
      <c r="BB1264" s="4"/>
      <c r="BC1264" s="4"/>
      <c r="BD1264" s="4"/>
      <c r="BE1264" s="4"/>
      <c r="BF1264" s="4"/>
      <c r="BG1264" s="4"/>
      <c r="BH1264" s="4"/>
      <c r="BI1264" s="4"/>
      <c r="BJ1264" s="4"/>
      <c r="BK1264" s="4"/>
      <c r="BL1264" s="4"/>
      <c r="BM1264" s="4"/>
      <c r="BN1264" s="4"/>
      <c r="BO1264" s="4"/>
      <c r="BP1264" s="4"/>
      <c r="BQ1264" s="4"/>
      <c r="BR1264" s="4"/>
      <c r="BS1264" s="4"/>
      <c r="BT1264" s="4"/>
      <c r="BU1264" s="4"/>
    </row>
    <row r="1265" spans="29:73" s="1" customFormat="1" x14ac:dyDescent="0.25">
      <c r="AC1265" s="4"/>
      <c r="AD1265" s="4"/>
      <c r="AE1265" s="4"/>
      <c r="AF1265" s="4"/>
      <c r="AG1265" s="4"/>
      <c r="AH1265" s="4"/>
      <c r="AI1265" s="4"/>
      <c r="AJ1265" s="4"/>
      <c r="AK1265" s="4"/>
      <c r="AL1265" s="4"/>
      <c r="AM1265" s="4"/>
      <c r="AN1265" s="4"/>
      <c r="AO1265" s="4"/>
      <c r="AP1265" s="4"/>
      <c r="AQ1265" s="4"/>
      <c r="AR1265" s="4"/>
      <c r="AS1265" s="4"/>
      <c r="AT1265" s="4"/>
      <c r="AU1265" s="4"/>
      <c r="AV1265" s="4"/>
      <c r="AW1265" s="4"/>
      <c r="AX1265" s="4"/>
      <c r="AY1265" s="4"/>
      <c r="AZ1265" s="4"/>
      <c r="BA1265" s="4"/>
      <c r="BB1265" s="4"/>
      <c r="BC1265" s="4"/>
      <c r="BD1265" s="4"/>
      <c r="BE1265" s="4"/>
      <c r="BF1265" s="4"/>
      <c r="BG1265" s="4"/>
      <c r="BH1265" s="4"/>
      <c r="BI1265" s="4"/>
      <c r="BJ1265" s="4"/>
      <c r="BK1265" s="4"/>
      <c r="BL1265" s="4"/>
      <c r="BM1265" s="4"/>
      <c r="BN1265" s="4"/>
      <c r="BO1265" s="4"/>
      <c r="BP1265" s="4"/>
      <c r="BQ1265" s="4"/>
      <c r="BR1265" s="4"/>
      <c r="BS1265" s="4"/>
      <c r="BT1265" s="4"/>
      <c r="BU1265" s="4"/>
    </row>
    <row r="1266" spans="29:73" s="1" customFormat="1" x14ac:dyDescent="0.25">
      <c r="AC1266" s="4"/>
      <c r="AD1266" s="4"/>
      <c r="AE1266" s="4"/>
      <c r="AF1266" s="4"/>
      <c r="AG1266" s="4"/>
      <c r="AH1266" s="4"/>
      <c r="AI1266" s="4"/>
      <c r="AJ1266" s="4"/>
      <c r="AK1266" s="4"/>
      <c r="AL1266" s="4"/>
      <c r="AM1266" s="4"/>
      <c r="AN1266" s="4"/>
      <c r="AO1266" s="4"/>
      <c r="AP1266" s="4"/>
      <c r="AQ1266" s="4"/>
      <c r="AR1266" s="4"/>
      <c r="AS1266" s="4"/>
      <c r="AT1266" s="4"/>
      <c r="AU1266" s="4"/>
      <c r="AV1266" s="4"/>
      <c r="AW1266" s="4"/>
      <c r="AX1266" s="4"/>
      <c r="AY1266" s="4"/>
      <c r="AZ1266" s="4"/>
      <c r="BA1266" s="4"/>
      <c r="BB1266" s="4"/>
      <c r="BC1266" s="4"/>
      <c r="BD1266" s="4"/>
      <c r="BE1266" s="4"/>
      <c r="BF1266" s="4"/>
      <c r="BG1266" s="4"/>
      <c r="BH1266" s="4"/>
      <c r="BI1266" s="4"/>
      <c r="BJ1266" s="4"/>
      <c r="BK1266" s="4"/>
      <c r="BL1266" s="4"/>
      <c r="BM1266" s="4"/>
      <c r="BN1266" s="4"/>
      <c r="BO1266" s="4"/>
      <c r="BP1266" s="4"/>
      <c r="BQ1266" s="4"/>
      <c r="BR1266" s="4"/>
      <c r="BS1266" s="4"/>
      <c r="BT1266" s="4"/>
      <c r="BU1266" s="4"/>
    </row>
    <row r="1267" spans="29:73" s="1" customFormat="1" x14ac:dyDescent="0.25">
      <c r="AC1267" s="4"/>
      <c r="AD1267" s="4"/>
      <c r="AE1267" s="4"/>
      <c r="AF1267" s="4"/>
      <c r="AG1267" s="4"/>
      <c r="AH1267" s="4"/>
      <c r="AI1267" s="4"/>
      <c r="AJ1267" s="4"/>
      <c r="AK1267" s="4"/>
      <c r="AL1267" s="4"/>
      <c r="AM1267" s="4"/>
      <c r="AN1267" s="4"/>
      <c r="AO1267" s="4"/>
      <c r="AP1267" s="4"/>
      <c r="AQ1267" s="4"/>
      <c r="AR1267" s="4"/>
      <c r="AS1267" s="4"/>
      <c r="AT1267" s="4"/>
      <c r="AU1267" s="4"/>
      <c r="AV1267" s="4"/>
      <c r="AW1267" s="4"/>
      <c r="AX1267" s="4"/>
      <c r="AY1267" s="4"/>
      <c r="AZ1267" s="4"/>
      <c r="BA1267" s="4"/>
      <c r="BB1267" s="4"/>
      <c r="BC1267" s="4"/>
      <c r="BD1267" s="4"/>
      <c r="BE1267" s="4"/>
      <c r="BF1267" s="4"/>
      <c r="BG1267" s="4"/>
      <c r="BH1267" s="4"/>
      <c r="BI1267" s="4"/>
      <c r="BJ1267" s="4"/>
      <c r="BK1267" s="4"/>
      <c r="BL1267" s="4"/>
      <c r="BM1267" s="4"/>
      <c r="BN1267" s="4"/>
      <c r="BO1267" s="4"/>
      <c r="BP1267" s="4"/>
      <c r="BQ1267" s="4"/>
      <c r="BR1267" s="4"/>
      <c r="BS1267" s="4"/>
      <c r="BT1267" s="4"/>
      <c r="BU1267" s="4"/>
    </row>
    <row r="1268" spans="29:73" s="1" customFormat="1" x14ac:dyDescent="0.25">
      <c r="AC1268" s="4"/>
      <c r="AD1268" s="4"/>
      <c r="AE1268" s="4"/>
      <c r="AF1268" s="4"/>
      <c r="AG1268" s="4"/>
      <c r="AH1268" s="4"/>
      <c r="AI1268" s="4"/>
      <c r="AJ1268" s="4"/>
      <c r="AK1268" s="4"/>
      <c r="AL1268" s="4"/>
      <c r="AM1268" s="4"/>
      <c r="AN1268" s="4"/>
      <c r="AO1268" s="4"/>
      <c r="AP1268" s="4"/>
      <c r="AQ1268" s="4"/>
      <c r="AR1268" s="4"/>
      <c r="AS1268" s="4"/>
      <c r="AT1268" s="4"/>
      <c r="AU1268" s="4"/>
      <c r="AV1268" s="4"/>
      <c r="AW1268" s="4"/>
      <c r="AX1268" s="4"/>
      <c r="AY1268" s="4"/>
      <c r="AZ1268" s="4"/>
      <c r="BA1268" s="4"/>
      <c r="BB1268" s="4"/>
      <c r="BC1268" s="4"/>
      <c r="BD1268" s="4"/>
      <c r="BE1268" s="4"/>
      <c r="BF1268" s="4"/>
      <c r="BG1268" s="4"/>
      <c r="BH1268" s="4"/>
      <c r="BI1268" s="4"/>
      <c r="BJ1268" s="4"/>
      <c r="BK1268" s="4"/>
      <c r="BL1268" s="4"/>
      <c r="BM1268" s="4"/>
      <c r="BN1268" s="4"/>
      <c r="BO1268" s="4"/>
      <c r="BP1268" s="4"/>
      <c r="BQ1268" s="4"/>
      <c r="BR1268" s="4"/>
      <c r="BS1268" s="4"/>
      <c r="BT1268" s="4"/>
      <c r="BU1268" s="4"/>
    </row>
    <row r="1269" spans="29:73" s="1" customFormat="1" x14ac:dyDescent="0.25">
      <c r="AC1269" s="4"/>
      <c r="AD1269" s="4"/>
      <c r="AE1269" s="4"/>
      <c r="AF1269" s="4"/>
      <c r="AG1269" s="4"/>
      <c r="AH1269" s="4"/>
      <c r="AI1269" s="4"/>
      <c r="AJ1269" s="4"/>
      <c r="AK1269" s="4"/>
      <c r="AL1269" s="4"/>
      <c r="AM1269" s="4"/>
      <c r="AN1269" s="4"/>
      <c r="AO1269" s="4"/>
      <c r="AP1269" s="4"/>
      <c r="AQ1269" s="4"/>
      <c r="AR1269" s="4"/>
      <c r="AS1269" s="4"/>
      <c r="AT1269" s="4"/>
      <c r="AU1269" s="4"/>
      <c r="AV1269" s="4"/>
      <c r="AW1269" s="4"/>
      <c r="AX1269" s="4"/>
      <c r="AY1269" s="4"/>
      <c r="AZ1269" s="4"/>
      <c r="BA1269" s="4"/>
      <c r="BB1269" s="4"/>
      <c r="BC1269" s="4"/>
      <c r="BD1269" s="4"/>
      <c r="BE1269" s="4"/>
      <c r="BF1269" s="4"/>
      <c r="BG1269" s="4"/>
      <c r="BH1269" s="4"/>
      <c r="BI1269" s="4"/>
      <c r="BJ1269" s="4"/>
      <c r="BK1269" s="4"/>
      <c r="BL1269" s="4"/>
      <c r="BM1269" s="4"/>
      <c r="BN1269" s="4"/>
      <c r="BO1269" s="4"/>
      <c r="BP1269" s="4"/>
      <c r="BQ1269" s="4"/>
      <c r="BR1269" s="4"/>
      <c r="BS1269" s="4"/>
      <c r="BT1269" s="4"/>
      <c r="BU1269" s="4"/>
    </row>
    <row r="1270" spans="29:73" s="1" customFormat="1" x14ac:dyDescent="0.25">
      <c r="AC1270" s="4"/>
      <c r="AD1270" s="4"/>
      <c r="AE1270" s="4"/>
      <c r="AF1270" s="4"/>
      <c r="AG1270" s="4"/>
      <c r="AH1270" s="4"/>
      <c r="AI1270" s="4"/>
      <c r="AJ1270" s="4"/>
      <c r="AK1270" s="4"/>
      <c r="AL1270" s="4"/>
      <c r="AM1270" s="4"/>
      <c r="AN1270" s="4"/>
      <c r="AO1270" s="4"/>
      <c r="AP1270" s="4"/>
      <c r="AQ1270" s="4"/>
      <c r="AR1270" s="4"/>
      <c r="AS1270" s="4"/>
      <c r="AT1270" s="4"/>
      <c r="AU1270" s="4"/>
      <c r="AV1270" s="4"/>
      <c r="AW1270" s="4"/>
      <c r="AX1270" s="4"/>
      <c r="AY1270" s="4"/>
      <c r="AZ1270" s="4"/>
      <c r="BA1270" s="4"/>
      <c r="BB1270" s="4"/>
      <c r="BC1270" s="4"/>
      <c r="BD1270" s="4"/>
      <c r="BE1270" s="4"/>
      <c r="BF1270" s="4"/>
      <c r="BG1270" s="4"/>
      <c r="BH1270" s="4"/>
      <c r="BI1270" s="4"/>
      <c r="BJ1270" s="4"/>
      <c r="BK1270" s="4"/>
      <c r="BL1270" s="4"/>
      <c r="BM1270" s="4"/>
      <c r="BN1270" s="4"/>
      <c r="BO1270" s="4"/>
      <c r="BP1270" s="4"/>
      <c r="BQ1270" s="4"/>
      <c r="BR1270" s="4"/>
      <c r="BS1270" s="4"/>
      <c r="BT1270" s="4"/>
      <c r="BU1270" s="4"/>
    </row>
    <row r="1271" spans="29:73" s="1" customFormat="1" x14ac:dyDescent="0.25">
      <c r="AC1271" s="4"/>
      <c r="AD1271" s="4"/>
      <c r="AE1271" s="4"/>
      <c r="AF1271" s="4"/>
      <c r="AG1271" s="4"/>
      <c r="AH1271" s="4"/>
      <c r="AI1271" s="4"/>
      <c r="AJ1271" s="4"/>
      <c r="AK1271" s="4"/>
      <c r="AL1271" s="4"/>
      <c r="AM1271" s="4"/>
      <c r="AN1271" s="4"/>
      <c r="AO1271" s="4"/>
      <c r="AP1271" s="4"/>
      <c r="AQ1271" s="4"/>
      <c r="AR1271" s="4"/>
      <c r="AS1271" s="4"/>
      <c r="AT1271" s="4"/>
      <c r="AU1271" s="4"/>
      <c r="AV1271" s="4"/>
      <c r="AW1271" s="4"/>
      <c r="AX1271" s="4"/>
      <c r="AY1271" s="4"/>
      <c r="AZ1271" s="4"/>
      <c r="BA1271" s="4"/>
      <c r="BB1271" s="4"/>
      <c r="BC1271" s="4"/>
      <c r="BD1271" s="4"/>
      <c r="BE1271" s="4"/>
      <c r="BF1271" s="4"/>
      <c r="BG1271" s="4"/>
      <c r="BH1271" s="4"/>
      <c r="BI1271" s="4"/>
      <c r="BJ1271" s="4"/>
      <c r="BK1271" s="4"/>
      <c r="BL1271" s="4"/>
      <c r="BM1271" s="4"/>
      <c r="BN1271" s="4"/>
      <c r="BO1271" s="4"/>
      <c r="BP1271" s="4"/>
      <c r="BQ1271" s="4"/>
      <c r="BR1271" s="4"/>
      <c r="BS1271" s="4"/>
      <c r="BT1271" s="4"/>
      <c r="BU1271" s="4"/>
    </row>
    <row r="1272" spans="29:73" s="1" customFormat="1" x14ac:dyDescent="0.25">
      <c r="AC1272" s="4"/>
      <c r="AD1272" s="4"/>
      <c r="AE1272" s="4"/>
      <c r="AF1272" s="4"/>
      <c r="AG1272" s="4"/>
      <c r="AH1272" s="4"/>
      <c r="AI1272" s="4"/>
      <c r="AJ1272" s="4"/>
      <c r="AK1272" s="4"/>
      <c r="AL1272" s="4"/>
      <c r="AM1272" s="4"/>
      <c r="AN1272" s="4"/>
      <c r="AO1272" s="4"/>
      <c r="AP1272" s="4"/>
      <c r="AQ1272" s="4"/>
      <c r="AR1272" s="4"/>
      <c r="AS1272" s="4"/>
      <c r="AT1272" s="4"/>
      <c r="AU1272" s="4"/>
      <c r="AV1272" s="4"/>
      <c r="AW1272" s="4"/>
      <c r="AX1272" s="4"/>
      <c r="AY1272" s="4"/>
      <c r="AZ1272" s="4"/>
      <c r="BA1272" s="4"/>
      <c r="BB1272" s="4"/>
      <c r="BC1272" s="4"/>
      <c r="BD1272" s="4"/>
      <c r="BE1272" s="4"/>
      <c r="BF1272" s="4"/>
      <c r="BG1272" s="4"/>
      <c r="BH1272" s="4"/>
      <c r="BI1272" s="4"/>
      <c r="BJ1272" s="4"/>
      <c r="BK1272" s="4"/>
      <c r="BL1272" s="4"/>
      <c r="BM1272" s="4"/>
      <c r="BN1272" s="4"/>
      <c r="BO1272" s="4"/>
      <c r="BP1272" s="4"/>
      <c r="BQ1272" s="4"/>
      <c r="BR1272" s="4"/>
      <c r="BS1272" s="4"/>
      <c r="BT1272" s="4"/>
      <c r="BU1272" s="4"/>
    </row>
    <row r="1273" spans="29:73" s="1" customFormat="1" x14ac:dyDescent="0.25">
      <c r="AC1273" s="4"/>
      <c r="AD1273" s="4"/>
      <c r="AE1273" s="4"/>
      <c r="AF1273" s="4"/>
      <c r="AG1273" s="4"/>
      <c r="AH1273" s="4"/>
      <c r="AI1273" s="4"/>
      <c r="AJ1273" s="4"/>
      <c r="AK1273" s="4"/>
      <c r="AL1273" s="4"/>
      <c r="AM1273" s="4"/>
      <c r="AN1273" s="4"/>
      <c r="AO1273" s="4"/>
      <c r="AP1273" s="4"/>
      <c r="AQ1273" s="4"/>
      <c r="AR1273" s="4"/>
      <c r="AS1273" s="4"/>
      <c r="AT1273" s="4"/>
      <c r="AU1273" s="4"/>
      <c r="AV1273" s="4"/>
      <c r="AW1273" s="4"/>
      <c r="AX1273" s="4"/>
      <c r="AY1273" s="4"/>
      <c r="AZ1273" s="4"/>
      <c r="BA1273" s="4"/>
      <c r="BB1273" s="4"/>
      <c r="BC1273" s="4"/>
      <c r="BD1273" s="4"/>
      <c r="BE1273" s="4"/>
      <c r="BF1273" s="4"/>
      <c r="BG1273" s="4"/>
      <c r="BH1273" s="4"/>
      <c r="BI1273" s="4"/>
      <c r="BJ1273" s="4"/>
      <c r="BK1273" s="4"/>
      <c r="BL1273" s="4"/>
      <c r="BM1273" s="4"/>
      <c r="BN1273" s="4"/>
      <c r="BO1273" s="4"/>
      <c r="BP1273" s="4"/>
      <c r="BQ1273" s="4"/>
      <c r="BR1273" s="4"/>
      <c r="BS1273" s="4"/>
      <c r="BT1273" s="4"/>
      <c r="BU1273" s="4"/>
    </row>
    <row r="1274" spans="29:73" s="1" customFormat="1" x14ac:dyDescent="0.25">
      <c r="AC1274" s="4"/>
      <c r="AD1274" s="4"/>
      <c r="AE1274" s="4"/>
      <c r="AF1274" s="4"/>
      <c r="AG1274" s="4"/>
      <c r="AH1274" s="4"/>
      <c r="AI1274" s="4"/>
      <c r="AJ1274" s="4"/>
      <c r="AK1274" s="4"/>
      <c r="AL1274" s="4"/>
      <c r="AM1274" s="4"/>
      <c r="AN1274" s="4"/>
      <c r="AO1274" s="4"/>
      <c r="AP1274" s="4"/>
      <c r="AQ1274" s="4"/>
      <c r="AR1274" s="4"/>
      <c r="AS1274" s="4"/>
      <c r="AT1274" s="4"/>
      <c r="AU1274" s="4"/>
      <c r="AV1274" s="4"/>
      <c r="AW1274" s="4"/>
      <c r="AX1274" s="4"/>
      <c r="AY1274" s="4"/>
      <c r="AZ1274" s="4"/>
      <c r="BA1274" s="4"/>
      <c r="BB1274" s="4"/>
      <c r="BC1274" s="4"/>
      <c r="BD1274" s="4"/>
      <c r="BE1274" s="4"/>
      <c r="BF1274" s="4"/>
      <c r="BG1274" s="4"/>
      <c r="BH1274" s="4"/>
      <c r="BI1274" s="4"/>
      <c r="BJ1274" s="4"/>
      <c r="BK1274" s="4"/>
      <c r="BL1274" s="4"/>
      <c r="BM1274" s="4"/>
      <c r="BN1274" s="4"/>
      <c r="BO1274" s="4"/>
      <c r="BP1274" s="4"/>
      <c r="BQ1274" s="4"/>
      <c r="BR1274" s="4"/>
      <c r="BS1274" s="4"/>
      <c r="BT1274" s="4"/>
      <c r="BU1274" s="4"/>
    </row>
    <row r="1275" spans="29:73" s="1" customFormat="1" x14ac:dyDescent="0.25">
      <c r="AC1275" s="4"/>
      <c r="AD1275" s="4"/>
      <c r="AE1275" s="4"/>
      <c r="AF1275" s="4"/>
      <c r="AG1275" s="4"/>
      <c r="AH1275" s="4"/>
      <c r="AI1275" s="4"/>
      <c r="AJ1275" s="4"/>
      <c r="AK1275" s="4"/>
      <c r="AL1275" s="4"/>
      <c r="AM1275" s="4"/>
      <c r="AN1275" s="4"/>
      <c r="AO1275" s="4"/>
      <c r="AP1275" s="4"/>
      <c r="AQ1275" s="4"/>
      <c r="AR1275" s="4"/>
      <c r="AS1275" s="4"/>
      <c r="AT1275" s="4"/>
      <c r="AU1275" s="4"/>
      <c r="AV1275" s="4"/>
      <c r="AW1275" s="4"/>
      <c r="AX1275" s="4"/>
      <c r="AY1275" s="4"/>
      <c r="AZ1275" s="4"/>
      <c r="BA1275" s="4"/>
      <c r="BB1275" s="4"/>
      <c r="BC1275" s="4"/>
      <c r="BD1275" s="4"/>
      <c r="BE1275" s="4"/>
      <c r="BF1275" s="4"/>
      <c r="BG1275" s="4"/>
      <c r="BH1275" s="4"/>
      <c r="BI1275" s="4"/>
      <c r="BJ1275" s="4"/>
      <c r="BK1275" s="4"/>
      <c r="BL1275" s="4"/>
      <c r="BM1275" s="4"/>
      <c r="BN1275" s="4"/>
      <c r="BO1275" s="4"/>
      <c r="BP1275" s="4"/>
      <c r="BQ1275" s="4"/>
      <c r="BR1275" s="4"/>
      <c r="BS1275" s="4"/>
      <c r="BT1275" s="4"/>
      <c r="BU1275" s="4"/>
    </row>
    <row r="1276" spans="29:73" s="1" customFormat="1" x14ac:dyDescent="0.25">
      <c r="AC1276" s="4"/>
      <c r="AD1276" s="4"/>
      <c r="AE1276" s="4"/>
      <c r="AF1276" s="4"/>
      <c r="AG1276" s="4"/>
      <c r="AH1276" s="4"/>
      <c r="AI1276" s="4"/>
      <c r="AJ1276" s="4"/>
      <c r="AK1276" s="4"/>
      <c r="AL1276" s="4"/>
      <c r="AM1276" s="4"/>
      <c r="AN1276" s="4"/>
      <c r="AO1276" s="4"/>
      <c r="AP1276" s="4"/>
      <c r="AQ1276" s="4"/>
      <c r="AR1276" s="4"/>
      <c r="AS1276" s="4"/>
      <c r="AT1276" s="4"/>
      <c r="AU1276" s="4"/>
      <c r="AV1276" s="4"/>
      <c r="AW1276" s="4"/>
      <c r="AX1276" s="4"/>
      <c r="AY1276" s="4"/>
      <c r="AZ1276" s="4"/>
      <c r="BA1276" s="4"/>
      <c r="BB1276" s="4"/>
      <c r="BC1276" s="4"/>
      <c r="BD1276" s="4"/>
      <c r="BE1276" s="4"/>
      <c r="BF1276" s="4"/>
      <c r="BG1276" s="4"/>
      <c r="BH1276" s="4"/>
      <c r="BI1276" s="4"/>
      <c r="BJ1276" s="4"/>
      <c r="BK1276" s="4"/>
      <c r="BL1276" s="4"/>
      <c r="BM1276" s="4"/>
      <c r="BN1276" s="4"/>
      <c r="BO1276" s="4"/>
      <c r="BP1276" s="4"/>
      <c r="BQ1276" s="4"/>
      <c r="BR1276" s="4"/>
      <c r="BS1276" s="4"/>
      <c r="BT1276" s="4"/>
      <c r="BU1276" s="4"/>
    </row>
    <row r="1277" spans="29:73" s="1" customFormat="1" x14ac:dyDescent="0.25">
      <c r="AC1277" s="4"/>
      <c r="AD1277" s="4"/>
      <c r="AE1277" s="4"/>
      <c r="AF1277" s="4"/>
      <c r="AG1277" s="4"/>
      <c r="AH1277" s="4"/>
      <c r="AI1277" s="4"/>
      <c r="AJ1277" s="4"/>
      <c r="AK1277" s="4"/>
      <c r="AL1277" s="4"/>
      <c r="AM1277" s="4"/>
      <c r="AN1277" s="4"/>
      <c r="AO1277" s="4"/>
      <c r="AP1277" s="4"/>
      <c r="AQ1277" s="4"/>
      <c r="AR1277" s="4"/>
      <c r="AS1277" s="4"/>
      <c r="AT1277" s="4"/>
      <c r="AU1277" s="4"/>
      <c r="AV1277" s="4"/>
      <c r="AW1277" s="4"/>
      <c r="AX1277" s="4"/>
      <c r="AY1277" s="4"/>
      <c r="AZ1277" s="4"/>
      <c r="BA1277" s="4"/>
      <c r="BB1277" s="4"/>
      <c r="BC1277" s="4"/>
      <c r="BD1277" s="4"/>
      <c r="BE1277" s="4"/>
      <c r="BF1277" s="4"/>
      <c r="BG1277" s="4"/>
      <c r="BH1277" s="4"/>
      <c r="BI1277" s="4"/>
      <c r="BJ1277" s="4"/>
      <c r="BK1277" s="4"/>
      <c r="BL1277" s="4"/>
      <c r="BM1277" s="4"/>
      <c r="BN1277" s="4"/>
      <c r="BO1277" s="4"/>
      <c r="BP1277" s="4"/>
      <c r="BQ1277" s="4"/>
      <c r="BR1277" s="4"/>
      <c r="BS1277" s="4"/>
      <c r="BT1277" s="4"/>
      <c r="BU1277" s="4"/>
    </row>
    <row r="1278" spans="29:73" s="1" customFormat="1" x14ac:dyDescent="0.25">
      <c r="AC1278" s="4"/>
      <c r="AD1278" s="4"/>
      <c r="AE1278" s="4"/>
      <c r="AF1278" s="4"/>
      <c r="AG1278" s="4"/>
      <c r="AH1278" s="4"/>
      <c r="AI1278" s="4"/>
      <c r="AJ1278" s="4"/>
      <c r="AK1278" s="4"/>
      <c r="AL1278" s="4"/>
      <c r="AM1278" s="4"/>
      <c r="AN1278" s="4"/>
      <c r="AO1278" s="4"/>
      <c r="AP1278" s="4"/>
      <c r="AQ1278" s="4"/>
      <c r="AR1278" s="4"/>
      <c r="AS1278" s="4"/>
      <c r="AT1278" s="4"/>
      <c r="AU1278" s="4"/>
      <c r="AV1278" s="4"/>
      <c r="AW1278" s="4"/>
      <c r="AX1278" s="4"/>
      <c r="AY1278" s="4"/>
      <c r="AZ1278" s="4"/>
      <c r="BA1278" s="4"/>
      <c r="BB1278" s="4"/>
      <c r="BC1278" s="4"/>
      <c r="BD1278" s="4"/>
      <c r="BE1278" s="4"/>
      <c r="BF1278" s="4"/>
      <c r="BG1278" s="4"/>
      <c r="BH1278" s="4"/>
      <c r="BI1278" s="4"/>
      <c r="BJ1278" s="4"/>
      <c r="BK1278" s="4"/>
      <c r="BL1278" s="4"/>
      <c r="BM1278" s="4"/>
      <c r="BN1278" s="4"/>
      <c r="BO1278" s="4"/>
      <c r="BP1278" s="4"/>
      <c r="BQ1278" s="4"/>
      <c r="BR1278" s="4"/>
      <c r="BS1278" s="4"/>
      <c r="BT1278" s="4"/>
      <c r="BU1278" s="4"/>
    </row>
    <row r="1279" spans="29:73" s="1" customFormat="1" x14ac:dyDescent="0.25">
      <c r="AC1279" s="4"/>
      <c r="AD1279" s="4"/>
      <c r="AE1279" s="4"/>
      <c r="AF1279" s="4"/>
      <c r="AG1279" s="4"/>
      <c r="AH1279" s="4"/>
      <c r="AI1279" s="4"/>
      <c r="AJ1279" s="4"/>
      <c r="AK1279" s="4"/>
      <c r="AL1279" s="4"/>
      <c r="AM1279" s="4"/>
      <c r="AN1279" s="4"/>
      <c r="AO1279" s="4"/>
      <c r="AP1279" s="4"/>
      <c r="AQ1279" s="4"/>
      <c r="AR1279" s="4"/>
      <c r="AS1279" s="4"/>
      <c r="AT1279" s="4"/>
      <c r="AU1279" s="4"/>
      <c r="AV1279" s="4"/>
      <c r="AW1279" s="4"/>
      <c r="AX1279" s="4"/>
      <c r="AY1279" s="4"/>
      <c r="AZ1279" s="4"/>
      <c r="BA1279" s="4"/>
      <c r="BB1279" s="4"/>
      <c r="BC1279" s="4"/>
      <c r="BD1279" s="4"/>
      <c r="BE1279" s="4"/>
      <c r="BF1279" s="4"/>
      <c r="BG1279" s="4"/>
      <c r="BH1279" s="4"/>
      <c r="BI1279" s="4"/>
      <c r="BJ1279" s="4"/>
      <c r="BK1279" s="4"/>
      <c r="BL1279" s="4"/>
      <c r="BM1279" s="4"/>
      <c r="BN1279" s="4"/>
      <c r="BO1279" s="4"/>
      <c r="BP1279" s="4"/>
      <c r="BQ1279" s="4"/>
      <c r="BR1279" s="4"/>
      <c r="BS1279" s="4"/>
      <c r="BT1279" s="4"/>
      <c r="BU1279" s="4"/>
    </row>
    <row r="1280" spans="29:73" s="1" customFormat="1" x14ac:dyDescent="0.25">
      <c r="AC1280" s="4"/>
      <c r="AD1280" s="4"/>
      <c r="AE1280" s="4"/>
      <c r="AF1280" s="4"/>
      <c r="AG1280" s="4"/>
      <c r="AH1280" s="4"/>
      <c r="AI1280" s="4"/>
      <c r="AJ1280" s="4"/>
      <c r="AK1280" s="4"/>
      <c r="AL1280" s="4"/>
      <c r="AM1280" s="4"/>
      <c r="AN1280" s="4"/>
      <c r="AO1280" s="4"/>
      <c r="AP1280" s="4"/>
      <c r="AQ1280" s="4"/>
      <c r="AR1280" s="4"/>
      <c r="AS1280" s="4"/>
      <c r="AT1280" s="4"/>
      <c r="AU1280" s="4"/>
      <c r="AV1280" s="4"/>
      <c r="AW1280" s="4"/>
      <c r="AX1280" s="4"/>
      <c r="AY1280" s="4"/>
      <c r="AZ1280" s="4"/>
      <c r="BA1280" s="4"/>
      <c r="BB1280" s="4"/>
      <c r="BC1280" s="4"/>
      <c r="BD1280" s="4"/>
      <c r="BE1280" s="4"/>
      <c r="BF1280" s="4"/>
      <c r="BG1280" s="4"/>
      <c r="BH1280" s="4"/>
      <c r="BI1280" s="4"/>
      <c r="BJ1280" s="4"/>
      <c r="BK1280" s="4"/>
      <c r="BL1280" s="4"/>
      <c r="BM1280" s="4"/>
      <c r="BN1280" s="4"/>
      <c r="BO1280" s="4"/>
      <c r="BP1280" s="4"/>
      <c r="BQ1280" s="4"/>
      <c r="BR1280" s="4"/>
      <c r="BS1280" s="4"/>
      <c r="BT1280" s="4"/>
      <c r="BU1280" s="4"/>
    </row>
    <row r="1281" spans="29:73" s="1" customFormat="1" x14ac:dyDescent="0.25">
      <c r="AC1281" s="4"/>
      <c r="AD1281" s="4"/>
      <c r="AE1281" s="4"/>
      <c r="AF1281" s="4"/>
      <c r="AG1281" s="4"/>
      <c r="AH1281" s="4"/>
      <c r="AI1281" s="4"/>
      <c r="AJ1281" s="4"/>
      <c r="AK1281" s="4"/>
      <c r="AL1281" s="4"/>
      <c r="AM1281" s="4"/>
      <c r="AN1281" s="4"/>
      <c r="AO1281" s="4"/>
      <c r="AP1281" s="4"/>
      <c r="AQ1281" s="4"/>
      <c r="AR1281" s="4"/>
      <c r="AS1281" s="4"/>
      <c r="AT1281" s="4"/>
      <c r="AU1281" s="4"/>
      <c r="AV1281" s="4"/>
      <c r="AW1281" s="4"/>
      <c r="AX1281" s="4"/>
      <c r="AY1281" s="4"/>
      <c r="AZ1281" s="4"/>
      <c r="BA1281" s="4"/>
      <c r="BB1281" s="4"/>
      <c r="BC1281" s="4"/>
      <c r="BD1281" s="4"/>
      <c r="BE1281" s="4"/>
      <c r="BF1281" s="4"/>
      <c r="BG1281" s="4"/>
      <c r="BH1281" s="4"/>
      <c r="BI1281" s="4"/>
      <c r="BJ1281" s="4"/>
      <c r="BK1281" s="4"/>
      <c r="BL1281" s="4"/>
      <c r="BM1281" s="4"/>
      <c r="BN1281" s="4"/>
      <c r="BO1281" s="4"/>
      <c r="BP1281" s="4"/>
      <c r="BQ1281" s="4"/>
      <c r="BR1281" s="4"/>
      <c r="BS1281" s="4"/>
      <c r="BT1281" s="4"/>
      <c r="BU1281" s="4"/>
    </row>
    <row r="1282" spans="29:73" s="1" customFormat="1" x14ac:dyDescent="0.25">
      <c r="AC1282" s="4"/>
      <c r="AD1282" s="4"/>
      <c r="AE1282" s="4"/>
      <c r="AF1282" s="4"/>
      <c r="AG1282" s="4"/>
      <c r="AH1282" s="4"/>
      <c r="AI1282" s="4"/>
      <c r="AJ1282" s="4"/>
      <c r="AK1282" s="4"/>
      <c r="AL1282" s="4"/>
      <c r="AM1282" s="4"/>
      <c r="AN1282" s="4"/>
      <c r="AO1282" s="4"/>
      <c r="AP1282" s="4"/>
      <c r="AQ1282" s="4"/>
      <c r="AR1282" s="4"/>
      <c r="AS1282" s="4"/>
      <c r="AT1282" s="4"/>
      <c r="AU1282" s="4"/>
      <c r="AV1282" s="4"/>
      <c r="AW1282" s="4"/>
      <c r="AX1282" s="4"/>
      <c r="AY1282" s="4"/>
      <c r="AZ1282" s="4"/>
      <c r="BA1282" s="4"/>
      <c r="BB1282" s="4"/>
      <c r="BC1282" s="4"/>
      <c r="BD1282" s="4"/>
      <c r="BE1282" s="4"/>
      <c r="BF1282" s="4"/>
      <c r="BG1282" s="4"/>
      <c r="BH1282" s="4"/>
      <c r="BI1282" s="4"/>
      <c r="BJ1282" s="4"/>
      <c r="BK1282" s="4"/>
      <c r="BL1282" s="4"/>
      <c r="BM1282" s="4"/>
      <c r="BN1282" s="4"/>
      <c r="BO1282" s="4"/>
      <c r="BP1282" s="4"/>
      <c r="BQ1282" s="4"/>
      <c r="BR1282" s="4"/>
      <c r="BS1282" s="4"/>
      <c r="BT1282" s="4"/>
      <c r="BU1282" s="4"/>
    </row>
    <row r="1283" spans="29:73" s="1" customFormat="1" x14ac:dyDescent="0.25">
      <c r="AC1283" s="4"/>
      <c r="AD1283" s="4"/>
      <c r="AE1283" s="4"/>
      <c r="AF1283" s="4"/>
      <c r="AG1283" s="4"/>
      <c r="AH1283" s="4"/>
      <c r="AI1283" s="4"/>
      <c r="AJ1283" s="4"/>
      <c r="AK1283" s="4"/>
      <c r="AL1283" s="4"/>
      <c r="AM1283" s="4"/>
      <c r="AN1283" s="4"/>
      <c r="AO1283" s="4"/>
      <c r="AP1283" s="4"/>
      <c r="AQ1283" s="4"/>
      <c r="AR1283" s="4"/>
      <c r="AS1283" s="4"/>
      <c r="AT1283" s="4"/>
      <c r="AU1283" s="4"/>
      <c r="AV1283" s="4"/>
      <c r="AW1283" s="4"/>
      <c r="AX1283" s="4"/>
      <c r="AY1283" s="4"/>
      <c r="AZ1283" s="4"/>
      <c r="BA1283" s="4"/>
      <c r="BB1283" s="4"/>
      <c r="BC1283" s="4"/>
      <c r="BD1283" s="4"/>
      <c r="BE1283" s="4"/>
      <c r="BF1283" s="4"/>
      <c r="BG1283" s="4"/>
      <c r="BH1283" s="4"/>
      <c r="BI1283" s="4"/>
      <c r="BJ1283" s="4"/>
      <c r="BK1283" s="4"/>
      <c r="BL1283" s="4"/>
      <c r="BM1283" s="4"/>
      <c r="BN1283" s="4"/>
      <c r="BO1283" s="4"/>
      <c r="BP1283" s="4"/>
      <c r="BQ1283" s="4"/>
      <c r="BR1283" s="4"/>
      <c r="BS1283" s="4"/>
      <c r="BT1283" s="4"/>
      <c r="BU1283" s="4"/>
    </row>
    <row r="1284" spans="29:73" s="1" customFormat="1" x14ac:dyDescent="0.25">
      <c r="AC1284" s="4"/>
      <c r="AD1284" s="4"/>
      <c r="AE1284" s="4"/>
      <c r="AF1284" s="4"/>
      <c r="AG1284" s="4"/>
      <c r="AH1284" s="4"/>
      <c r="AI1284" s="4"/>
      <c r="AJ1284" s="4"/>
      <c r="AK1284" s="4"/>
      <c r="AL1284" s="4"/>
      <c r="AM1284" s="4"/>
      <c r="AN1284" s="4"/>
      <c r="AO1284" s="4"/>
      <c r="AP1284" s="4"/>
      <c r="AQ1284" s="4"/>
      <c r="AR1284" s="4"/>
      <c r="AS1284" s="4"/>
      <c r="AT1284" s="4"/>
      <c r="AU1284" s="4"/>
      <c r="AV1284" s="4"/>
      <c r="AW1284" s="4"/>
      <c r="AX1284" s="4"/>
      <c r="AY1284" s="4"/>
      <c r="AZ1284" s="4"/>
      <c r="BA1284" s="4"/>
      <c r="BB1284" s="4"/>
      <c r="BC1284" s="4"/>
      <c r="BD1284" s="4"/>
      <c r="BE1284" s="4"/>
      <c r="BF1284" s="4"/>
      <c r="BG1284" s="4"/>
      <c r="BH1284" s="4"/>
      <c r="BI1284" s="4"/>
      <c r="BJ1284" s="4"/>
      <c r="BK1284" s="4"/>
      <c r="BL1284" s="4"/>
      <c r="BM1284" s="4"/>
      <c r="BN1284" s="4"/>
      <c r="BO1284" s="4"/>
      <c r="BP1284" s="4"/>
      <c r="BQ1284" s="4"/>
      <c r="BR1284" s="4"/>
      <c r="BS1284" s="4"/>
      <c r="BT1284" s="4"/>
      <c r="BU1284" s="4"/>
    </row>
    <row r="1285" spans="29:73" s="1" customFormat="1" x14ac:dyDescent="0.25">
      <c r="AC1285" s="4"/>
      <c r="AD1285" s="4"/>
      <c r="AE1285" s="4"/>
      <c r="AF1285" s="4"/>
      <c r="AG1285" s="4"/>
      <c r="AH1285" s="4"/>
      <c r="AI1285" s="4"/>
      <c r="AJ1285" s="4"/>
      <c r="AK1285" s="4"/>
      <c r="AL1285" s="4"/>
      <c r="AM1285" s="4"/>
      <c r="AN1285" s="4"/>
      <c r="AO1285" s="4"/>
      <c r="AP1285" s="4"/>
      <c r="AQ1285" s="4"/>
      <c r="AR1285" s="4"/>
      <c r="AS1285" s="4"/>
      <c r="AT1285" s="4"/>
      <c r="AU1285" s="4"/>
      <c r="AV1285" s="4"/>
      <c r="AW1285" s="4"/>
      <c r="AX1285" s="4"/>
      <c r="AY1285" s="4"/>
      <c r="AZ1285" s="4"/>
      <c r="BA1285" s="4"/>
      <c r="BB1285" s="4"/>
      <c r="BC1285" s="4"/>
      <c r="BD1285" s="4"/>
      <c r="BE1285" s="4"/>
      <c r="BF1285" s="4"/>
      <c r="BG1285" s="4"/>
      <c r="BH1285" s="4"/>
      <c r="BI1285" s="4"/>
      <c r="BJ1285" s="4"/>
      <c r="BK1285" s="4"/>
      <c r="BL1285" s="4"/>
      <c r="BM1285" s="4"/>
      <c r="BN1285" s="4"/>
      <c r="BO1285" s="4"/>
      <c r="BP1285" s="4"/>
      <c r="BQ1285" s="4"/>
      <c r="BR1285" s="4"/>
      <c r="BS1285" s="4"/>
      <c r="BT1285" s="4"/>
      <c r="BU1285" s="4"/>
    </row>
    <row r="1286" spans="29:73" s="1" customFormat="1" x14ac:dyDescent="0.25">
      <c r="AC1286" s="4"/>
      <c r="AD1286" s="4"/>
      <c r="AE1286" s="4"/>
      <c r="AF1286" s="4"/>
      <c r="AG1286" s="4"/>
      <c r="AH1286" s="4"/>
      <c r="AI1286" s="4"/>
      <c r="AJ1286" s="4"/>
      <c r="AK1286" s="4"/>
      <c r="AL1286" s="4"/>
      <c r="AM1286" s="4"/>
      <c r="AN1286" s="4"/>
      <c r="AO1286" s="4"/>
      <c r="AP1286" s="4"/>
      <c r="AQ1286" s="4"/>
      <c r="AR1286" s="4"/>
      <c r="AS1286" s="4"/>
      <c r="AT1286" s="4"/>
      <c r="AU1286" s="4"/>
      <c r="AV1286" s="4"/>
      <c r="AW1286" s="4"/>
      <c r="AX1286" s="4"/>
      <c r="AY1286" s="4"/>
      <c r="AZ1286" s="4"/>
      <c r="BA1286" s="4"/>
      <c r="BB1286" s="4"/>
      <c r="BC1286" s="4"/>
      <c r="BD1286" s="4"/>
      <c r="BE1286" s="4"/>
      <c r="BF1286" s="4"/>
      <c r="BG1286" s="4"/>
      <c r="BH1286" s="4"/>
      <c r="BI1286" s="4"/>
      <c r="BJ1286" s="4"/>
      <c r="BK1286" s="4"/>
      <c r="BL1286" s="4"/>
      <c r="BM1286" s="4"/>
      <c r="BN1286" s="4"/>
      <c r="BO1286" s="4"/>
      <c r="BP1286" s="4"/>
      <c r="BQ1286" s="4"/>
      <c r="BR1286" s="4"/>
      <c r="BS1286" s="4"/>
      <c r="BT1286" s="4"/>
      <c r="BU1286" s="4"/>
    </row>
    <row r="1287" spans="29:73" s="1" customFormat="1" x14ac:dyDescent="0.25">
      <c r="AC1287" s="4"/>
      <c r="AD1287" s="4"/>
      <c r="AE1287" s="4"/>
      <c r="AF1287" s="4"/>
      <c r="AG1287" s="4"/>
      <c r="AH1287" s="4"/>
      <c r="AI1287" s="4"/>
      <c r="AJ1287" s="4"/>
      <c r="AK1287" s="4"/>
      <c r="AL1287" s="4"/>
      <c r="AM1287" s="4"/>
      <c r="AN1287" s="4"/>
      <c r="AO1287" s="4"/>
      <c r="AP1287" s="4"/>
      <c r="AQ1287" s="4"/>
      <c r="AR1287" s="4"/>
      <c r="AS1287" s="4"/>
      <c r="AT1287" s="4"/>
      <c r="AU1287" s="4"/>
      <c r="AV1287" s="4"/>
      <c r="AW1287" s="4"/>
      <c r="AX1287" s="4"/>
      <c r="AY1287" s="4"/>
      <c r="AZ1287" s="4"/>
      <c r="BA1287" s="4"/>
      <c r="BB1287" s="4"/>
      <c r="BC1287" s="4"/>
      <c r="BD1287" s="4"/>
      <c r="BE1287" s="4"/>
      <c r="BF1287" s="4"/>
      <c r="BG1287" s="4"/>
      <c r="BH1287" s="4"/>
      <c r="BI1287" s="4"/>
      <c r="BJ1287" s="4"/>
      <c r="BK1287" s="4"/>
      <c r="BL1287" s="4"/>
      <c r="BM1287" s="4"/>
      <c r="BN1287" s="4"/>
      <c r="BO1287" s="4"/>
      <c r="BP1287" s="4"/>
      <c r="BQ1287" s="4"/>
      <c r="BR1287" s="4"/>
      <c r="BS1287" s="4"/>
      <c r="BT1287" s="4"/>
      <c r="BU1287" s="4"/>
    </row>
    <row r="1288" spans="29:73" s="1" customFormat="1" x14ac:dyDescent="0.25">
      <c r="AC1288" s="4"/>
      <c r="AD1288" s="4"/>
      <c r="AE1288" s="4"/>
      <c r="AF1288" s="4"/>
      <c r="AG1288" s="4"/>
      <c r="AH1288" s="4"/>
      <c r="AI1288" s="4"/>
      <c r="AJ1288" s="4"/>
      <c r="AK1288" s="4"/>
      <c r="AL1288" s="4"/>
      <c r="AM1288" s="4"/>
      <c r="AN1288" s="4"/>
      <c r="AO1288" s="4"/>
      <c r="AP1288" s="4"/>
      <c r="AQ1288" s="4"/>
      <c r="AR1288" s="4"/>
      <c r="AS1288" s="4"/>
      <c r="AT1288" s="4"/>
      <c r="AU1288" s="4"/>
      <c r="AV1288" s="4"/>
      <c r="AW1288" s="4"/>
      <c r="AX1288" s="4"/>
      <c r="AY1288" s="4"/>
      <c r="AZ1288" s="4"/>
      <c r="BA1288" s="4"/>
      <c r="BB1288" s="4"/>
      <c r="BC1288" s="4"/>
      <c r="BD1288" s="4"/>
      <c r="BE1288" s="4"/>
      <c r="BF1288" s="4"/>
      <c r="BG1288" s="4"/>
      <c r="BH1288" s="4"/>
      <c r="BI1288" s="4"/>
      <c r="BJ1288" s="4"/>
      <c r="BK1288" s="4"/>
      <c r="BL1288" s="4"/>
      <c r="BM1288" s="4"/>
      <c r="BN1288" s="4"/>
      <c r="BO1288" s="4"/>
      <c r="BP1288" s="4"/>
      <c r="BQ1288" s="4"/>
      <c r="BR1288" s="4"/>
      <c r="BS1288" s="4"/>
      <c r="BT1288" s="4"/>
      <c r="BU1288" s="4"/>
    </row>
    <row r="1289" spans="29:73" s="1" customFormat="1" x14ac:dyDescent="0.25">
      <c r="AC1289" s="4"/>
      <c r="AD1289" s="4"/>
      <c r="AE1289" s="4"/>
      <c r="AF1289" s="4"/>
      <c r="AG1289" s="4"/>
      <c r="AH1289" s="4"/>
      <c r="AI1289" s="4"/>
      <c r="AJ1289" s="4"/>
      <c r="AK1289" s="4"/>
      <c r="AL1289" s="4"/>
      <c r="AM1289" s="4"/>
      <c r="AN1289" s="4"/>
      <c r="AO1289" s="4"/>
      <c r="AP1289" s="4"/>
      <c r="AQ1289" s="4"/>
      <c r="AR1289" s="4"/>
      <c r="AS1289" s="4"/>
      <c r="AT1289" s="4"/>
      <c r="AU1289" s="4"/>
      <c r="AV1289" s="4"/>
      <c r="AW1289" s="4"/>
      <c r="AX1289" s="4"/>
      <c r="AY1289" s="4"/>
      <c r="AZ1289" s="4"/>
      <c r="BA1289" s="4"/>
      <c r="BB1289" s="4"/>
      <c r="BC1289" s="4"/>
      <c r="BD1289" s="4"/>
      <c r="BE1289" s="4"/>
      <c r="BF1289" s="4"/>
      <c r="BG1289" s="4"/>
      <c r="BH1289" s="4"/>
      <c r="BI1289" s="4"/>
      <c r="BJ1289" s="4"/>
      <c r="BK1289" s="4"/>
      <c r="BL1289" s="4"/>
      <c r="BM1289" s="4"/>
      <c r="BN1289" s="4"/>
      <c r="BO1289" s="4"/>
      <c r="BP1289" s="4"/>
      <c r="BQ1289" s="4"/>
      <c r="BR1289" s="4"/>
      <c r="BS1289" s="4"/>
      <c r="BT1289" s="4"/>
      <c r="BU1289" s="4"/>
    </row>
    <row r="1290" spans="29:73" s="1" customFormat="1" x14ac:dyDescent="0.25">
      <c r="AC1290" s="4"/>
      <c r="AD1290" s="4"/>
      <c r="AE1290" s="4"/>
      <c r="AF1290" s="4"/>
      <c r="AG1290" s="4"/>
      <c r="AH1290" s="4"/>
      <c r="AI1290" s="4"/>
      <c r="AJ1290" s="4"/>
      <c r="AK1290" s="4"/>
      <c r="AL1290" s="4"/>
      <c r="AM1290" s="4"/>
      <c r="AN1290" s="4"/>
      <c r="AO1290" s="4"/>
      <c r="AP1290" s="4"/>
      <c r="AQ1290" s="4"/>
      <c r="AR1290" s="4"/>
      <c r="AS1290" s="4"/>
      <c r="AT1290" s="4"/>
      <c r="AU1290" s="4"/>
      <c r="AV1290" s="4"/>
      <c r="AW1290" s="4"/>
      <c r="AX1290" s="4"/>
      <c r="AY1290" s="4"/>
      <c r="AZ1290" s="4"/>
      <c r="BA1290" s="4"/>
      <c r="BB1290" s="4"/>
      <c r="BC1290" s="4"/>
      <c r="BD1290" s="4"/>
      <c r="BE1290" s="4"/>
      <c r="BF1290" s="4"/>
      <c r="BG1290" s="4"/>
      <c r="BH1290" s="4"/>
      <c r="BI1290" s="4"/>
      <c r="BJ1290" s="4"/>
      <c r="BK1290" s="4"/>
      <c r="BL1290" s="4"/>
      <c r="BM1290" s="4"/>
      <c r="BN1290" s="4"/>
      <c r="BO1290" s="4"/>
      <c r="BP1290" s="4"/>
      <c r="BQ1290" s="4"/>
      <c r="BR1290" s="4"/>
      <c r="BS1290" s="4"/>
      <c r="BT1290" s="4"/>
      <c r="BU1290" s="4"/>
    </row>
    <row r="1291" spans="29:73" s="1" customFormat="1" x14ac:dyDescent="0.25">
      <c r="AC1291" s="4"/>
      <c r="AD1291" s="4"/>
      <c r="AE1291" s="4"/>
      <c r="AF1291" s="4"/>
      <c r="AG1291" s="4"/>
      <c r="AH1291" s="4"/>
      <c r="AI1291" s="4"/>
      <c r="AJ1291" s="4"/>
      <c r="AK1291" s="4"/>
      <c r="AL1291" s="4"/>
      <c r="AM1291" s="4"/>
      <c r="AN1291" s="4"/>
      <c r="AO1291" s="4"/>
      <c r="AP1291" s="4"/>
      <c r="AQ1291" s="4"/>
      <c r="AR1291" s="4"/>
      <c r="AS1291" s="4"/>
      <c r="AT1291" s="4"/>
      <c r="AU1291" s="4"/>
      <c r="AV1291" s="4"/>
      <c r="AW1291" s="4"/>
      <c r="AX1291" s="4"/>
      <c r="AY1291" s="4"/>
      <c r="AZ1291" s="4"/>
      <c r="BA1291" s="4"/>
      <c r="BB1291" s="4"/>
      <c r="BC1291" s="4"/>
      <c r="BD1291" s="4"/>
      <c r="BE1291" s="4"/>
      <c r="BF1291" s="4"/>
      <c r="BG1291" s="4"/>
      <c r="BH1291" s="4"/>
      <c r="BI1291" s="4"/>
      <c r="BJ1291" s="4"/>
      <c r="BK1291" s="4"/>
      <c r="BL1291" s="4"/>
      <c r="BM1291" s="4"/>
      <c r="BN1291" s="4"/>
      <c r="BO1291" s="4"/>
      <c r="BP1291" s="4"/>
      <c r="BQ1291" s="4"/>
      <c r="BR1291" s="4"/>
      <c r="BS1291" s="4"/>
      <c r="BT1291" s="4"/>
      <c r="BU1291" s="4"/>
    </row>
    <row r="1292" spans="29:73" s="1" customFormat="1" x14ac:dyDescent="0.25">
      <c r="AC1292" s="4"/>
      <c r="AD1292" s="4"/>
      <c r="AE1292" s="4"/>
      <c r="AF1292" s="4"/>
      <c r="AG1292" s="4"/>
      <c r="AH1292" s="4"/>
      <c r="AI1292" s="4"/>
      <c r="AJ1292" s="4"/>
      <c r="AK1292" s="4"/>
      <c r="AL1292" s="4"/>
      <c r="AM1292" s="4"/>
      <c r="AN1292" s="4"/>
      <c r="AO1292" s="4"/>
      <c r="AP1292" s="4"/>
      <c r="AQ1292" s="4"/>
      <c r="AR1292" s="4"/>
      <c r="AS1292" s="4"/>
      <c r="AT1292" s="4"/>
      <c r="AU1292" s="4"/>
      <c r="AV1292" s="4"/>
      <c r="AW1292" s="4"/>
      <c r="AX1292" s="4"/>
      <c r="AY1292" s="4"/>
      <c r="AZ1292" s="4"/>
      <c r="BA1292" s="4"/>
      <c r="BB1292" s="4"/>
      <c r="BC1292" s="4"/>
      <c r="BD1292" s="4"/>
      <c r="BE1292" s="4"/>
      <c r="BF1292" s="4"/>
      <c r="BG1292" s="4"/>
      <c r="BH1292" s="4"/>
      <c r="BI1292" s="4"/>
      <c r="BJ1292" s="4"/>
      <c r="BK1292" s="4"/>
      <c r="BL1292" s="4"/>
      <c r="BM1292" s="4"/>
      <c r="BN1292" s="4"/>
      <c r="BO1292" s="4"/>
      <c r="BP1292" s="4"/>
      <c r="BQ1292" s="4"/>
      <c r="BR1292" s="4"/>
      <c r="BS1292" s="4"/>
      <c r="BT1292" s="4"/>
      <c r="BU1292" s="4"/>
    </row>
    <row r="1293" spans="29:73" s="1" customFormat="1" x14ac:dyDescent="0.25">
      <c r="AC1293" s="4"/>
      <c r="AD1293" s="4"/>
      <c r="AE1293" s="4"/>
      <c r="AF1293" s="4"/>
      <c r="AG1293" s="4"/>
      <c r="AH1293" s="4"/>
      <c r="AI1293" s="4"/>
      <c r="AJ1293" s="4"/>
      <c r="AK1293" s="4"/>
      <c r="AL1293" s="4"/>
      <c r="AM1293" s="4"/>
      <c r="AN1293" s="4"/>
      <c r="AO1293" s="4"/>
      <c r="AP1293" s="4"/>
      <c r="AQ1293" s="4"/>
      <c r="AR1293" s="4"/>
      <c r="AS1293" s="4"/>
      <c r="AT1293" s="4"/>
      <c r="AU1293" s="4"/>
      <c r="AV1293" s="4"/>
      <c r="AW1293" s="4"/>
      <c r="AX1293" s="4"/>
      <c r="AY1293" s="4"/>
      <c r="AZ1293" s="4"/>
      <c r="BA1293" s="4"/>
      <c r="BB1293" s="4"/>
      <c r="BC1293" s="4"/>
      <c r="BD1293" s="4"/>
      <c r="BE1293" s="4"/>
      <c r="BF1293" s="4"/>
      <c r="BG1293" s="4"/>
      <c r="BH1293" s="4"/>
      <c r="BI1293" s="4"/>
      <c r="BJ1293" s="4"/>
      <c r="BK1293" s="4"/>
      <c r="BL1293" s="4"/>
      <c r="BM1293" s="4"/>
      <c r="BN1293" s="4"/>
      <c r="BO1293" s="4"/>
      <c r="BP1293" s="4"/>
      <c r="BQ1293" s="4"/>
      <c r="BR1293" s="4"/>
      <c r="BS1293" s="4"/>
      <c r="BT1293" s="4"/>
      <c r="BU1293" s="4"/>
    </row>
    <row r="1294" spans="29:73" s="1" customFormat="1" x14ac:dyDescent="0.25">
      <c r="AC1294" s="4"/>
      <c r="AD1294" s="4"/>
      <c r="AE1294" s="4"/>
      <c r="AF1294" s="4"/>
      <c r="AG1294" s="4"/>
      <c r="AH1294" s="4"/>
      <c r="AI1294" s="4"/>
      <c r="AJ1294" s="4"/>
      <c r="AK1294" s="4"/>
      <c r="AL1294" s="4"/>
      <c r="AM1294" s="4"/>
      <c r="AN1294" s="4"/>
      <c r="AO1294" s="4"/>
      <c r="AP1294" s="4"/>
      <c r="AQ1294" s="4"/>
      <c r="AR1294" s="4"/>
      <c r="AS1294" s="4"/>
      <c r="AT1294" s="4"/>
      <c r="AU1294" s="4"/>
      <c r="AV1294" s="4"/>
      <c r="AW1294" s="4"/>
      <c r="AX1294" s="4"/>
      <c r="AY1294" s="4"/>
      <c r="AZ1294" s="4"/>
      <c r="BA1294" s="4"/>
      <c r="BB1294" s="4"/>
      <c r="BC1294" s="4"/>
      <c r="BD1294" s="4"/>
      <c r="BE1294" s="4"/>
      <c r="BF1294" s="4"/>
      <c r="BG1294" s="4"/>
      <c r="BH1294" s="4"/>
      <c r="BI1294" s="4"/>
      <c r="BJ1294" s="4"/>
      <c r="BK1294" s="4"/>
      <c r="BL1294" s="4"/>
      <c r="BM1294" s="4"/>
      <c r="BN1294" s="4"/>
      <c r="BO1294" s="4"/>
      <c r="BP1294" s="4"/>
      <c r="BQ1294" s="4"/>
      <c r="BR1294" s="4"/>
      <c r="BS1294" s="4"/>
      <c r="BT1294" s="4"/>
      <c r="BU1294" s="4"/>
    </row>
    <row r="1295" spans="29:73" s="1" customFormat="1" x14ac:dyDescent="0.25">
      <c r="AC1295" s="4"/>
      <c r="AD1295" s="4"/>
      <c r="AE1295" s="4"/>
      <c r="AF1295" s="4"/>
      <c r="AG1295" s="4"/>
      <c r="AH1295" s="4"/>
      <c r="AI1295" s="4"/>
      <c r="AJ1295" s="4"/>
      <c r="AK1295" s="4"/>
      <c r="AL1295" s="4"/>
      <c r="AM1295" s="4"/>
      <c r="AN1295" s="4"/>
      <c r="AO1295" s="4"/>
      <c r="AP1295" s="4"/>
      <c r="AQ1295" s="4"/>
      <c r="AR1295" s="4"/>
      <c r="AS1295" s="4"/>
      <c r="AT1295" s="4"/>
      <c r="AU1295" s="4"/>
      <c r="AV1295" s="4"/>
      <c r="AW1295" s="4"/>
      <c r="AX1295" s="4"/>
      <c r="AY1295" s="4"/>
      <c r="AZ1295" s="4"/>
      <c r="BA1295" s="4"/>
      <c r="BB1295" s="4"/>
      <c r="BC1295" s="4"/>
      <c r="BD1295" s="4"/>
      <c r="BE1295" s="4"/>
      <c r="BF1295" s="4"/>
      <c r="BG1295" s="4"/>
      <c r="BH1295" s="4"/>
      <c r="BI1295" s="4"/>
      <c r="BJ1295" s="4"/>
      <c r="BK1295" s="4"/>
      <c r="BL1295" s="4"/>
      <c r="BM1295" s="4"/>
      <c r="BN1295" s="4"/>
      <c r="BO1295" s="4"/>
      <c r="BP1295" s="4"/>
      <c r="BQ1295" s="4"/>
      <c r="BR1295" s="4"/>
      <c r="BS1295" s="4"/>
      <c r="BT1295" s="4"/>
      <c r="BU1295" s="4"/>
    </row>
    <row r="1296" spans="29:73" s="1" customFormat="1" x14ac:dyDescent="0.25">
      <c r="AC1296" s="4"/>
      <c r="AD1296" s="4"/>
      <c r="AE1296" s="4"/>
      <c r="AF1296" s="4"/>
      <c r="AG1296" s="4"/>
      <c r="AH1296" s="4"/>
      <c r="AI1296" s="4"/>
      <c r="AJ1296" s="4"/>
      <c r="AK1296" s="4"/>
      <c r="AL1296" s="4"/>
      <c r="AM1296" s="4"/>
      <c r="AN1296" s="4"/>
      <c r="AO1296" s="4"/>
      <c r="AP1296" s="4"/>
      <c r="AQ1296" s="4"/>
      <c r="AR1296" s="4"/>
      <c r="AS1296" s="4"/>
      <c r="AT1296" s="4"/>
      <c r="AU1296" s="4"/>
      <c r="AV1296" s="4"/>
      <c r="AW1296" s="4"/>
      <c r="AX1296" s="4"/>
      <c r="AY1296" s="4"/>
      <c r="AZ1296" s="4"/>
      <c r="BA1296" s="4"/>
      <c r="BB1296" s="4"/>
      <c r="BC1296" s="4"/>
      <c r="BD1296" s="4"/>
      <c r="BE1296" s="4"/>
      <c r="BF1296" s="4"/>
      <c r="BG1296" s="4"/>
      <c r="BH1296" s="4"/>
      <c r="BI1296" s="4"/>
      <c r="BJ1296" s="4"/>
      <c r="BK1296" s="4"/>
      <c r="BL1296" s="4"/>
      <c r="BM1296" s="4"/>
      <c r="BN1296" s="4"/>
      <c r="BO1296" s="4"/>
      <c r="BP1296" s="4"/>
      <c r="BQ1296" s="4"/>
      <c r="BR1296" s="4"/>
      <c r="BS1296" s="4"/>
      <c r="BT1296" s="4"/>
      <c r="BU1296" s="4"/>
    </row>
    <row r="1297" spans="29:73" s="1" customFormat="1" x14ac:dyDescent="0.25">
      <c r="AC1297" s="4"/>
      <c r="AD1297" s="4"/>
      <c r="AE1297" s="4"/>
      <c r="AF1297" s="4"/>
      <c r="AG1297" s="4"/>
      <c r="AH1297" s="4"/>
      <c r="AI1297" s="4"/>
      <c r="AJ1297" s="4"/>
      <c r="AK1297" s="4"/>
      <c r="AL1297" s="4"/>
      <c r="AM1297" s="4"/>
      <c r="AN1297" s="4"/>
      <c r="AO1297" s="4"/>
      <c r="AP1297" s="4"/>
      <c r="AQ1297" s="4"/>
      <c r="AR1297" s="4"/>
      <c r="AS1297" s="4"/>
      <c r="AT1297" s="4"/>
      <c r="AU1297" s="4"/>
      <c r="AV1297" s="4"/>
      <c r="AW1297" s="4"/>
      <c r="AX1297" s="4"/>
      <c r="AY1297" s="4"/>
      <c r="AZ1297" s="4"/>
      <c r="BA1297" s="4"/>
      <c r="BB1297" s="4"/>
      <c r="BC1297" s="4"/>
      <c r="BD1297" s="4"/>
      <c r="BE1297" s="4"/>
      <c r="BF1297" s="4"/>
      <c r="BG1297" s="4"/>
      <c r="BH1297" s="4"/>
      <c r="BI1297" s="4"/>
      <c r="BJ1297" s="4"/>
      <c r="BK1297" s="4"/>
      <c r="BL1297" s="4"/>
      <c r="BM1297" s="4"/>
      <c r="BN1297" s="4"/>
      <c r="BO1297" s="4"/>
      <c r="BP1297" s="4"/>
      <c r="BQ1297" s="4"/>
      <c r="BR1297" s="4"/>
      <c r="BS1297" s="4"/>
      <c r="BT1297" s="4"/>
      <c r="BU1297" s="4"/>
    </row>
    <row r="1298" spans="29:73" s="1" customFormat="1" x14ac:dyDescent="0.25">
      <c r="AC1298" s="4"/>
      <c r="AD1298" s="4"/>
      <c r="AE1298" s="4"/>
      <c r="AF1298" s="4"/>
      <c r="AG1298" s="4"/>
      <c r="AH1298" s="4"/>
      <c r="AI1298" s="4"/>
      <c r="AJ1298" s="4"/>
      <c r="AK1298" s="4"/>
      <c r="AL1298" s="4"/>
      <c r="AM1298" s="4"/>
      <c r="AN1298" s="4"/>
      <c r="AO1298" s="4"/>
      <c r="AP1298" s="4"/>
      <c r="AQ1298" s="4"/>
      <c r="AR1298" s="4"/>
      <c r="AS1298" s="4"/>
      <c r="AT1298" s="4"/>
      <c r="AU1298" s="4"/>
      <c r="AV1298" s="4"/>
      <c r="AW1298" s="4"/>
      <c r="AX1298" s="4"/>
      <c r="AY1298" s="4"/>
      <c r="AZ1298" s="4"/>
      <c r="BA1298" s="4"/>
      <c r="BB1298" s="4"/>
      <c r="BC1298" s="4"/>
      <c r="BD1298" s="4"/>
      <c r="BE1298" s="4"/>
      <c r="BF1298" s="4"/>
      <c r="BG1298" s="4"/>
      <c r="BH1298" s="4"/>
      <c r="BI1298" s="4"/>
      <c r="BJ1298" s="4"/>
      <c r="BK1298" s="4"/>
      <c r="BL1298" s="4"/>
      <c r="BM1298" s="4"/>
      <c r="BN1298" s="4"/>
      <c r="BO1298" s="4"/>
      <c r="BP1298" s="4"/>
      <c r="BQ1298" s="4"/>
      <c r="BR1298" s="4"/>
      <c r="BS1298" s="4"/>
      <c r="BT1298" s="4"/>
      <c r="BU1298" s="4"/>
    </row>
    <row r="1299" spans="29:73" s="1" customFormat="1" x14ac:dyDescent="0.25">
      <c r="AC1299" s="4"/>
      <c r="AD1299" s="4"/>
      <c r="AE1299" s="4"/>
      <c r="AF1299" s="4"/>
      <c r="AG1299" s="4"/>
      <c r="AH1299" s="4"/>
      <c r="AI1299" s="4"/>
      <c r="AJ1299" s="4"/>
      <c r="AK1299" s="4"/>
      <c r="AL1299" s="4"/>
      <c r="AM1299" s="4"/>
      <c r="AN1299" s="4"/>
      <c r="AO1299" s="4"/>
      <c r="AP1299" s="4"/>
      <c r="AQ1299" s="4"/>
      <c r="AR1299" s="4"/>
      <c r="AS1299" s="4"/>
      <c r="AT1299" s="4"/>
      <c r="AU1299" s="4"/>
      <c r="AV1299" s="4"/>
      <c r="AW1299" s="4"/>
      <c r="AX1299" s="4"/>
      <c r="AY1299" s="4"/>
      <c r="AZ1299" s="4"/>
      <c r="BA1299" s="4"/>
      <c r="BB1299" s="4"/>
      <c r="BC1299" s="4"/>
      <c r="BD1299" s="4"/>
      <c r="BE1299" s="4"/>
      <c r="BF1299" s="4"/>
      <c r="BG1299" s="4"/>
      <c r="BH1299" s="4"/>
      <c r="BI1299" s="4"/>
      <c r="BJ1299" s="4"/>
      <c r="BK1299" s="4"/>
      <c r="BL1299" s="4"/>
      <c r="BM1299" s="4"/>
      <c r="BN1299" s="4"/>
      <c r="BO1299" s="4"/>
      <c r="BP1299" s="4"/>
      <c r="BQ1299" s="4"/>
      <c r="BR1299" s="4"/>
      <c r="BS1299" s="4"/>
      <c r="BT1299" s="4"/>
      <c r="BU1299" s="4"/>
    </row>
    <row r="1300" spans="29:73" s="1" customFormat="1" x14ac:dyDescent="0.25">
      <c r="AC1300" s="4"/>
      <c r="AD1300" s="4"/>
      <c r="AE1300" s="4"/>
      <c r="AF1300" s="4"/>
      <c r="AG1300" s="4"/>
      <c r="AH1300" s="4"/>
      <c r="AI1300" s="4"/>
      <c r="AJ1300" s="4"/>
      <c r="AK1300" s="4"/>
      <c r="AL1300" s="4"/>
      <c r="AM1300" s="4"/>
      <c r="AN1300" s="4"/>
      <c r="AO1300" s="4"/>
      <c r="AP1300" s="4"/>
      <c r="AQ1300" s="4"/>
      <c r="AR1300" s="4"/>
      <c r="AS1300" s="4"/>
      <c r="AT1300" s="4"/>
      <c r="AU1300" s="4"/>
      <c r="AV1300" s="4"/>
      <c r="AW1300" s="4"/>
      <c r="AX1300" s="4"/>
      <c r="AY1300" s="4"/>
      <c r="AZ1300" s="4"/>
      <c r="BA1300" s="4"/>
      <c r="BB1300" s="4"/>
      <c r="BC1300" s="4"/>
      <c r="BD1300" s="4"/>
      <c r="BE1300" s="4"/>
      <c r="BF1300" s="4"/>
      <c r="BG1300" s="4"/>
      <c r="BH1300" s="4"/>
      <c r="BI1300" s="4"/>
      <c r="BJ1300" s="4"/>
      <c r="BK1300" s="4"/>
      <c r="BL1300" s="4"/>
      <c r="BM1300" s="4"/>
      <c r="BN1300" s="4"/>
      <c r="BO1300" s="4"/>
      <c r="BP1300" s="4"/>
      <c r="BQ1300" s="4"/>
      <c r="BR1300" s="4"/>
      <c r="BS1300" s="4"/>
      <c r="BT1300" s="4"/>
      <c r="BU1300" s="4"/>
    </row>
    <row r="1301" spans="29:73" s="1" customFormat="1" x14ac:dyDescent="0.25">
      <c r="AC1301" s="4"/>
      <c r="AD1301" s="4"/>
      <c r="AE1301" s="4"/>
      <c r="AF1301" s="4"/>
      <c r="AG1301" s="4"/>
      <c r="AH1301" s="4"/>
      <c r="AI1301" s="4"/>
      <c r="AJ1301" s="4"/>
      <c r="AK1301" s="4"/>
      <c r="AL1301" s="4"/>
      <c r="AM1301" s="4"/>
      <c r="AN1301" s="4"/>
      <c r="AO1301" s="4"/>
      <c r="AP1301" s="4"/>
      <c r="AQ1301" s="4"/>
      <c r="AR1301" s="4"/>
      <c r="AS1301" s="4"/>
      <c r="AT1301" s="4"/>
      <c r="AU1301" s="4"/>
      <c r="AV1301" s="4"/>
      <c r="AW1301" s="4"/>
      <c r="AX1301" s="4"/>
      <c r="AY1301" s="4"/>
      <c r="AZ1301" s="4"/>
      <c r="BA1301" s="4"/>
      <c r="BB1301" s="4"/>
      <c r="BC1301" s="4"/>
      <c r="BD1301" s="4"/>
      <c r="BE1301" s="4"/>
      <c r="BF1301" s="4"/>
      <c r="BG1301" s="4"/>
      <c r="BH1301" s="4"/>
      <c r="BI1301" s="4"/>
      <c r="BJ1301" s="4"/>
      <c r="BK1301" s="4"/>
      <c r="BL1301" s="4"/>
      <c r="BM1301" s="4"/>
      <c r="BN1301" s="4"/>
      <c r="BO1301" s="4"/>
      <c r="BP1301" s="4"/>
      <c r="BQ1301" s="4"/>
      <c r="BR1301" s="4"/>
      <c r="BS1301" s="4"/>
      <c r="BT1301" s="4"/>
      <c r="BU1301" s="4"/>
    </row>
    <row r="1302" spans="29:73" s="1" customFormat="1" x14ac:dyDescent="0.25">
      <c r="AC1302" s="4"/>
      <c r="AD1302" s="4"/>
      <c r="AE1302" s="4"/>
      <c r="AF1302" s="4"/>
      <c r="AG1302" s="4"/>
      <c r="AH1302" s="4"/>
      <c r="AI1302" s="4"/>
      <c r="AJ1302" s="4"/>
      <c r="AK1302" s="4"/>
      <c r="AL1302" s="4"/>
      <c r="AM1302" s="4"/>
      <c r="AN1302" s="4"/>
      <c r="AO1302" s="4"/>
      <c r="AP1302" s="4"/>
      <c r="AQ1302" s="4"/>
      <c r="AR1302" s="4"/>
      <c r="AS1302" s="4"/>
      <c r="AT1302" s="4"/>
      <c r="AU1302" s="4"/>
      <c r="AV1302" s="4"/>
      <c r="AW1302" s="4"/>
      <c r="AX1302" s="4"/>
      <c r="AY1302" s="4"/>
      <c r="AZ1302" s="4"/>
      <c r="BA1302" s="4"/>
      <c r="BB1302" s="4"/>
      <c r="BC1302" s="4"/>
      <c r="BD1302" s="4"/>
      <c r="BE1302" s="4"/>
      <c r="BF1302" s="4"/>
      <c r="BG1302" s="4"/>
      <c r="BH1302" s="4"/>
      <c r="BI1302" s="4"/>
      <c r="BJ1302" s="4"/>
      <c r="BK1302" s="4"/>
      <c r="BL1302" s="4"/>
      <c r="BM1302" s="4"/>
      <c r="BN1302" s="4"/>
      <c r="BO1302" s="4"/>
      <c r="BP1302" s="4"/>
      <c r="BQ1302" s="4"/>
      <c r="BR1302" s="4"/>
      <c r="BS1302" s="4"/>
      <c r="BT1302" s="4"/>
      <c r="BU1302" s="4"/>
    </row>
    <row r="1303" spans="29:73" s="1" customFormat="1" x14ac:dyDescent="0.25">
      <c r="AC1303" s="4"/>
      <c r="AD1303" s="4"/>
      <c r="AE1303" s="4"/>
      <c r="AF1303" s="4"/>
      <c r="AG1303" s="4"/>
      <c r="AH1303" s="4"/>
      <c r="AI1303" s="4"/>
      <c r="AJ1303" s="4"/>
      <c r="AK1303" s="4"/>
      <c r="AL1303" s="4"/>
      <c r="AM1303" s="4"/>
      <c r="AN1303" s="4"/>
      <c r="AO1303" s="4"/>
      <c r="AP1303" s="4"/>
      <c r="AQ1303" s="4"/>
      <c r="AR1303" s="4"/>
      <c r="AS1303" s="4"/>
      <c r="AT1303" s="4"/>
      <c r="AU1303" s="4"/>
      <c r="AV1303" s="4"/>
      <c r="AW1303" s="4"/>
      <c r="AX1303" s="4"/>
      <c r="AY1303" s="4"/>
      <c r="AZ1303" s="4"/>
      <c r="BA1303" s="4"/>
      <c r="BB1303" s="4"/>
      <c r="BC1303" s="4"/>
      <c r="BD1303" s="4"/>
      <c r="BE1303" s="4"/>
      <c r="BF1303" s="4"/>
      <c r="BG1303" s="4"/>
      <c r="BH1303" s="4"/>
      <c r="BI1303" s="4"/>
      <c r="BJ1303" s="4"/>
      <c r="BK1303" s="4"/>
      <c r="BL1303" s="4"/>
      <c r="BM1303" s="4"/>
      <c r="BN1303" s="4"/>
      <c r="BO1303" s="4"/>
      <c r="BP1303" s="4"/>
      <c r="BQ1303" s="4"/>
      <c r="BR1303" s="4"/>
      <c r="BS1303" s="4"/>
      <c r="BT1303" s="4"/>
      <c r="BU1303" s="4"/>
    </row>
    <row r="1304" spans="29:73" s="1" customFormat="1" x14ac:dyDescent="0.25">
      <c r="AC1304" s="4"/>
      <c r="AD1304" s="4"/>
      <c r="AE1304" s="4"/>
      <c r="AF1304" s="4"/>
      <c r="AG1304" s="4"/>
      <c r="AH1304" s="4"/>
      <c r="AI1304" s="4"/>
      <c r="AJ1304" s="4"/>
      <c r="AK1304" s="4"/>
      <c r="AL1304" s="4"/>
      <c r="AM1304" s="4"/>
      <c r="AN1304" s="4"/>
      <c r="AO1304" s="4"/>
      <c r="AP1304" s="4"/>
      <c r="AQ1304" s="4"/>
      <c r="AR1304" s="4"/>
      <c r="AS1304" s="4"/>
      <c r="AT1304" s="4"/>
      <c r="AU1304" s="4"/>
      <c r="AV1304" s="4"/>
      <c r="AW1304" s="4"/>
      <c r="AX1304" s="4"/>
      <c r="AY1304" s="4"/>
      <c r="AZ1304" s="4"/>
      <c r="BA1304" s="4"/>
      <c r="BB1304" s="4"/>
      <c r="BC1304" s="4"/>
      <c r="BD1304" s="4"/>
      <c r="BE1304" s="4"/>
      <c r="BF1304" s="4"/>
      <c r="BG1304" s="4"/>
      <c r="BH1304" s="4"/>
      <c r="BI1304" s="4"/>
      <c r="BJ1304" s="4"/>
      <c r="BK1304" s="4"/>
      <c r="BL1304" s="4"/>
      <c r="BM1304" s="4"/>
      <c r="BN1304" s="4"/>
      <c r="BO1304" s="4"/>
      <c r="BP1304" s="4"/>
      <c r="BQ1304" s="4"/>
      <c r="BR1304" s="4"/>
      <c r="BS1304" s="4"/>
      <c r="BT1304" s="4"/>
      <c r="BU1304" s="4"/>
    </row>
    <row r="1305" spans="29:73" s="1" customFormat="1" x14ac:dyDescent="0.25">
      <c r="AC1305" s="4"/>
      <c r="AD1305" s="4"/>
      <c r="AE1305" s="4"/>
      <c r="AF1305" s="4"/>
      <c r="AG1305" s="4"/>
      <c r="AH1305" s="4"/>
      <c r="AI1305" s="4"/>
      <c r="AJ1305" s="4"/>
      <c r="AK1305" s="4"/>
      <c r="AL1305" s="4"/>
      <c r="AM1305" s="4"/>
      <c r="AN1305" s="4"/>
      <c r="AO1305" s="4"/>
      <c r="AP1305" s="4"/>
      <c r="AQ1305" s="4"/>
      <c r="AR1305" s="4"/>
      <c r="AS1305" s="4"/>
      <c r="AT1305" s="4"/>
      <c r="AU1305" s="4"/>
      <c r="AV1305" s="4"/>
      <c r="AW1305" s="4"/>
      <c r="AX1305" s="4"/>
      <c r="AY1305" s="4"/>
      <c r="AZ1305" s="4"/>
      <c r="BA1305" s="4"/>
      <c r="BB1305" s="4"/>
      <c r="BC1305" s="4"/>
      <c r="BD1305" s="4"/>
      <c r="BE1305" s="4"/>
      <c r="BF1305" s="4"/>
      <c r="BG1305" s="4"/>
      <c r="BH1305" s="4"/>
      <c r="BI1305" s="4"/>
      <c r="BJ1305" s="4"/>
      <c r="BK1305" s="4"/>
      <c r="BL1305" s="4"/>
      <c r="BM1305" s="4"/>
      <c r="BN1305" s="4"/>
      <c r="BO1305" s="4"/>
      <c r="BP1305" s="4"/>
      <c r="BQ1305" s="4"/>
      <c r="BR1305" s="4"/>
      <c r="BS1305" s="4"/>
      <c r="BT1305" s="4"/>
      <c r="BU1305" s="4"/>
    </row>
    <row r="1306" spans="29:73" s="1" customFormat="1" x14ac:dyDescent="0.25">
      <c r="AC1306" s="4"/>
      <c r="AD1306" s="4"/>
      <c r="AE1306" s="4"/>
      <c r="AF1306" s="4"/>
      <c r="AG1306" s="4"/>
      <c r="AH1306" s="4"/>
      <c r="AI1306" s="4"/>
      <c r="AJ1306" s="4"/>
      <c r="AK1306" s="4"/>
      <c r="AL1306" s="4"/>
      <c r="AM1306" s="4"/>
      <c r="AN1306" s="4"/>
      <c r="AO1306" s="4"/>
      <c r="AP1306" s="4"/>
      <c r="AQ1306" s="4"/>
      <c r="AR1306" s="4"/>
      <c r="AS1306" s="4"/>
      <c r="AT1306" s="4"/>
      <c r="AU1306" s="4"/>
      <c r="AV1306" s="4"/>
      <c r="AW1306" s="4"/>
      <c r="AX1306" s="4"/>
      <c r="AY1306" s="4"/>
      <c r="AZ1306" s="4"/>
      <c r="BA1306" s="4"/>
      <c r="BB1306" s="4"/>
      <c r="BC1306" s="4"/>
      <c r="BD1306" s="4"/>
      <c r="BE1306" s="4"/>
      <c r="BF1306" s="4"/>
      <c r="BG1306" s="4"/>
      <c r="BH1306" s="4"/>
      <c r="BI1306" s="4"/>
      <c r="BJ1306" s="4"/>
      <c r="BK1306" s="4"/>
      <c r="BL1306" s="4"/>
      <c r="BM1306" s="4"/>
      <c r="BN1306" s="4"/>
      <c r="BO1306" s="4"/>
      <c r="BP1306" s="4"/>
      <c r="BQ1306" s="4"/>
      <c r="BR1306" s="4"/>
      <c r="BS1306" s="4"/>
      <c r="BT1306" s="4"/>
      <c r="BU1306" s="4"/>
    </row>
    <row r="1307" spans="29:73" s="1" customFormat="1" x14ac:dyDescent="0.25">
      <c r="AC1307" s="4"/>
      <c r="AD1307" s="4"/>
      <c r="AE1307" s="4"/>
      <c r="AF1307" s="4"/>
      <c r="AG1307" s="4"/>
      <c r="AH1307" s="4"/>
      <c r="AI1307" s="4"/>
      <c r="AJ1307" s="4"/>
      <c r="AK1307" s="4"/>
      <c r="AL1307" s="4"/>
      <c r="AM1307" s="4"/>
      <c r="AN1307" s="4"/>
      <c r="AO1307" s="4"/>
      <c r="AP1307" s="4"/>
      <c r="AQ1307" s="4"/>
      <c r="AR1307" s="4"/>
      <c r="AS1307" s="4"/>
      <c r="AT1307" s="4"/>
      <c r="AU1307" s="4"/>
      <c r="AV1307" s="4"/>
      <c r="AW1307" s="4"/>
      <c r="AX1307" s="4"/>
      <c r="AY1307" s="4"/>
      <c r="AZ1307" s="4"/>
      <c r="BA1307" s="4"/>
      <c r="BB1307" s="4"/>
      <c r="BC1307" s="4"/>
      <c r="BD1307" s="4"/>
      <c r="BE1307" s="4"/>
      <c r="BF1307" s="4"/>
      <c r="BG1307" s="4"/>
      <c r="BH1307" s="4"/>
      <c r="BI1307" s="4"/>
      <c r="BJ1307" s="4"/>
      <c r="BK1307" s="4"/>
      <c r="BL1307" s="4"/>
      <c r="BM1307" s="4"/>
      <c r="BN1307" s="4"/>
      <c r="BO1307" s="4"/>
      <c r="BP1307" s="4"/>
      <c r="BQ1307" s="4"/>
      <c r="BR1307" s="4"/>
      <c r="BS1307" s="4"/>
      <c r="BT1307" s="4"/>
      <c r="BU1307" s="4"/>
    </row>
    <row r="1308" spans="29:73" s="1" customFormat="1" x14ac:dyDescent="0.25">
      <c r="AC1308" s="4"/>
      <c r="AD1308" s="4"/>
      <c r="AE1308" s="4"/>
      <c r="AF1308" s="4"/>
      <c r="AG1308" s="4"/>
      <c r="AH1308" s="4"/>
      <c r="AI1308" s="4"/>
      <c r="AJ1308" s="4"/>
      <c r="AK1308" s="4"/>
      <c r="AL1308" s="4"/>
      <c r="AM1308" s="4"/>
      <c r="AN1308" s="4"/>
      <c r="AO1308" s="4"/>
      <c r="AP1308" s="4"/>
      <c r="AQ1308" s="4"/>
      <c r="AR1308" s="4"/>
      <c r="AS1308" s="4"/>
      <c r="AT1308" s="4"/>
      <c r="AU1308" s="4"/>
      <c r="AV1308" s="4"/>
      <c r="AW1308" s="4"/>
      <c r="AX1308" s="4"/>
      <c r="AY1308" s="4"/>
      <c r="AZ1308" s="4"/>
      <c r="BA1308" s="4"/>
      <c r="BB1308" s="4"/>
      <c r="BC1308" s="4"/>
      <c r="BD1308" s="4"/>
      <c r="BE1308" s="4"/>
      <c r="BF1308" s="4"/>
      <c r="BG1308" s="4"/>
      <c r="BH1308" s="4"/>
      <c r="BI1308" s="4"/>
      <c r="BJ1308" s="4"/>
      <c r="BK1308" s="4"/>
      <c r="BL1308" s="4"/>
      <c r="BM1308" s="4"/>
      <c r="BN1308" s="4"/>
      <c r="BO1308" s="4"/>
      <c r="BP1308" s="4"/>
      <c r="BQ1308" s="4"/>
      <c r="BR1308" s="4"/>
      <c r="BS1308" s="4"/>
      <c r="BT1308" s="4"/>
      <c r="BU1308" s="4"/>
    </row>
    <row r="1309" spans="29:73" s="1" customFormat="1" x14ac:dyDescent="0.25">
      <c r="AC1309" s="4"/>
      <c r="AD1309" s="4"/>
      <c r="AE1309" s="4"/>
      <c r="AF1309" s="4"/>
      <c r="AG1309" s="4"/>
      <c r="AH1309" s="4"/>
      <c r="AI1309" s="4"/>
      <c r="AJ1309" s="4"/>
      <c r="AK1309" s="4"/>
      <c r="AL1309" s="4"/>
      <c r="AM1309" s="4"/>
      <c r="AN1309" s="4"/>
      <c r="AO1309" s="4"/>
      <c r="AP1309" s="4"/>
      <c r="AQ1309" s="4"/>
      <c r="AR1309" s="4"/>
      <c r="AS1309" s="4"/>
      <c r="AT1309" s="4"/>
      <c r="AU1309" s="4"/>
      <c r="AV1309" s="4"/>
      <c r="AW1309" s="4"/>
      <c r="AX1309" s="4"/>
      <c r="AY1309" s="4"/>
      <c r="AZ1309" s="4"/>
      <c r="BA1309" s="4"/>
      <c r="BB1309" s="4"/>
      <c r="BC1309" s="4"/>
      <c r="BD1309" s="4"/>
      <c r="BE1309" s="4"/>
      <c r="BF1309" s="4"/>
      <c r="BG1309" s="4"/>
      <c r="BH1309" s="4"/>
      <c r="BI1309" s="4"/>
      <c r="BJ1309" s="4"/>
      <c r="BK1309" s="4"/>
      <c r="BL1309" s="4"/>
      <c r="BM1309" s="4"/>
      <c r="BN1309" s="4"/>
      <c r="BO1309" s="4"/>
      <c r="BP1309" s="4"/>
      <c r="BQ1309" s="4"/>
      <c r="BR1309" s="4"/>
      <c r="BS1309" s="4"/>
      <c r="BT1309" s="4"/>
      <c r="BU1309" s="4"/>
    </row>
    <row r="1310" spans="29:73" s="1" customFormat="1" x14ac:dyDescent="0.25">
      <c r="AC1310" s="4"/>
      <c r="AD1310" s="4"/>
      <c r="AE1310" s="4"/>
      <c r="AF1310" s="4"/>
      <c r="AG1310" s="4"/>
      <c r="AH1310" s="4"/>
      <c r="AI1310" s="4"/>
      <c r="AJ1310" s="4"/>
      <c r="AK1310" s="4"/>
      <c r="AL1310" s="4"/>
      <c r="AM1310" s="4"/>
      <c r="AN1310" s="4"/>
      <c r="AO1310" s="4"/>
      <c r="AP1310" s="4"/>
      <c r="AQ1310" s="4"/>
      <c r="AR1310" s="4"/>
      <c r="AS1310" s="4"/>
      <c r="AT1310" s="4"/>
      <c r="AU1310" s="4"/>
      <c r="AV1310" s="4"/>
      <c r="AW1310" s="4"/>
      <c r="AX1310" s="4"/>
      <c r="AY1310" s="4"/>
      <c r="AZ1310" s="4"/>
      <c r="BA1310" s="4"/>
      <c r="BB1310" s="4"/>
      <c r="BC1310" s="4"/>
      <c r="BD1310" s="4"/>
      <c r="BE1310" s="4"/>
      <c r="BF1310" s="4"/>
      <c r="BG1310" s="4"/>
      <c r="BH1310" s="4"/>
      <c r="BI1310" s="4"/>
      <c r="BJ1310" s="4"/>
      <c r="BK1310" s="4"/>
      <c r="BL1310" s="4"/>
      <c r="BM1310" s="4"/>
      <c r="BN1310" s="4"/>
      <c r="BO1310" s="4"/>
      <c r="BP1310" s="4"/>
      <c r="BQ1310" s="4"/>
      <c r="BR1310" s="4"/>
      <c r="BS1310" s="4"/>
      <c r="BT1310" s="4"/>
      <c r="BU1310" s="4"/>
    </row>
    <row r="1311" spans="29:73" s="1" customFormat="1" x14ac:dyDescent="0.25">
      <c r="AC1311" s="4"/>
      <c r="AD1311" s="4"/>
      <c r="AE1311" s="4"/>
      <c r="AF1311" s="4"/>
      <c r="AG1311" s="4"/>
      <c r="AH1311" s="4"/>
      <c r="AI1311" s="4"/>
      <c r="AJ1311" s="4"/>
      <c r="AK1311" s="4"/>
      <c r="AL1311" s="4"/>
      <c r="AM1311" s="4"/>
      <c r="AN1311" s="4"/>
      <c r="AO1311" s="4"/>
      <c r="AP1311" s="4"/>
      <c r="AQ1311" s="4"/>
      <c r="AR1311" s="4"/>
      <c r="AS1311" s="4"/>
      <c r="AT1311" s="4"/>
      <c r="AU1311" s="4"/>
      <c r="AV1311" s="4"/>
      <c r="AW1311" s="4"/>
      <c r="AX1311" s="4"/>
      <c r="AY1311" s="4"/>
      <c r="AZ1311" s="4"/>
      <c r="BA1311" s="4"/>
      <c r="BB1311" s="4"/>
      <c r="BC1311" s="4"/>
      <c r="BD1311" s="4"/>
      <c r="BE1311" s="4"/>
      <c r="BF1311" s="4"/>
      <c r="BG1311" s="4"/>
      <c r="BH1311" s="4"/>
      <c r="BI1311" s="4"/>
      <c r="BJ1311" s="4"/>
      <c r="BK1311" s="4"/>
      <c r="BL1311" s="4"/>
      <c r="BM1311" s="4"/>
      <c r="BN1311" s="4"/>
      <c r="BO1311" s="4"/>
      <c r="BP1311" s="4"/>
      <c r="BQ1311" s="4"/>
      <c r="BR1311" s="4"/>
      <c r="BS1311" s="4"/>
      <c r="BT1311" s="4"/>
      <c r="BU1311" s="4"/>
    </row>
    <row r="1312" spans="29:73" s="1" customFormat="1" x14ac:dyDescent="0.25">
      <c r="AC1312" s="4"/>
      <c r="AD1312" s="4"/>
      <c r="AE1312" s="4"/>
      <c r="AF1312" s="4"/>
      <c r="AG1312" s="4"/>
      <c r="AH1312" s="4"/>
      <c r="AI1312" s="4"/>
      <c r="AJ1312" s="4"/>
      <c r="AK1312" s="4"/>
      <c r="AL1312" s="4"/>
      <c r="AM1312" s="4"/>
      <c r="AN1312" s="4"/>
      <c r="AO1312" s="4"/>
      <c r="AP1312" s="4"/>
      <c r="AQ1312" s="4"/>
      <c r="AR1312" s="4"/>
      <c r="AS1312" s="4"/>
      <c r="AT1312" s="4"/>
      <c r="AU1312" s="4"/>
      <c r="AV1312" s="4"/>
      <c r="AW1312" s="4"/>
      <c r="AX1312" s="4"/>
      <c r="AY1312" s="4"/>
      <c r="AZ1312" s="4"/>
      <c r="BA1312" s="4"/>
      <c r="BB1312" s="4"/>
      <c r="BC1312" s="4"/>
      <c r="BD1312" s="4"/>
      <c r="BE1312" s="4"/>
      <c r="BF1312" s="4"/>
      <c r="BG1312" s="4"/>
      <c r="BH1312" s="4"/>
      <c r="BI1312" s="4"/>
      <c r="BJ1312" s="4"/>
      <c r="BK1312" s="4"/>
      <c r="BL1312" s="4"/>
      <c r="BM1312" s="4"/>
      <c r="BN1312" s="4"/>
      <c r="BO1312" s="4"/>
      <c r="BP1312" s="4"/>
      <c r="BQ1312" s="4"/>
      <c r="BR1312" s="4"/>
      <c r="BS1312" s="4"/>
      <c r="BT1312" s="4"/>
      <c r="BU1312" s="4"/>
    </row>
    <row r="1313" spans="29:73" s="1" customFormat="1" x14ac:dyDescent="0.25">
      <c r="AC1313" s="4"/>
      <c r="AD1313" s="4"/>
      <c r="AE1313" s="4"/>
      <c r="AF1313" s="4"/>
      <c r="AG1313" s="4"/>
      <c r="AH1313" s="4"/>
      <c r="AI1313" s="4"/>
      <c r="AJ1313" s="4"/>
      <c r="AK1313" s="4"/>
      <c r="AL1313" s="4"/>
      <c r="AM1313" s="4"/>
      <c r="AN1313" s="4"/>
      <c r="AO1313" s="4"/>
      <c r="AP1313" s="4"/>
      <c r="AQ1313" s="4"/>
      <c r="AR1313" s="4"/>
      <c r="AS1313" s="4"/>
      <c r="AT1313" s="4"/>
      <c r="AU1313" s="4"/>
      <c r="AV1313" s="4"/>
      <c r="AW1313" s="4"/>
      <c r="AX1313" s="4"/>
      <c r="AY1313" s="4"/>
      <c r="AZ1313" s="4"/>
      <c r="BA1313" s="4"/>
      <c r="BB1313" s="4"/>
      <c r="BC1313" s="4"/>
      <c r="BD1313" s="4"/>
      <c r="BE1313" s="4"/>
      <c r="BF1313" s="4"/>
      <c r="BG1313" s="4"/>
      <c r="BH1313" s="4"/>
      <c r="BI1313" s="4"/>
      <c r="BJ1313" s="4"/>
      <c r="BK1313" s="4"/>
      <c r="BL1313" s="4"/>
      <c r="BM1313" s="4"/>
      <c r="BN1313" s="4"/>
      <c r="BO1313" s="4"/>
      <c r="BP1313" s="4"/>
      <c r="BQ1313" s="4"/>
      <c r="BR1313" s="4"/>
      <c r="BS1313" s="4"/>
      <c r="BT1313" s="4"/>
      <c r="BU1313" s="4"/>
    </row>
    <row r="1314" spans="29:73" s="1" customFormat="1" x14ac:dyDescent="0.25">
      <c r="AC1314" s="4"/>
      <c r="AD1314" s="4"/>
      <c r="AE1314" s="4"/>
      <c r="AF1314" s="4"/>
      <c r="AG1314" s="4"/>
      <c r="AH1314" s="4"/>
      <c r="AI1314" s="4"/>
      <c r="AJ1314" s="4"/>
      <c r="AK1314" s="4"/>
      <c r="AL1314" s="4"/>
      <c r="AM1314" s="4"/>
      <c r="AN1314" s="4"/>
      <c r="AO1314" s="4"/>
      <c r="AP1314" s="4"/>
      <c r="AQ1314" s="4"/>
      <c r="AR1314" s="4"/>
      <c r="AS1314" s="4"/>
      <c r="AT1314" s="4"/>
      <c r="AU1314" s="4"/>
      <c r="AV1314" s="4"/>
      <c r="AW1314" s="4"/>
      <c r="AX1314" s="4"/>
      <c r="AY1314" s="4"/>
      <c r="AZ1314" s="4"/>
      <c r="BA1314" s="4"/>
      <c r="BB1314" s="4"/>
      <c r="BC1314" s="4"/>
      <c r="BD1314" s="4"/>
      <c r="BE1314" s="4"/>
      <c r="BF1314" s="4"/>
      <c r="BG1314" s="4"/>
      <c r="BH1314" s="4"/>
      <c r="BI1314" s="4"/>
      <c r="BJ1314" s="4"/>
      <c r="BK1314" s="4"/>
      <c r="BL1314" s="4"/>
      <c r="BM1314" s="4"/>
      <c r="BN1314" s="4"/>
      <c r="BO1314" s="4"/>
      <c r="BP1314" s="4"/>
      <c r="BQ1314" s="4"/>
      <c r="BR1314" s="4"/>
      <c r="BS1314" s="4"/>
      <c r="BT1314" s="4"/>
      <c r="BU1314" s="4"/>
    </row>
    <row r="1315" spans="29:73" s="1" customFormat="1" x14ac:dyDescent="0.25">
      <c r="AC1315" s="4"/>
      <c r="AD1315" s="4"/>
      <c r="AE1315" s="4"/>
      <c r="AF1315" s="4"/>
      <c r="AG1315" s="4"/>
      <c r="AH1315" s="4"/>
      <c r="AI1315" s="4"/>
      <c r="AJ1315" s="4"/>
      <c r="AK1315" s="4"/>
      <c r="AL1315" s="4"/>
      <c r="AM1315" s="4"/>
      <c r="AN1315" s="4"/>
      <c r="AO1315" s="4"/>
      <c r="AP1315" s="4"/>
      <c r="AQ1315" s="4"/>
      <c r="AR1315" s="4"/>
      <c r="AS1315" s="4"/>
      <c r="AT1315" s="4"/>
      <c r="AU1315" s="4"/>
      <c r="AV1315" s="4"/>
      <c r="AW1315" s="4"/>
      <c r="AX1315" s="4"/>
      <c r="AY1315" s="4"/>
      <c r="AZ1315" s="4"/>
      <c r="BA1315" s="4"/>
      <c r="BB1315" s="4"/>
      <c r="BC1315" s="4"/>
      <c r="BD1315" s="4"/>
      <c r="BE1315" s="4"/>
      <c r="BF1315" s="4"/>
      <c r="BG1315" s="4"/>
      <c r="BH1315" s="4"/>
      <c r="BI1315" s="4"/>
      <c r="BJ1315" s="4"/>
      <c r="BK1315" s="4"/>
      <c r="BL1315" s="4"/>
      <c r="BM1315" s="4"/>
      <c r="BN1315" s="4"/>
      <c r="BO1315" s="4"/>
      <c r="BP1315" s="4"/>
      <c r="BQ1315" s="4"/>
      <c r="BR1315" s="4"/>
      <c r="BS1315" s="4"/>
      <c r="BT1315" s="4"/>
      <c r="BU1315" s="4"/>
    </row>
    <row r="1316" spans="29:73" s="1" customFormat="1" x14ac:dyDescent="0.25">
      <c r="AC1316" s="4"/>
      <c r="AD1316" s="4"/>
      <c r="AE1316" s="4"/>
      <c r="AF1316" s="4"/>
      <c r="AG1316" s="4"/>
      <c r="AH1316" s="4"/>
      <c r="AI1316" s="4"/>
      <c r="AJ1316" s="4"/>
      <c r="AK1316" s="4"/>
      <c r="AL1316" s="4"/>
      <c r="AM1316" s="4"/>
      <c r="AN1316" s="4"/>
      <c r="AO1316" s="4"/>
      <c r="AP1316" s="4"/>
      <c r="AQ1316" s="4"/>
      <c r="AR1316" s="4"/>
      <c r="AS1316" s="4"/>
      <c r="AT1316" s="4"/>
      <c r="AU1316" s="4"/>
      <c r="AV1316" s="4"/>
      <c r="AW1316" s="4"/>
      <c r="AX1316" s="4"/>
      <c r="AY1316" s="4"/>
      <c r="AZ1316" s="4"/>
      <c r="BA1316" s="4"/>
      <c r="BB1316" s="4"/>
      <c r="BC1316" s="4"/>
      <c r="BD1316" s="4"/>
      <c r="BE1316" s="4"/>
      <c r="BF1316" s="4"/>
      <c r="BG1316" s="4"/>
      <c r="BH1316" s="4"/>
      <c r="BI1316" s="4"/>
      <c r="BJ1316" s="4"/>
      <c r="BK1316" s="4"/>
      <c r="BL1316" s="4"/>
      <c r="BM1316" s="4"/>
      <c r="BN1316" s="4"/>
      <c r="BO1316" s="4"/>
      <c r="BP1316" s="4"/>
      <c r="BQ1316" s="4"/>
      <c r="BR1316" s="4"/>
      <c r="BS1316" s="4"/>
      <c r="BT1316" s="4"/>
      <c r="BU1316" s="4"/>
    </row>
    <row r="1317" spans="29:73" s="1" customFormat="1" x14ac:dyDescent="0.25">
      <c r="AC1317" s="4"/>
      <c r="AD1317" s="4"/>
      <c r="AE1317" s="4"/>
      <c r="AF1317" s="4"/>
      <c r="AG1317" s="4"/>
      <c r="AH1317" s="4"/>
      <c r="AI1317" s="4"/>
      <c r="AJ1317" s="4"/>
      <c r="AK1317" s="4"/>
      <c r="AL1317" s="4"/>
      <c r="AM1317" s="4"/>
      <c r="AN1317" s="4"/>
      <c r="AO1317" s="4"/>
      <c r="AP1317" s="4"/>
      <c r="AQ1317" s="4"/>
      <c r="AR1317" s="4"/>
      <c r="AS1317" s="4"/>
      <c r="AT1317" s="4"/>
      <c r="AU1317" s="4"/>
      <c r="AV1317" s="4"/>
      <c r="AW1317" s="4"/>
      <c r="AX1317" s="4"/>
      <c r="AY1317" s="4"/>
      <c r="AZ1317" s="4"/>
      <c r="BA1317" s="4"/>
      <c r="BB1317" s="4"/>
      <c r="BC1317" s="4"/>
      <c r="BD1317" s="4"/>
      <c r="BE1317" s="4"/>
      <c r="BF1317" s="4"/>
      <c r="BG1317" s="4"/>
      <c r="BH1317" s="4"/>
      <c r="BI1317" s="4"/>
      <c r="BJ1317" s="4"/>
      <c r="BK1317" s="4"/>
      <c r="BL1317" s="4"/>
      <c r="BM1317" s="4"/>
      <c r="BN1317" s="4"/>
      <c r="BO1317" s="4"/>
      <c r="BP1317" s="4"/>
      <c r="BQ1317" s="4"/>
      <c r="BR1317" s="4"/>
      <c r="BS1317" s="4"/>
      <c r="BT1317" s="4"/>
      <c r="BU1317" s="4"/>
    </row>
    <row r="1318" spans="29:73" s="1" customFormat="1" x14ac:dyDescent="0.25">
      <c r="AC1318" s="4"/>
      <c r="AD1318" s="4"/>
      <c r="AE1318" s="4"/>
      <c r="AF1318" s="4"/>
      <c r="AG1318" s="4"/>
      <c r="AH1318" s="4"/>
      <c r="AI1318" s="4"/>
      <c r="AJ1318" s="4"/>
      <c r="AK1318" s="4"/>
      <c r="AL1318" s="4"/>
      <c r="AM1318" s="4"/>
      <c r="AN1318" s="4"/>
      <c r="AO1318" s="4"/>
      <c r="AP1318" s="4"/>
      <c r="AQ1318" s="4"/>
      <c r="AR1318" s="4"/>
      <c r="AS1318" s="4"/>
      <c r="AT1318" s="4"/>
      <c r="AU1318" s="4"/>
      <c r="AV1318" s="4"/>
      <c r="AW1318" s="4"/>
      <c r="AX1318" s="4"/>
      <c r="AY1318" s="4"/>
      <c r="AZ1318" s="4"/>
      <c r="BA1318" s="4"/>
      <c r="BB1318" s="4"/>
      <c r="BC1318" s="4"/>
      <c r="BD1318" s="4"/>
      <c r="BE1318" s="4"/>
      <c r="BF1318" s="4"/>
      <c r="BG1318" s="4"/>
      <c r="BH1318" s="4"/>
      <c r="BI1318" s="4"/>
      <c r="BJ1318" s="4"/>
      <c r="BK1318" s="4"/>
      <c r="BL1318" s="4"/>
      <c r="BM1318" s="4"/>
      <c r="BN1318" s="4"/>
      <c r="BO1318" s="4"/>
      <c r="BP1318" s="4"/>
      <c r="BQ1318" s="4"/>
      <c r="BR1318" s="4"/>
      <c r="BS1318" s="4"/>
      <c r="BT1318" s="4"/>
      <c r="BU1318" s="4"/>
    </row>
    <row r="1319" spans="29:73" s="1" customFormat="1" x14ac:dyDescent="0.25">
      <c r="AC1319" s="4"/>
      <c r="AD1319" s="4"/>
      <c r="AE1319" s="4"/>
      <c r="AF1319" s="4"/>
      <c r="AG1319" s="4"/>
      <c r="AH1319" s="4"/>
      <c r="AI1319" s="4"/>
      <c r="AJ1319" s="4"/>
      <c r="AK1319" s="4"/>
      <c r="AL1319" s="4"/>
      <c r="AM1319" s="4"/>
      <c r="AN1319" s="4"/>
      <c r="AO1319" s="4"/>
      <c r="AP1319" s="4"/>
      <c r="AQ1319" s="4"/>
      <c r="AR1319" s="4"/>
      <c r="AS1319" s="4"/>
      <c r="AT1319" s="4"/>
      <c r="AU1319" s="4"/>
      <c r="AV1319" s="4"/>
      <c r="AW1319" s="4"/>
      <c r="AX1319" s="4"/>
      <c r="AY1319" s="4"/>
      <c r="AZ1319" s="4"/>
      <c r="BA1319" s="4"/>
      <c r="BB1319" s="4"/>
      <c r="BC1319" s="4"/>
      <c r="BD1319" s="4"/>
      <c r="BE1319" s="4"/>
      <c r="BF1319" s="4"/>
      <c r="BG1319" s="4"/>
      <c r="BH1319" s="4"/>
      <c r="BI1319" s="4"/>
      <c r="BJ1319" s="4"/>
      <c r="BK1319" s="4"/>
      <c r="BL1319" s="4"/>
      <c r="BM1319" s="4"/>
      <c r="BN1319" s="4"/>
      <c r="BO1319" s="4"/>
      <c r="BP1319" s="4"/>
      <c r="BQ1319" s="4"/>
      <c r="BR1319" s="4"/>
      <c r="BS1319" s="4"/>
      <c r="BT1319" s="4"/>
      <c r="BU1319" s="4"/>
    </row>
    <row r="1320" spans="29:73" s="1" customFormat="1" x14ac:dyDescent="0.25">
      <c r="AC1320" s="4"/>
      <c r="AD1320" s="4"/>
      <c r="AE1320" s="4"/>
      <c r="AF1320" s="4"/>
      <c r="AG1320" s="4"/>
      <c r="AH1320" s="4"/>
      <c r="AI1320" s="4"/>
      <c r="AJ1320" s="4"/>
      <c r="AK1320" s="4"/>
      <c r="AL1320" s="4"/>
      <c r="AM1320" s="4"/>
      <c r="AN1320" s="4"/>
      <c r="AO1320" s="4"/>
      <c r="AP1320" s="4"/>
      <c r="AQ1320" s="4"/>
      <c r="AR1320" s="4"/>
      <c r="AS1320" s="4"/>
      <c r="AT1320" s="4"/>
      <c r="AU1320" s="4"/>
      <c r="AV1320" s="4"/>
      <c r="AW1320" s="4"/>
      <c r="AX1320" s="4"/>
      <c r="AY1320" s="4"/>
      <c r="AZ1320" s="4"/>
      <c r="BA1320" s="4"/>
      <c r="BB1320" s="4"/>
      <c r="BC1320" s="4"/>
      <c r="BD1320" s="4"/>
      <c r="BE1320" s="4"/>
      <c r="BF1320" s="4"/>
      <c r="BG1320" s="4"/>
      <c r="BH1320" s="4"/>
      <c r="BI1320" s="4"/>
      <c r="BJ1320" s="4"/>
      <c r="BK1320" s="4"/>
      <c r="BL1320" s="4"/>
      <c r="BM1320" s="4"/>
      <c r="BN1320" s="4"/>
      <c r="BO1320" s="4"/>
      <c r="BP1320" s="4"/>
      <c r="BQ1320" s="4"/>
      <c r="BR1320" s="4"/>
      <c r="BS1320" s="4"/>
      <c r="BT1320" s="4"/>
      <c r="BU1320" s="4"/>
    </row>
    <row r="1321" spans="29:73" s="1" customFormat="1" x14ac:dyDescent="0.25">
      <c r="AC1321" s="4"/>
      <c r="AD1321" s="4"/>
      <c r="AE1321" s="4"/>
      <c r="AF1321" s="4"/>
      <c r="AG1321" s="4"/>
      <c r="AH1321" s="4"/>
      <c r="AI1321" s="4"/>
      <c r="AJ1321" s="4"/>
      <c r="AK1321" s="4"/>
      <c r="AL1321" s="4"/>
      <c r="AM1321" s="4"/>
      <c r="AN1321" s="4"/>
      <c r="AO1321" s="4"/>
      <c r="AP1321" s="4"/>
      <c r="AQ1321" s="4"/>
      <c r="AR1321" s="4"/>
      <c r="AS1321" s="4"/>
      <c r="AT1321" s="4"/>
      <c r="AU1321" s="4"/>
      <c r="AV1321" s="4"/>
      <c r="AW1321" s="4"/>
      <c r="AX1321" s="4"/>
      <c r="AY1321" s="4"/>
      <c r="AZ1321" s="4"/>
      <c r="BA1321" s="4"/>
      <c r="BB1321" s="4"/>
      <c r="BC1321" s="4"/>
      <c r="BD1321" s="4"/>
      <c r="BE1321" s="4"/>
      <c r="BF1321" s="4"/>
      <c r="BG1321" s="4"/>
      <c r="BH1321" s="4"/>
      <c r="BI1321" s="4"/>
      <c r="BJ1321" s="4"/>
      <c r="BK1321" s="4"/>
      <c r="BL1321" s="4"/>
      <c r="BM1321" s="4"/>
      <c r="BN1321" s="4"/>
      <c r="BO1321" s="4"/>
      <c r="BP1321" s="4"/>
      <c r="BQ1321" s="4"/>
      <c r="BR1321" s="4"/>
      <c r="BS1321" s="4"/>
      <c r="BT1321" s="4"/>
      <c r="BU1321" s="4"/>
    </row>
    <row r="1322" spans="29:73" s="1" customFormat="1" x14ac:dyDescent="0.25">
      <c r="AC1322" s="4"/>
      <c r="AD1322" s="4"/>
      <c r="AE1322" s="4"/>
      <c r="AF1322" s="4"/>
      <c r="AG1322" s="4"/>
      <c r="AH1322" s="4"/>
      <c r="AI1322" s="4"/>
      <c r="AJ1322" s="4"/>
      <c r="AK1322" s="4"/>
      <c r="AL1322" s="4"/>
      <c r="AM1322" s="4"/>
      <c r="AN1322" s="4"/>
      <c r="AO1322" s="4"/>
      <c r="AP1322" s="4"/>
      <c r="AQ1322" s="4"/>
      <c r="AR1322" s="4"/>
      <c r="AS1322" s="4"/>
      <c r="AT1322" s="4"/>
      <c r="AU1322" s="4"/>
      <c r="AV1322" s="4"/>
      <c r="AW1322" s="4"/>
      <c r="AX1322" s="4"/>
      <c r="AY1322" s="4"/>
      <c r="AZ1322" s="4"/>
      <c r="BA1322" s="4"/>
      <c r="BB1322" s="4"/>
      <c r="BC1322" s="4"/>
      <c r="BD1322" s="4"/>
      <c r="BE1322" s="4"/>
      <c r="BF1322" s="4"/>
      <c r="BG1322" s="4"/>
      <c r="BH1322" s="4"/>
      <c r="BI1322" s="4"/>
      <c r="BJ1322" s="4"/>
      <c r="BK1322" s="4"/>
      <c r="BL1322" s="4"/>
      <c r="BM1322" s="4"/>
      <c r="BN1322" s="4"/>
      <c r="BO1322" s="4"/>
      <c r="BP1322" s="4"/>
      <c r="BQ1322" s="4"/>
      <c r="BR1322" s="4"/>
      <c r="BS1322" s="4"/>
      <c r="BT1322" s="4"/>
      <c r="BU1322" s="4"/>
    </row>
    <row r="1323" spans="29:73" s="1" customFormat="1" x14ac:dyDescent="0.25">
      <c r="AC1323" s="4"/>
      <c r="AD1323" s="4"/>
      <c r="AE1323" s="4"/>
      <c r="AF1323" s="4"/>
      <c r="AG1323" s="4"/>
      <c r="AH1323" s="4"/>
      <c r="AI1323" s="4"/>
      <c r="AJ1323" s="4"/>
      <c r="AK1323" s="4"/>
      <c r="AL1323" s="4"/>
      <c r="AM1323" s="4"/>
      <c r="AN1323" s="4"/>
      <c r="AO1323" s="4"/>
      <c r="AP1323" s="4"/>
      <c r="AQ1323" s="4"/>
      <c r="AR1323" s="4"/>
      <c r="AS1323" s="4"/>
      <c r="AT1323" s="4"/>
      <c r="AU1323" s="4"/>
      <c r="AV1323" s="4"/>
      <c r="AW1323" s="4"/>
      <c r="AX1323" s="4"/>
      <c r="AY1323" s="4"/>
      <c r="AZ1323" s="4"/>
      <c r="BA1323" s="4"/>
      <c r="BB1323" s="4"/>
      <c r="BC1323" s="4"/>
      <c r="BD1323" s="4"/>
      <c r="BE1323" s="4"/>
      <c r="BF1323" s="4"/>
      <c r="BG1323" s="4"/>
      <c r="BH1323" s="4"/>
      <c r="BI1323" s="4"/>
      <c r="BJ1323" s="4"/>
      <c r="BK1323" s="4"/>
      <c r="BL1323" s="4"/>
      <c r="BM1323" s="4"/>
      <c r="BN1323" s="4"/>
      <c r="BO1323" s="4"/>
      <c r="BP1323" s="4"/>
      <c r="BQ1323" s="4"/>
      <c r="BR1323" s="4"/>
      <c r="BS1323" s="4"/>
      <c r="BT1323" s="4"/>
      <c r="BU1323" s="4"/>
    </row>
    <row r="1324" spans="29:73" s="1" customFormat="1" x14ac:dyDescent="0.25">
      <c r="AC1324" s="4"/>
      <c r="AD1324" s="4"/>
      <c r="AE1324" s="4"/>
      <c r="AF1324" s="4"/>
      <c r="AG1324" s="4"/>
      <c r="AH1324" s="4"/>
      <c r="AI1324" s="4"/>
      <c r="AJ1324" s="4"/>
      <c r="AK1324" s="4"/>
      <c r="AL1324" s="4"/>
      <c r="AM1324" s="4"/>
      <c r="AN1324" s="4"/>
      <c r="AO1324" s="4"/>
      <c r="AP1324" s="4"/>
      <c r="AQ1324" s="4"/>
      <c r="AR1324" s="4"/>
      <c r="AS1324" s="4"/>
      <c r="AT1324" s="4"/>
      <c r="AU1324" s="4"/>
      <c r="AV1324" s="4"/>
      <c r="AW1324" s="4"/>
      <c r="AX1324" s="4"/>
      <c r="AY1324" s="4"/>
      <c r="AZ1324" s="4"/>
      <c r="BA1324" s="4"/>
      <c r="BB1324" s="4"/>
      <c r="BC1324" s="4"/>
      <c r="BD1324" s="4"/>
      <c r="BE1324" s="4"/>
      <c r="BF1324" s="4"/>
      <c r="BG1324" s="4"/>
      <c r="BH1324" s="4"/>
      <c r="BI1324" s="4"/>
      <c r="BJ1324" s="4"/>
      <c r="BK1324" s="4"/>
      <c r="BL1324" s="4"/>
      <c r="BM1324" s="4"/>
      <c r="BN1324" s="4"/>
      <c r="BO1324" s="4"/>
      <c r="BP1324" s="4"/>
      <c r="BQ1324" s="4"/>
      <c r="BR1324" s="4"/>
      <c r="BS1324" s="4"/>
      <c r="BT1324" s="4"/>
      <c r="BU1324" s="4"/>
    </row>
    <row r="1325" spans="29:73" s="1" customFormat="1" x14ac:dyDescent="0.25">
      <c r="AC1325" s="4"/>
      <c r="AD1325" s="4"/>
      <c r="AE1325" s="4"/>
      <c r="AF1325" s="4"/>
      <c r="AG1325" s="4"/>
      <c r="AH1325" s="4"/>
      <c r="AI1325" s="4"/>
      <c r="AJ1325" s="4"/>
      <c r="AK1325" s="4"/>
      <c r="AL1325" s="4"/>
      <c r="AM1325" s="4"/>
      <c r="AN1325" s="4"/>
      <c r="AO1325" s="4"/>
      <c r="AP1325" s="4"/>
      <c r="AQ1325" s="4"/>
      <c r="AR1325" s="4"/>
      <c r="AS1325" s="4"/>
      <c r="AT1325" s="4"/>
      <c r="AU1325" s="4"/>
      <c r="AV1325" s="4"/>
      <c r="AW1325" s="4"/>
      <c r="AX1325" s="4"/>
      <c r="AY1325" s="4"/>
      <c r="AZ1325" s="4"/>
      <c r="BA1325" s="4"/>
      <c r="BB1325" s="4"/>
      <c r="BC1325" s="4"/>
      <c r="BD1325" s="4"/>
      <c r="BE1325" s="4"/>
      <c r="BF1325" s="4"/>
      <c r="BG1325" s="4"/>
      <c r="BH1325" s="4"/>
      <c r="BI1325" s="4"/>
      <c r="BJ1325" s="4"/>
      <c r="BK1325" s="4"/>
      <c r="BL1325" s="4"/>
      <c r="BM1325" s="4"/>
      <c r="BN1325" s="4"/>
      <c r="BO1325" s="4"/>
      <c r="BP1325" s="4"/>
      <c r="BQ1325" s="4"/>
      <c r="BR1325" s="4"/>
      <c r="BS1325" s="4"/>
      <c r="BT1325" s="4"/>
      <c r="BU1325" s="4"/>
    </row>
    <row r="1326" spans="29:73" s="1" customFormat="1" x14ac:dyDescent="0.25">
      <c r="AC1326" s="4"/>
      <c r="AD1326" s="4"/>
      <c r="AE1326" s="4"/>
      <c r="AF1326" s="4"/>
      <c r="AG1326" s="4"/>
      <c r="AH1326" s="4"/>
      <c r="AI1326" s="4"/>
      <c r="AJ1326" s="4"/>
      <c r="AK1326" s="4"/>
      <c r="AL1326" s="4"/>
      <c r="AM1326" s="4"/>
      <c r="AN1326" s="4"/>
      <c r="AO1326" s="4"/>
      <c r="AP1326" s="4"/>
      <c r="AQ1326" s="4"/>
      <c r="AR1326" s="4"/>
      <c r="AS1326" s="4"/>
      <c r="AT1326" s="4"/>
      <c r="AU1326" s="4"/>
      <c r="AV1326" s="4"/>
      <c r="AW1326" s="4"/>
      <c r="AX1326" s="4"/>
      <c r="AY1326" s="4"/>
      <c r="AZ1326" s="4"/>
      <c r="BA1326" s="4"/>
      <c r="BB1326" s="4"/>
      <c r="BC1326" s="4"/>
      <c r="BD1326" s="4"/>
      <c r="BE1326" s="4"/>
      <c r="BF1326" s="4"/>
      <c r="BG1326" s="4"/>
      <c r="BH1326" s="4"/>
      <c r="BI1326" s="4"/>
      <c r="BJ1326" s="4"/>
      <c r="BK1326" s="4"/>
      <c r="BL1326" s="4"/>
      <c r="BM1326" s="4"/>
      <c r="BN1326" s="4"/>
      <c r="BO1326" s="4"/>
      <c r="BP1326" s="4"/>
      <c r="BQ1326" s="4"/>
      <c r="BR1326" s="4"/>
      <c r="BS1326" s="4"/>
      <c r="BT1326" s="4"/>
      <c r="BU1326" s="4"/>
    </row>
    <row r="1327" spans="29:73" s="1" customFormat="1" x14ac:dyDescent="0.25">
      <c r="AC1327" s="4"/>
      <c r="AD1327" s="4"/>
      <c r="AE1327" s="4"/>
      <c r="AF1327" s="4"/>
      <c r="AG1327" s="4"/>
      <c r="AH1327" s="4"/>
      <c r="AI1327" s="4"/>
      <c r="AJ1327" s="4"/>
      <c r="AK1327" s="4"/>
      <c r="AL1327" s="4"/>
      <c r="AM1327" s="4"/>
      <c r="AN1327" s="4"/>
      <c r="AO1327" s="4"/>
      <c r="AP1327" s="4"/>
      <c r="AQ1327" s="4"/>
      <c r="AR1327" s="4"/>
      <c r="AS1327" s="4"/>
      <c r="AT1327" s="4"/>
      <c r="AU1327" s="4"/>
      <c r="AV1327" s="4"/>
      <c r="AW1327" s="4"/>
      <c r="AX1327" s="4"/>
      <c r="AY1327" s="4"/>
      <c r="AZ1327" s="4"/>
      <c r="BA1327" s="4"/>
      <c r="BB1327" s="4"/>
      <c r="BC1327" s="4"/>
      <c r="BD1327" s="4"/>
      <c r="BE1327" s="4"/>
      <c r="BF1327" s="4"/>
      <c r="BG1327" s="4"/>
      <c r="BH1327" s="4"/>
      <c r="BI1327" s="4"/>
      <c r="BJ1327" s="4"/>
      <c r="BK1327" s="4"/>
      <c r="BL1327" s="4"/>
      <c r="BM1327" s="4"/>
      <c r="BN1327" s="4"/>
      <c r="BO1327" s="4"/>
      <c r="BP1327" s="4"/>
      <c r="BQ1327" s="4"/>
      <c r="BR1327" s="4"/>
      <c r="BS1327" s="4"/>
      <c r="BT1327" s="4"/>
      <c r="BU1327" s="4"/>
    </row>
    <row r="1328" spans="29:73" s="1" customFormat="1" x14ac:dyDescent="0.25">
      <c r="AC1328" s="4"/>
      <c r="AD1328" s="4"/>
      <c r="AE1328" s="4"/>
      <c r="AF1328" s="4"/>
      <c r="AG1328" s="4"/>
      <c r="AH1328" s="4"/>
      <c r="AI1328" s="4"/>
      <c r="AJ1328" s="4"/>
      <c r="AK1328" s="4"/>
      <c r="AL1328" s="4"/>
      <c r="AM1328" s="4"/>
      <c r="AN1328" s="4"/>
      <c r="AO1328" s="4"/>
      <c r="AP1328" s="4"/>
      <c r="AQ1328" s="4"/>
      <c r="AR1328" s="4"/>
      <c r="AS1328" s="4"/>
      <c r="AT1328" s="4"/>
      <c r="AU1328" s="4"/>
      <c r="AV1328" s="4"/>
      <c r="AW1328" s="4"/>
      <c r="AX1328" s="4"/>
      <c r="AY1328" s="4"/>
      <c r="AZ1328" s="4"/>
      <c r="BA1328" s="4"/>
      <c r="BB1328" s="4"/>
      <c r="BC1328" s="4"/>
      <c r="BD1328" s="4"/>
      <c r="BE1328" s="4"/>
      <c r="BF1328" s="4"/>
      <c r="BG1328" s="4"/>
      <c r="BH1328" s="4"/>
      <c r="BI1328" s="4"/>
      <c r="BJ1328" s="4"/>
      <c r="BK1328" s="4"/>
      <c r="BL1328" s="4"/>
      <c r="BM1328" s="4"/>
      <c r="BN1328" s="4"/>
      <c r="BO1328" s="4"/>
      <c r="BP1328" s="4"/>
      <c r="BQ1328" s="4"/>
      <c r="BR1328" s="4"/>
      <c r="BS1328" s="4"/>
      <c r="BT1328" s="4"/>
      <c r="BU1328" s="4"/>
    </row>
    <row r="1329" spans="29:73" s="1" customFormat="1" x14ac:dyDescent="0.25">
      <c r="AC1329" s="4"/>
      <c r="AD1329" s="4"/>
      <c r="AE1329" s="4"/>
      <c r="AF1329" s="4"/>
      <c r="AG1329" s="4"/>
      <c r="AH1329" s="4"/>
      <c r="AI1329" s="4"/>
      <c r="AJ1329" s="4"/>
      <c r="AK1329" s="4"/>
      <c r="AL1329" s="4"/>
      <c r="AM1329" s="4"/>
      <c r="AN1329" s="4"/>
      <c r="AO1329" s="4"/>
      <c r="AP1329" s="4"/>
      <c r="AQ1329" s="4"/>
      <c r="AR1329" s="4"/>
      <c r="AS1329" s="4"/>
      <c r="AT1329" s="4"/>
      <c r="AU1329" s="4"/>
      <c r="AV1329" s="4"/>
      <c r="AW1329" s="4"/>
      <c r="AX1329" s="4"/>
      <c r="AY1329" s="4"/>
      <c r="AZ1329" s="4"/>
      <c r="BA1329" s="4"/>
      <c r="BB1329" s="4"/>
      <c r="BC1329" s="4"/>
      <c r="BD1329" s="4"/>
      <c r="BE1329" s="4"/>
      <c r="BF1329" s="4"/>
      <c r="BG1329" s="4"/>
      <c r="BH1329" s="4"/>
      <c r="BI1329" s="4"/>
      <c r="BJ1329" s="4"/>
      <c r="BK1329" s="4"/>
      <c r="BL1329" s="4"/>
      <c r="BM1329" s="4"/>
      <c r="BN1329" s="4"/>
      <c r="BO1329" s="4"/>
      <c r="BP1329" s="4"/>
      <c r="BQ1329" s="4"/>
      <c r="BR1329" s="4"/>
      <c r="BS1329" s="4"/>
      <c r="BT1329" s="4"/>
      <c r="BU1329" s="4"/>
    </row>
    <row r="1330" spans="29:73" s="1" customFormat="1" x14ac:dyDescent="0.25">
      <c r="AC1330" s="4"/>
      <c r="AD1330" s="4"/>
      <c r="AE1330" s="4"/>
      <c r="AF1330" s="4"/>
      <c r="AG1330" s="4"/>
      <c r="AH1330" s="4"/>
      <c r="AI1330" s="4"/>
      <c r="AJ1330" s="4"/>
      <c r="AK1330" s="4"/>
      <c r="AL1330" s="4"/>
      <c r="AM1330" s="4"/>
      <c r="AN1330" s="4"/>
      <c r="AO1330" s="4"/>
      <c r="AP1330" s="4"/>
      <c r="AQ1330" s="4"/>
      <c r="AR1330" s="4"/>
      <c r="AS1330" s="4"/>
      <c r="AT1330" s="4"/>
      <c r="AU1330" s="4"/>
      <c r="AV1330" s="4"/>
      <c r="AW1330" s="4"/>
      <c r="AX1330" s="4"/>
      <c r="AY1330" s="4"/>
      <c r="AZ1330" s="4"/>
      <c r="BA1330" s="4"/>
      <c r="BB1330" s="4"/>
      <c r="BC1330" s="4"/>
      <c r="BD1330" s="4"/>
      <c r="BE1330" s="4"/>
      <c r="BF1330" s="4"/>
      <c r="BG1330" s="4"/>
      <c r="BH1330" s="4"/>
      <c r="BI1330" s="4"/>
      <c r="BJ1330" s="4"/>
      <c r="BK1330" s="4"/>
      <c r="BL1330" s="4"/>
      <c r="BM1330" s="4"/>
      <c r="BN1330" s="4"/>
      <c r="BO1330" s="4"/>
      <c r="BP1330" s="4"/>
      <c r="BQ1330" s="4"/>
      <c r="BR1330" s="4"/>
      <c r="BS1330" s="4"/>
      <c r="BT1330" s="4"/>
      <c r="BU1330" s="4"/>
    </row>
    <row r="1331" spans="29:73" s="1" customFormat="1" x14ac:dyDescent="0.25">
      <c r="AC1331" s="4"/>
      <c r="AD1331" s="4"/>
      <c r="AE1331" s="4"/>
      <c r="AF1331" s="4"/>
      <c r="AG1331" s="4"/>
      <c r="AH1331" s="4"/>
      <c r="AI1331" s="4"/>
      <c r="AJ1331" s="4"/>
      <c r="AK1331" s="4"/>
      <c r="AL1331" s="4"/>
      <c r="AM1331" s="4"/>
      <c r="AN1331" s="4"/>
      <c r="AO1331" s="4"/>
      <c r="AP1331" s="4"/>
      <c r="AQ1331" s="4"/>
      <c r="AR1331" s="4"/>
      <c r="AS1331" s="4"/>
      <c r="AT1331" s="4"/>
      <c r="AU1331" s="4"/>
      <c r="AV1331" s="4"/>
      <c r="AW1331" s="4"/>
      <c r="AX1331" s="4"/>
      <c r="AY1331" s="4"/>
      <c r="AZ1331" s="4"/>
      <c r="BA1331" s="4"/>
      <c r="BB1331" s="4"/>
      <c r="BC1331" s="4"/>
      <c r="BD1331" s="4"/>
      <c r="BE1331" s="4"/>
      <c r="BF1331" s="4"/>
      <c r="BG1331" s="4"/>
      <c r="BH1331" s="4"/>
      <c r="BI1331" s="4"/>
      <c r="BJ1331" s="4"/>
      <c r="BK1331" s="4"/>
      <c r="BL1331" s="4"/>
      <c r="BM1331" s="4"/>
      <c r="BN1331" s="4"/>
      <c r="BO1331" s="4"/>
      <c r="BP1331" s="4"/>
      <c r="BQ1331" s="4"/>
      <c r="BR1331" s="4"/>
      <c r="BS1331" s="4"/>
      <c r="BT1331" s="4"/>
      <c r="BU1331" s="4"/>
    </row>
    <row r="1332" spans="29:73" s="1" customFormat="1" x14ac:dyDescent="0.25">
      <c r="AC1332" s="4"/>
      <c r="AD1332" s="4"/>
      <c r="AE1332" s="4"/>
      <c r="AF1332" s="4"/>
      <c r="AG1332" s="4"/>
      <c r="AH1332" s="4"/>
      <c r="AI1332" s="4"/>
      <c r="AJ1332" s="4"/>
      <c r="AK1332" s="4"/>
      <c r="AL1332" s="4"/>
      <c r="AM1332" s="4"/>
      <c r="AN1332" s="4"/>
      <c r="AO1332" s="4"/>
      <c r="AP1332" s="4"/>
      <c r="AQ1332" s="4"/>
      <c r="AR1332" s="4"/>
      <c r="AS1332" s="4"/>
      <c r="AT1332" s="4"/>
      <c r="AU1332" s="4"/>
      <c r="AV1332" s="4"/>
      <c r="AW1332" s="4"/>
      <c r="AX1332" s="4"/>
      <c r="AY1332" s="4"/>
      <c r="AZ1332" s="4"/>
      <c r="BA1332" s="4"/>
      <c r="BB1332" s="4"/>
      <c r="BC1332" s="4"/>
      <c r="BD1332" s="4"/>
      <c r="BE1332" s="4"/>
      <c r="BF1332" s="4"/>
      <c r="BG1332" s="4"/>
      <c r="BH1332" s="4"/>
      <c r="BI1332" s="4"/>
      <c r="BJ1332" s="4"/>
      <c r="BK1332" s="4"/>
      <c r="BL1332" s="4"/>
      <c r="BM1332" s="4"/>
      <c r="BN1332" s="4"/>
      <c r="BO1332" s="4"/>
      <c r="BP1332" s="4"/>
      <c r="BQ1332" s="4"/>
      <c r="BR1332" s="4"/>
      <c r="BS1332" s="4"/>
      <c r="BT1332" s="4"/>
      <c r="BU1332" s="4"/>
    </row>
    <row r="1333" spans="29:73" s="1" customFormat="1" x14ac:dyDescent="0.25">
      <c r="AC1333" s="4"/>
      <c r="AD1333" s="4"/>
      <c r="AE1333" s="4"/>
      <c r="AF1333" s="4"/>
      <c r="AG1333" s="4"/>
      <c r="AH1333" s="4"/>
      <c r="AI1333" s="4"/>
      <c r="AJ1333" s="4"/>
      <c r="AK1333" s="4"/>
      <c r="AL1333" s="4"/>
      <c r="AM1333" s="4"/>
      <c r="AN1333" s="4"/>
      <c r="AO1333" s="4"/>
      <c r="AP1333" s="4"/>
      <c r="AQ1333" s="4"/>
      <c r="AR1333" s="4"/>
      <c r="AS1333" s="4"/>
      <c r="AT1333" s="4"/>
      <c r="AU1333" s="4"/>
      <c r="AV1333" s="4"/>
      <c r="AW1333" s="4"/>
      <c r="AX1333" s="4"/>
      <c r="AY1333" s="4"/>
      <c r="AZ1333" s="4"/>
      <c r="BA1333" s="4"/>
      <c r="BB1333" s="4"/>
      <c r="BC1333" s="4"/>
      <c r="BD1333" s="4"/>
      <c r="BE1333" s="4"/>
      <c r="BF1333" s="4"/>
      <c r="BG1333" s="4"/>
      <c r="BH1333" s="4"/>
      <c r="BI1333" s="4"/>
      <c r="BJ1333" s="4"/>
      <c r="BK1333" s="4"/>
      <c r="BL1333" s="4"/>
      <c r="BM1333" s="4"/>
      <c r="BN1333" s="4"/>
      <c r="BO1333" s="4"/>
      <c r="BP1333" s="4"/>
      <c r="BQ1333" s="4"/>
      <c r="BR1333" s="4"/>
      <c r="BS1333" s="4"/>
      <c r="BT1333" s="4"/>
      <c r="BU1333" s="4"/>
    </row>
    <row r="1334" spans="29:73" s="1" customFormat="1" x14ac:dyDescent="0.25">
      <c r="AC1334" s="4"/>
      <c r="AD1334" s="4"/>
      <c r="AE1334" s="4"/>
      <c r="AF1334" s="4"/>
      <c r="AG1334" s="4"/>
      <c r="AH1334" s="4"/>
      <c r="AI1334" s="4"/>
      <c r="AJ1334" s="4"/>
      <c r="AK1334" s="4"/>
      <c r="AL1334" s="4"/>
      <c r="AM1334" s="4"/>
      <c r="AN1334" s="4"/>
      <c r="AO1334" s="4"/>
      <c r="AP1334" s="4"/>
      <c r="AQ1334" s="4"/>
      <c r="AR1334" s="4"/>
      <c r="AS1334" s="4"/>
      <c r="AT1334" s="4"/>
      <c r="AU1334" s="4"/>
      <c r="AV1334" s="4"/>
      <c r="AW1334" s="4"/>
      <c r="AX1334" s="4"/>
      <c r="AY1334" s="4"/>
      <c r="AZ1334" s="4"/>
      <c r="BA1334" s="4"/>
      <c r="BB1334" s="4"/>
      <c r="BC1334" s="4"/>
      <c r="BD1334" s="4"/>
      <c r="BE1334" s="4"/>
      <c r="BF1334" s="4"/>
      <c r="BG1334" s="4"/>
      <c r="BH1334" s="4"/>
      <c r="BI1334" s="4"/>
      <c r="BJ1334" s="4"/>
      <c r="BK1334" s="4"/>
      <c r="BL1334" s="4"/>
      <c r="BM1334" s="4"/>
      <c r="BN1334" s="4"/>
      <c r="BO1334" s="4"/>
      <c r="BP1334" s="4"/>
      <c r="BQ1334" s="4"/>
      <c r="BR1334" s="4"/>
      <c r="BS1334" s="4"/>
      <c r="BT1334" s="4"/>
      <c r="BU1334" s="4"/>
    </row>
    <row r="1335" spans="29:73" s="1" customFormat="1" x14ac:dyDescent="0.25">
      <c r="AC1335" s="4"/>
      <c r="AD1335" s="4"/>
      <c r="AE1335" s="4"/>
      <c r="AF1335" s="4"/>
      <c r="AG1335" s="4"/>
      <c r="AH1335" s="4"/>
      <c r="AI1335" s="4"/>
      <c r="AJ1335" s="4"/>
      <c r="AK1335" s="4"/>
      <c r="AL1335" s="4"/>
      <c r="AM1335" s="4"/>
      <c r="AN1335" s="4"/>
      <c r="AO1335" s="4"/>
      <c r="AP1335" s="4"/>
      <c r="AQ1335" s="4"/>
      <c r="AR1335" s="4"/>
      <c r="AS1335" s="4"/>
      <c r="AT1335" s="4"/>
      <c r="AU1335" s="4"/>
      <c r="AV1335" s="4"/>
      <c r="AW1335" s="4"/>
      <c r="AX1335" s="4"/>
      <c r="AY1335" s="4"/>
      <c r="AZ1335" s="4"/>
      <c r="BA1335" s="4"/>
      <c r="BB1335" s="4"/>
      <c r="BC1335" s="4"/>
      <c r="BD1335" s="4"/>
      <c r="BE1335" s="4"/>
      <c r="BF1335" s="4"/>
      <c r="BG1335" s="4"/>
      <c r="BH1335" s="4"/>
      <c r="BI1335" s="4"/>
      <c r="BJ1335" s="4"/>
      <c r="BK1335" s="4"/>
      <c r="BL1335" s="4"/>
      <c r="BM1335" s="4"/>
      <c r="BN1335" s="4"/>
      <c r="BO1335" s="4"/>
      <c r="BP1335" s="4"/>
      <c r="BQ1335" s="4"/>
      <c r="BR1335" s="4"/>
      <c r="BS1335" s="4"/>
      <c r="BT1335" s="4"/>
      <c r="BU1335" s="4"/>
    </row>
    <row r="1336" spans="29:73" s="1" customFormat="1" x14ac:dyDescent="0.25">
      <c r="AC1336" s="4"/>
      <c r="AD1336" s="4"/>
      <c r="AE1336" s="4"/>
      <c r="AF1336" s="4"/>
      <c r="AG1336" s="4"/>
      <c r="AH1336" s="4"/>
      <c r="AI1336" s="4"/>
      <c r="AJ1336" s="4"/>
      <c r="AK1336" s="4"/>
      <c r="AL1336" s="4"/>
      <c r="AM1336" s="4"/>
      <c r="AN1336" s="4"/>
      <c r="AO1336" s="4"/>
      <c r="AP1336" s="4"/>
      <c r="AQ1336" s="4"/>
      <c r="AR1336" s="4"/>
      <c r="AS1336" s="4"/>
      <c r="AT1336" s="4"/>
      <c r="AU1336" s="4"/>
      <c r="AV1336" s="4"/>
      <c r="AW1336" s="4"/>
      <c r="AX1336" s="4"/>
      <c r="AY1336" s="4"/>
      <c r="AZ1336" s="4"/>
      <c r="BA1336" s="4"/>
      <c r="BB1336" s="4"/>
      <c r="BC1336" s="4"/>
      <c r="BD1336" s="4"/>
      <c r="BE1336" s="4"/>
      <c r="BF1336" s="4"/>
      <c r="BG1336" s="4"/>
      <c r="BH1336" s="4"/>
      <c r="BI1336" s="4"/>
      <c r="BJ1336" s="4"/>
      <c r="BK1336" s="4"/>
      <c r="BL1336" s="4"/>
      <c r="BM1336" s="4"/>
      <c r="BN1336" s="4"/>
      <c r="BO1336" s="4"/>
      <c r="BP1336" s="4"/>
      <c r="BQ1336" s="4"/>
      <c r="BR1336" s="4"/>
      <c r="BS1336" s="4"/>
      <c r="BT1336" s="4"/>
      <c r="BU1336" s="4"/>
    </row>
    <row r="1337" spans="29:73" s="1" customFormat="1" x14ac:dyDescent="0.25">
      <c r="AC1337" s="4"/>
      <c r="AD1337" s="4"/>
      <c r="AE1337" s="4"/>
      <c r="AF1337" s="4"/>
      <c r="AG1337" s="4"/>
      <c r="AH1337" s="4"/>
      <c r="AI1337" s="4"/>
      <c r="AJ1337" s="4"/>
      <c r="AK1337" s="4"/>
      <c r="AL1337" s="4"/>
      <c r="AM1337" s="4"/>
      <c r="AN1337" s="4"/>
      <c r="AO1337" s="4"/>
      <c r="AP1337" s="4"/>
      <c r="AQ1337" s="4"/>
      <c r="AR1337" s="4"/>
      <c r="AS1337" s="4"/>
      <c r="AT1337" s="4"/>
      <c r="AU1337" s="4"/>
      <c r="AV1337" s="4"/>
      <c r="AW1337" s="4"/>
      <c r="AX1337" s="4"/>
      <c r="AY1337" s="4"/>
      <c r="AZ1337" s="4"/>
      <c r="BA1337" s="4"/>
      <c r="BB1337" s="4"/>
      <c r="BC1337" s="4"/>
      <c r="BD1337" s="4"/>
      <c r="BE1337" s="4"/>
      <c r="BF1337" s="4"/>
      <c r="BG1337" s="4"/>
      <c r="BH1337" s="4"/>
      <c r="BI1337" s="4"/>
      <c r="BJ1337" s="4"/>
      <c r="BK1337" s="4"/>
      <c r="BL1337" s="4"/>
      <c r="BM1337" s="4"/>
      <c r="BN1337" s="4"/>
      <c r="BO1337" s="4"/>
      <c r="BP1337" s="4"/>
      <c r="BQ1337" s="4"/>
      <c r="BR1337" s="4"/>
      <c r="BS1337" s="4"/>
      <c r="BT1337" s="4"/>
      <c r="BU1337" s="4"/>
    </row>
    <row r="1338" spans="29:73" s="1" customFormat="1" x14ac:dyDescent="0.25">
      <c r="AC1338" s="4"/>
      <c r="AD1338" s="4"/>
      <c r="AE1338" s="4"/>
      <c r="AF1338" s="4"/>
      <c r="AG1338" s="4"/>
      <c r="AH1338" s="4"/>
      <c r="AI1338" s="4"/>
      <c r="AJ1338" s="4"/>
      <c r="AK1338" s="4"/>
      <c r="AL1338" s="4"/>
      <c r="AM1338" s="4"/>
      <c r="AN1338" s="4"/>
      <c r="AO1338" s="4"/>
      <c r="AP1338" s="4"/>
      <c r="AQ1338" s="4"/>
      <c r="AR1338" s="4"/>
      <c r="AS1338" s="4"/>
      <c r="AT1338" s="4"/>
      <c r="AU1338" s="4"/>
      <c r="AV1338" s="4"/>
      <c r="AW1338" s="4"/>
      <c r="AX1338" s="4"/>
      <c r="AY1338" s="4"/>
      <c r="AZ1338" s="4"/>
      <c r="BA1338" s="4"/>
      <c r="BB1338" s="4"/>
      <c r="BC1338" s="4"/>
      <c r="BD1338" s="4"/>
      <c r="BE1338" s="4"/>
      <c r="BF1338" s="4"/>
      <c r="BG1338" s="4"/>
      <c r="BH1338" s="4"/>
      <c r="BI1338" s="4"/>
      <c r="BJ1338" s="4"/>
      <c r="BK1338" s="4"/>
      <c r="BL1338" s="4"/>
      <c r="BM1338" s="4"/>
      <c r="BN1338" s="4"/>
      <c r="BO1338" s="4"/>
      <c r="BP1338" s="4"/>
      <c r="BQ1338" s="4"/>
      <c r="BR1338" s="4"/>
      <c r="BS1338" s="4"/>
      <c r="BT1338" s="4"/>
      <c r="BU1338" s="4"/>
    </row>
    <row r="1339" spans="29:73" s="1" customFormat="1" x14ac:dyDescent="0.25">
      <c r="AC1339" s="4"/>
      <c r="AD1339" s="4"/>
      <c r="AE1339" s="4"/>
      <c r="AF1339" s="4"/>
      <c r="AG1339" s="4"/>
      <c r="AH1339" s="4"/>
      <c r="AI1339" s="4"/>
      <c r="AJ1339" s="4"/>
      <c r="AK1339" s="4"/>
      <c r="AL1339" s="4"/>
      <c r="AM1339" s="4"/>
      <c r="AN1339" s="4"/>
      <c r="AO1339" s="4"/>
      <c r="AP1339" s="4"/>
      <c r="AQ1339" s="4"/>
      <c r="AR1339" s="4"/>
      <c r="AS1339" s="4"/>
      <c r="AT1339" s="4"/>
      <c r="AU1339" s="4"/>
      <c r="AV1339" s="4"/>
      <c r="AW1339" s="4"/>
      <c r="AX1339" s="4"/>
      <c r="AY1339" s="4"/>
      <c r="AZ1339" s="4"/>
      <c r="BA1339" s="4"/>
      <c r="BB1339" s="4"/>
      <c r="BC1339" s="4"/>
      <c r="BD1339" s="4"/>
      <c r="BE1339" s="4"/>
      <c r="BF1339" s="4"/>
      <c r="BG1339" s="4"/>
      <c r="BH1339" s="4"/>
      <c r="BI1339" s="4"/>
      <c r="BJ1339" s="4"/>
      <c r="BK1339" s="4"/>
      <c r="BL1339" s="4"/>
      <c r="BM1339" s="4"/>
      <c r="BN1339" s="4"/>
      <c r="BO1339" s="4"/>
      <c r="BP1339" s="4"/>
      <c r="BQ1339" s="4"/>
      <c r="BR1339" s="4"/>
      <c r="BS1339" s="4"/>
      <c r="BT1339" s="4"/>
      <c r="BU1339" s="4"/>
    </row>
    <row r="1340" spans="29:73" s="1" customFormat="1" x14ac:dyDescent="0.25">
      <c r="AC1340" s="4"/>
      <c r="AD1340" s="4"/>
      <c r="AE1340" s="4"/>
      <c r="AF1340" s="4"/>
      <c r="AG1340" s="4"/>
      <c r="AH1340" s="4"/>
      <c r="AI1340" s="4"/>
      <c r="AJ1340" s="4"/>
      <c r="AK1340" s="4"/>
      <c r="AL1340" s="4"/>
      <c r="AM1340" s="4"/>
      <c r="AN1340" s="4"/>
      <c r="AO1340" s="4"/>
      <c r="AP1340" s="4"/>
      <c r="AQ1340" s="4"/>
      <c r="AR1340" s="4"/>
      <c r="AS1340" s="4"/>
      <c r="AT1340" s="4"/>
      <c r="AU1340" s="4"/>
      <c r="AV1340" s="4"/>
      <c r="AW1340" s="4"/>
      <c r="AX1340" s="4"/>
      <c r="AY1340" s="4"/>
      <c r="AZ1340" s="4"/>
      <c r="BA1340" s="4"/>
      <c r="BB1340" s="4"/>
      <c r="BC1340" s="4"/>
      <c r="BD1340" s="4"/>
      <c r="BE1340" s="4"/>
      <c r="BF1340" s="4"/>
      <c r="BG1340" s="4"/>
      <c r="BH1340" s="4"/>
      <c r="BI1340" s="4"/>
      <c r="BJ1340" s="4"/>
      <c r="BK1340" s="4"/>
      <c r="BL1340" s="4"/>
      <c r="BM1340" s="4"/>
      <c r="BN1340" s="4"/>
      <c r="BO1340" s="4"/>
      <c r="BP1340" s="4"/>
      <c r="BQ1340" s="4"/>
      <c r="BR1340" s="4"/>
      <c r="BS1340" s="4"/>
      <c r="BT1340" s="4"/>
      <c r="BU1340" s="4"/>
    </row>
    <row r="1341" spans="29:73" s="1" customFormat="1" x14ac:dyDescent="0.25">
      <c r="AC1341" s="4"/>
      <c r="AD1341" s="4"/>
      <c r="AE1341" s="4"/>
      <c r="AF1341" s="4"/>
      <c r="AG1341" s="4"/>
      <c r="AH1341" s="4"/>
      <c r="AI1341" s="4"/>
      <c r="AJ1341" s="4"/>
      <c r="AK1341" s="4"/>
      <c r="AL1341" s="4"/>
      <c r="AM1341" s="4"/>
      <c r="AN1341" s="4"/>
      <c r="AO1341" s="4"/>
      <c r="AP1341" s="4"/>
      <c r="AQ1341" s="4"/>
      <c r="AR1341" s="4"/>
      <c r="AS1341" s="4"/>
      <c r="AT1341" s="4"/>
      <c r="AU1341" s="4"/>
      <c r="AV1341" s="4"/>
      <c r="AW1341" s="4"/>
      <c r="AX1341" s="4"/>
      <c r="AY1341" s="4"/>
      <c r="AZ1341" s="4"/>
      <c r="BA1341" s="4"/>
      <c r="BB1341" s="4"/>
      <c r="BC1341" s="4"/>
      <c r="BD1341" s="4"/>
      <c r="BE1341" s="4"/>
      <c r="BF1341" s="4"/>
      <c r="BG1341" s="4"/>
      <c r="BH1341" s="4"/>
      <c r="BI1341" s="4"/>
      <c r="BJ1341" s="4"/>
      <c r="BK1341" s="4"/>
      <c r="BL1341" s="4"/>
      <c r="BM1341" s="4"/>
      <c r="BN1341" s="4"/>
      <c r="BO1341" s="4"/>
      <c r="BP1341" s="4"/>
      <c r="BQ1341" s="4"/>
      <c r="BR1341" s="4"/>
      <c r="BS1341" s="4"/>
      <c r="BT1341" s="4"/>
      <c r="BU1341" s="4"/>
    </row>
    <row r="1342" spans="29:73" s="1" customFormat="1" x14ac:dyDescent="0.25">
      <c r="AC1342" s="4"/>
      <c r="AD1342" s="4"/>
      <c r="AE1342" s="4"/>
      <c r="AF1342" s="4"/>
      <c r="AG1342" s="4"/>
      <c r="AH1342" s="4"/>
      <c r="AI1342" s="4"/>
      <c r="AJ1342" s="4"/>
      <c r="AK1342" s="4"/>
      <c r="AL1342" s="4"/>
      <c r="AM1342" s="4"/>
      <c r="AN1342" s="4"/>
      <c r="AO1342" s="4"/>
      <c r="AP1342" s="4"/>
      <c r="AQ1342" s="4"/>
      <c r="AR1342" s="4"/>
      <c r="AS1342" s="4"/>
      <c r="AT1342" s="4"/>
      <c r="AU1342" s="4"/>
      <c r="AV1342" s="4"/>
      <c r="AW1342" s="4"/>
      <c r="AX1342" s="4"/>
      <c r="AY1342" s="4"/>
      <c r="AZ1342" s="4"/>
      <c r="BA1342" s="4"/>
      <c r="BB1342" s="4"/>
      <c r="BC1342" s="4"/>
      <c r="BD1342" s="4"/>
      <c r="BE1342" s="4"/>
      <c r="BF1342" s="4"/>
      <c r="BG1342" s="4"/>
      <c r="BH1342" s="4"/>
      <c r="BI1342" s="4"/>
      <c r="BJ1342" s="4"/>
      <c r="BK1342" s="4"/>
      <c r="BL1342" s="4"/>
      <c r="BM1342" s="4"/>
      <c r="BN1342" s="4"/>
      <c r="BO1342" s="4"/>
      <c r="BP1342" s="4"/>
      <c r="BQ1342" s="4"/>
      <c r="BR1342" s="4"/>
      <c r="BS1342" s="4"/>
      <c r="BT1342" s="4"/>
      <c r="BU1342" s="4"/>
    </row>
    <row r="1343" spans="29:73" s="1" customFormat="1" x14ac:dyDescent="0.25">
      <c r="AC1343" s="4"/>
      <c r="AD1343" s="4"/>
      <c r="AE1343" s="4"/>
      <c r="AF1343" s="4"/>
      <c r="AG1343" s="4"/>
      <c r="AH1343" s="4"/>
      <c r="AI1343" s="4"/>
      <c r="AJ1343" s="4"/>
      <c r="AK1343" s="4"/>
      <c r="AL1343" s="4"/>
      <c r="AM1343" s="4"/>
      <c r="AN1343" s="4"/>
      <c r="AO1343" s="4"/>
      <c r="AP1343" s="4"/>
      <c r="AQ1343" s="4"/>
      <c r="AR1343" s="4"/>
      <c r="AS1343" s="4"/>
      <c r="AT1343" s="4"/>
      <c r="AU1343" s="4"/>
      <c r="AV1343" s="4"/>
      <c r="AW1343" s="4"/>
      <c r="AX1343" s="4"/>
      <c r="AY1343" s="4"/>
      <c r="AZ1343" s="4"/>
      <c r="BA1343" s="4"/>
      <c r="BB1343" s="4"/>
      <c r="BC1343" s="4"/>
      <c r="BD1343" s="4"/>
      <c r="BE1343" s="4"/>
      <c r="BF1343" s="4"/>
      <c r="BG1343" s="4"/>
      <c r="BH1343" s="4"/>
      <c r="BI1343" s="4"/>
      <c r="BJ1343" s="4"/>
      <c r="BK1343" s="4"/>
      <c r="BL1343" s="4"/>
      <c r="BM1343" s="4"/>
      <c r="BN1343" s="4"/>
      <c r="BO1343" s="4"/>
      <c r="BP1343" s="4"/>
      <c r="BQ1343" s="4"/>
      <c r="BR1343" s="4"/>
      <c r="BS1343" s="4"/>
      <c r="BT1343" s="4"/>
      <c r="BU1343" s="4"/>
    </row>
    <row r="1344" spans="29:73" s="1" customFormat="1" x14ac:dyDescent="0.25">
      <c r="AC1344" s="4"/>
      <c r="AD1344" s="4"/>
      <c r="AE1344" s="4"/>
      <c r="AF1344" s="4"/>
      <c r="AG1344" s="4"/>
      <c r="AH1344" s="4"/>
      <c r="AI1344" s="4"/>
      <c r="AJ1344" s="4"/>
      <c r="AK1344" s="4"/>
      <c r="AL1344" s="4"/>
      <c r="AM1344" s="4"/>
      <c r="AN1344" s="4"/>
      <c r="AO1344" s="4"/>
      <c r="AP1344" s="4"/>
      <c r="AQ1344" s="4"/>
      <c r="AR1344" s="4"/>
      <c r="AS1344" s="4"/>
      <c r="AT1344" s="4"/>
      <c r="AU1344" s="4"/>
      <c r="AV1344" s="4"/>
      <c r="AW1344" s="4"/>
      <c r="AX1344" s="4"/>
      <c r="AY1344" s="4"/>
      <c r="AZ1344" s="4"/>
      <c r="BA1344" s="4"/>
      <c r="BB1344" s="4"/>
      <c r="BC1344" s="4"/>
      <c r="BD1344" s="4"/>
      <c r="BE1344" s="4"/>
      <c r="BF1344" s="4"/>
      <c r="BG1344" s="4"/>
      <c r="BH1344" s="4"/>
      <c r="BI1344" s="4"/>
      <c r="BJ1344" s="4"/>
      <c r="BK1344" s="4"/>
      <c r="BL1344" s="4"/>
      <c r="BM1344" s="4"/>
      <c r="BN1344" s="4"/>
      <c r="BO1344" s="4"/>
      <c r="BP1344" s="4"/>
      <c r="BQ1344" s="4"/>
      <c r="BR1344" s="4"/>
      <c r="BS1344" s="4"/>
      <c r="BT1344" s="4"/>
      <c r="BU1344" s="4"/>
    </row>
    <row r="1345" spans="29:73" s="1" customFormat="1" x14ac:dyDescent="0.25">
      <c r="AC1345" s="4"/>
      <c r="AD1345" s="4"/>
      <c r="AE1345" s="4"/>
      <c r="AF1345" s="4"/>
      <c r="AG1345" s="4"/>
      <c r="AH1345" s="4"/>
      <c r="AI1345" s="4"/>
      <c r="AJ1345" s="4"/>
      <c r="AK1345" s="4"/>
      <c r="AL1345" s="4"/>
      <c r="AM1345" s="4"/>
      <c r="AN1345" s="4"/>
      <c r="AO1345" s="4"/>
      <c r="AP1345" s="4"/>
      <c r="AQ1345" s="4"/>
      <c r="AR1345" s="4"/>
      <c r="AS1345" s="4"/>
      <c r="AT1345" s="4"/>
      <c r="AU1345" s="4"/>
      <c r="AV1345" s="4"/>
      <c r="AW1345" s="4"/>
      <c r="AX1345" s="4"/>
      <c r="AY1345" s="4"/>
      <c r="AZ1345" s="4"/>
      <c r="BA1345" s="4"/>
      <c r="BB1345" s="4"/>
      <c r="BC1345" s="4"/>
      <c r="BD1345" s="4"/>
      <c r="BE1345" s="4"/>
      <c r="BF1345" s="4"/>
      <c r="BG1345" s="4"/>
      <c r="BH1345" s="4"/>
      <c r="BI1345" s="4"/>
      <c r="BJ1345" s="4"/>
      <c r="BK1345" s="4"/>
      <c r="BL1345" s="4"/>
      <c r="BM1345" s="4"/>
      <c r="BN1345" s="4"/>
      <c r="BO1345" s="4"/>
      <c r="BP1345" s="4"/>
      <c r="BQ1345" s="4"/>
      <c r="BR1345" s="4"/>
      <c r="BS1345" s="4"/>
      <c r="BT1345" s="4"/>
      <c r="BU1345" s="4"/>
    </row>
    <row r="1346" spans="29:73" s="1" customFormat="1" x14ac:dyDescent="0.25">
      <c r="AC1346" s="4"/>
      <c r="AD1346" s="4"/>
      <c r="AE1346" s="4"/>
      <c r="AF1346" s="4"/>
      <c r="AG1346" s="4"/>
      <c r="AH1346" s="4"/>
      <c r="AI1346" s="4"/>
      <c r="AJ1346" s="4"/>
      <c r="AK1346" s="4"/>
      <c r="AL1346" s="4"/>
      <c r="AM1346" s="4"/>
      <c r="AN1346" s="4"/>
      <c r="AO1346" s="4"/>
      <c r="AP1346" s="4"/>
      <c r="AQ1346" s="4"/>
      <c r="AR1346" s="4"/>
      <c r="AS1346" s="4"/>
      <c r="AT1346" s="4"/>
      <c r="AU1346" s="4"/>
      <c r="AV1346" s="4"/>
      <c r="AW1346" s="4"/>
      <c r="AX1346" s="4"/>
      <c r="AY1346" s="4"/>
      <c r="AZ1346" s="4"/>
      <c r="BA1346" s="4"/>
      <c r="BB1346" s="4"/>
      <c r="BC1346" s="4"/>
      <c r="BD1346" s="4"/>
      <c r="BE1346" s="4"/>
      <c r="BF1346" s="4"/>
      <c r="BG1346" s="4"/>
      <c r="BH1346" s="4"/>
      <c r="BI1346" s="4"/>
      <c r="BJ1346" s="4"/>
      <c r="BK1346" s="4"/>
      <c r="BL1346" s="4"/>
      <c r="BM1346" s="4"/>
      <c r="BN1346" s="4"/>
      <c r="BO1346" s="4"/>
      <c r="BP1346" s="4"/>
      <c r="BQ1346" s="4"/>
      <c r="BR1346" s="4"/>
      <c r="BS1346" s="4"/>
      <c r="BT1346" s="4"/>
      <c r="BU1346" s="4"/>
    </row>
    <row r="1347" spans="29:73" s="1" customFormat="1" x14ac:dyDescent="0.25">
      <c r="AC1347" s="4"/>
      <c r="AD1347" s="4"/>
      <c r="AE1347" s="4"/>
      <c r="AF1347" s="4"/>
      <c r="AG1347" s="4"/>
      <c r="AH1347" s="4"/>
      <c r="AI1347" s="4"/>
      <c r="AJ1347" s="4"/>
      <c r="AK1347" s="4"/>
      <c r="AL1347" s="4"/>
      <c r="AM1347" s="4"/>
      <c r="AN1347" s="4"/>
      <c r="AO1347" s="4"/>
      <c r="AP1347" s="4"/>
      <c r="AQ1347" s="4"/>
      <c r="AR1347" s="4"/>
      <c r="AS1347" s="4"/>
      <c r="AT1347" s="4"/>
      <c r="AU1347" s="4"/>
      <c r="AV1347" s="4"/>
      <c r="AW1347" s="4"/>
      <c r="AX1347" s="4"/>
      <c r="AY1347" s="4"/>
      <c r="AZ1347" s="4"/>
      <c r="BA1347" s="4"/>
      <c r="BB1347" s="4"/>
      <c r="BC1347" s="4"/>
      <c r="BD1347" s="4"/>
      <c r="BE1347" s="4"/>
      <c r="BF1347" s="4"/>
      <c r="BG1347" s="4"/>
      <c r="BH1347" s="4"/>
      <c r="BI1347" s="4"/>
      <c r="BJ1347" s="4"/>
      <c r="BK1347" s="4"/>
      <c r="BL1347" s="4"/>
      <c r="BM1347" s="4"/>
      <c r="BN1347" s="4"/>
      <c r="BO1347" s="4"/>
      <c r="BP1347" s="4"/>
      <c r="BQ1347" s="4"/>
      <c r="BR1347" s="4"/>
      <c r="BS1347" s="4"/>
      <c r="BT1347" s="4"/>
      <c r="BU1347" s="4"/>
    </row>
    <row r="1348" spans="29:73" s="1" customFormat="1" x14ac:dyDescent="0.25">
      <c r="AC1348" s="4"/>
      <c r="AD1348" s="4"/>
      <c r="AE1348" s="4"/>
      <c r="AF1348" s="4"/>
      <c r="AG1348" s="4"/>
      <c r="AH1348" s="4"/>
      <c r="AI1348" s="4"/>
      <c r="AJ1348" s="4"/>
      <c r="AK1348" s="4"/>
      <c r="AL1348" s="4"/>
      <c r="AM1348" s="4"/>
      <c r="AN1348" s="4"/>
      <c r="AO1348" s="4"/>
      <c r="AP1348" s="4"/>
      <c r="AQ1348" s="4"/>
      <c r="AR1348" s="4"/>
      <c r="AS1348" s="4"/>
      <c r="AT1348" s="4"/>
      <c r="AU1348" s="4"/>
      <c r="AV1348" s="4"/>
      <c r="AW1348" s="4"/>
      <c r="AX1348" s="4"/>
      <c r="AY1348" s="4"/>
      <c r="AZ1348" s="4"/>
      <c r="BA1348" s="4"/>
      <c r="BB1348" s="4"/>
      <c r="BC1348" s="4"/>
      <c r="BD1348" s="4"/>
      <c r="BE1348" s="4"/>
      <c r="BF1348" s="4"/>
      <c r="BG1348" s="4"/>
      <c r="BH1348" s="4"/>
      <c r="BI1348" s="4"/>
      <c r="BJ1348" s="4"/>
      <c r="BK1348" s="4"/>
      <c r="BL1348" s="4"/>
      <c r="BM1348" s="4"/>
      <c r="BN1348" s="4"/>
      <c r="BO1348" s="4"/>
      <c r="BP1348" s="4"/>
      <c r="BQ1348" s="4"/>
      <c r="BR1348" s="4"/>
      <c r="BS1348" s="4"/>
      <c r="BT1348" s="4"/>
      <c r="BU1348" s="4"/>
    </row>
    <row r="1349" spans="29:73" s="1" customFormat="1" x14ac:dyDescent="0.25">
      <c r="AC1349" s="4"/>
      <c r="AD1349" s="4"/>
      <c r="AE1349" s="4"/>
      <c r="AF1349" s="4"/>
      <c r="AG1349" s="4"/>
      <c r="AH1349" s="4"/>
      <c r="AI1349" s="4"/>
      <c r="AJ1349" s="4"/>
      <c r="AK1349" s="4"/>
      <c r="AL1349" s="4"/>
      <c r="AM1349" s="4"/>
      <c r="AN1349" s="4"/>
      <c r="AO1349" s="4"/>
      <c r="AP1349" s="4"/>
      <c r="AQ1349" s="4"/>
      <c r="AR1349" s="4"/>
      <c r="AS1349" s="4"/>
      <c r="AT1349" s="4"/>
      <c r="AU1349" s="4"/>
      <c r="AV1349" s="4"/>
      <c r="AW1349" s="4"/>
      <c r="AX1349" s="4"/>
      <c r="AY1349" s="4"/>
      <c r="AZ1349" s="4"/>
      <c r="BA1349" s="4"/>
      <c r="BB1349" s="4"/>
      <c r="BC1349" s="4"/>
      <c r="BD1349" s="4"/>
      <c r="BE1349" s="4"/>
      <c r="BF1349" s="4"/>
      <c r="BG1349" s="4"/>
      <c r="BH1349" s="4"/>
      <c r="BI1349" s="4"/>
      <c r="BJ1349" s="4"/>
      <c r="BK1349" s="4"/>
      <c r="BL1349" s="4"/>
      <c r="BM1349" s="4"/>
      <c r="BN1349" s="4"/>
      <c r="BO1349" s="4"/>
      <c r="BP1349" s="4"/>
      <c r="BQ1349" s="4"/>
      <c r="BR1349" s="4"/>
      <c r="BS1349" s="4"/>
      <c r="BT1349" s="4"/>
      <c r="BU1349" s="4"/>
    </row>
    <row r="1350" spans="29:73" s="1" customFormat="1" x14ac:dyDescent="0.25">
      <c r="AC1350" s="4"/>
      <c r="AD1350" s="4"/>
      <c r="AE1350" s="4"/>
      <c r="AF1350" s="4"/>
      <c r="AG1350" s="4"/>
      <c r="AH1350" s="4"/>
      <c r="AI1350" s="4"/>
      <c r="AJ1350" s="4"/>
      <c r="AK1350" s="4"/>
      <c r="AL1350" s="4"/>
      <c r="AM1350" s="4"/>
      <c r="AN1350" s="4"/>
      <c r="AO1350" s="4"/>
      <c r="AP1350" s="4"/>
      <c r="AQ1350" s="4"/>
      <c r="AR1350" s="4"/>
      <c r="AS1350" s="4"/>
      <c r="AT1350" s="4"/>
      <c r="AU1350" s="4"/>
      <c r="AV1350" s="4"/>
      <c r="AW1350" s="4"/>
      <c r="AX1350" s="4"/>
      <c r="AY1350" s="4"/>
      <c r="AZ1350" s="4"/>
      <c r="BA1350" s="4"/>
      <c r="BB1350" s="4"/>
      <c r="BC1350" s="4"/>
      <c r="BD1350" s="4"/>
      <c r="BE1350" s="4"/>
      <c r="BF1350" s="4"/>
      <c r="BG1350" s="4"/>
      <c r="BH1350" s="4"/>
      <c r="BI1350" s="4"/>
      <c r="BJ1350" s="4"/>
      <c r="BK1350" s="4"/>
      <c r="BL1350" s="4"/>
      <c r="BM1350" s="4"/>
      <c r="BN1350" s="4"/>
      <c r="BO1350" s="4"/>
      <c r="BP1350" s="4"/>
      <c r="BQ1350" s="4"/>
      <c r="BR1350" s="4"/>
      <c r="BS1350" s="4"/>
      <c r="BT1350" s="4"/>
      <c r="BU1350" s="4"/>
    </row>
    <row r="1351" spans="29:73" s="1" customFormat="1" x14ac:dyDescent="0.25">
      <c r="AC1351" s="4"/>
      <c r="AD1351" s="4"/>
      <c r="AE1351" s="4"/>
      <c r="AF1351" s="4"/>
      <c r="AG1351" s="4"/>
      <c r="AH1351" s="4"/>
      <c r="AI1351" s="4"/>
      <c r="AJ1351" s="4"/>
      <c r="AK1351" s="4"/>
      <c r="AL1351" s="4"/>
      <c r="AM1351" s="4"/>
      <c r="AN1351" s="4"/>
      <c r="AO1351" s="4"/>
      <c r="AP1351" s="4"/>
      <c r="AQ1351" s="4"/>
      <c r="AR1351" s="4"/>
      <c r="AS1351" s="4"/>
      <c r="AT1351" s="4"/>
      <c r="AU1351" s="4"/>
      <c r="AV1351" s="4"/>
      <c r="AW1351" s="4"/>
      <c r="AX1351" s="4"/>
      <c r="AY1351" s="4"/>
      <c r="AZ1351" s="4"/>
      <c r="BA1351" s="4"/>
      <c r="BB1351" s="4"/>
      <c r="BC1351" s="4"/>
      <c r="BD1351" s="4"/>
      <c r="BE1351" s="4"/>
      <c r="BF1351" s="4"/>
      <c r="BG1351" s="4"/>
      <c r="BH1351" s="4"/>
      <c r="BI1351" s="4"/>
      <c r="BJ1351" s="4"/>
      <c r="BK1351" s="4"/>
      <c r="BL1351" s="4"/>
      <c r="BM1351" s="4"/>
      <c r="BN1351" s="4"/>
      <c r="BO1351" s="4"/>
      <c r="BP1351" s="4"/>
      <c r="BQ1351" s="4"/>
      <c r="BR1351" s="4"/>
      <c r="BS1351" s="4"/>
      <c r="BT1351" s="4"/>
      <c r="BU1351" s="4"/>
    </row>
    <row r="1352" spans="29:73" s="1" customFormat="1" x14ac:dyDescent="0.25">
      <c r="AC1352" s="4"/>
      <c r="AD1352" s="4"/>
      <c r="AE1352" s="4"/>
      <c r="AF1352" s="4"/>
      <c r="AG1352" s="4"/>
      <c r="AH1352" s="4"/>
      <c r="AI1352" s="4"/>
      <c r="AJ1352" s="4"/>
      <c r="AK1352" s="4"/>
      <c r="AL1352" s="4"/>
      <c r="AM1352" s="4"/>
      <c r="AN1352" s="4"/>
      <c r="AO1352" s="4"/>
      <c r="AP1352" s="4"/>
      <c r="AQ1352" s="4"/>
      <c r="AR1352" s="4"/>
      <c r="AS1352" s="4"/>
      <c r="AT1352" s="4"/>
      <c r="AU1352" s="4"/>
      <c r="AV1352" s="4"/>
      <c r="AW1352" s="4"/>
      <c r="AX1352" s="4"/>
      <c r="AY1352" s="4"/>
      <c r="AZ1352" s="4"/>
      <c r="BA1352" s="4"/>
      <c r="BB1352" s="4"/>
      <c r="BC1352" s="4"/>
      <c r="BD1352" s="4"/>
      <c r="BE1352" s="4"/>
      <c r="BF1352" s="4"/>
      <c r="BG1352" s="4"/>
      <c r="BH1352" s="4"/>
      <c r="BI1352" s="4"/>
      <c r="BJ1352" s="4"/>
      <c r="BK1352" s="4"/>
      <c r="BL1352" s="4"/>
      <c r="BM1352" s="4"/>
      <c r="BN1352" s="4"/>
      <c r="BO1352" s="4"/>
      <c r="BP1352" s="4"/>
      <c r="BQ1352" s="4"/>
      <c r="BR1352" s="4"/>
      <c r="BS1352" s="4"/>
      <c r="BT1352" s="4"/>
      <c r="BU1352" s="4"/>
    </row>
    <row r="1353" spans="29:73" s="1" customFormat="1" x14ac:dyDescent="0.25">
      <c r="AC1353" s="4"/>
      <c r="AD1353" s="4"/>
      <c r="AE1353" s="4"/>
      <c r="AF1353" s="4"/>
      <c r="AG1353" s="4"/>
      <c r="AH1353" s="4"/>
      <c r="AI1353" s="4"/>
      <c r="AJ1353" s="4"/>
      <c r="AK1353" s="4"/>
      <c r="AL1353" s="4"/>
      <c r="AM1353" s="4"/>
      <c r="AN1353" s="4"/>
      <c r="AO1353" s="4"/>
      <c r="AP1353" s="4"/>
      <c r="AQ1353" s="4"/>
      <c r="AR1353" s="4"/>
      <c r="AS1353" s="4"/>
      <c r="AT1353" s="4"/>
      <c r="AU1353" s="4"/>
      <c r="AV1353" s="4"/>
      <c r="AW1353" s="4"/>
      <c r="AX1353" s="4"/>
      <c r="AY1353" s="4"/>
      <c r="AZ1353" s="4"/>
      <c r="BA1353" s="4"/>
      <c r="BB1353" s="4"/>
      <c r="BC1353" s="4"/>
      <c r="BD1353" s="4"/>
      <c r="BE1353" s="4"/>
      <c r="BF1353" s="4"/>
      <c r="BG1353" s="4"/>
      <c r="BH1353" s="4"/>
      <c r="BI1353" s="4"/>
      <c r="BJ1353" s="4"/>
      <c r="BK1353" s="4"/>
      <c r="BL1353" s="4"/>
      <c r="BM1353" s="4"/>
      <c r="BN1353" s="4"/>
      <c r="BO1353" s="4"/>
      <c r="BP1353" s="4"/>
      <c r="BQ1353" s="4"/>
      <c r="BR1353" s="4"/>
      <c r="BS1353" s="4"/>
      <c r="BT1353" s="4"/>
      <c r="BU1353" s="4"/>
    </row>
    <row r="1354" spans="29:73" s="1" customFormat="1" x14ac:dyDescent="0.25">
      <c r="AC1354" s="4"/>
      <c r="AD1354" s="4"/>
      <c r="AE1354" s="4"/>
      <c r="AF1354" s="4"/>
      <c r="AG1354" s="4"/>
      <c r="AH1354" s="4"/>
      <c r="AI1354" s="4"/>
      <c r="AJ1354" s="4"/>
      <c r="AK1354" s="4"/>
      <c r="AL1354" s="4"/>
      <c r="AM1354" s="4"/>
      <c r="AN1354" s="4"/>
      <c r="AO1354" s="4"/>
      <c r="AP1354" s="4"/>
      <c r="AQ1354" s="4"/>
      <c r="AR1354" s="4"/>
      <c r="AS1354" s="4"/>
      <c r="AT1354" s="4"/>
      <c r="AU1354" s="4"/>
      <c r="AV1354" s="4"/>
      <c r="AW1354" s="4"/>
      <c r="AX1354" s="4"/>
      <c r="AY1354" s="4"/>
      <c r="AZ1354" s="4"/>
      <c r="BA1354" s="4"/>
      <c r="BB1354" s="4"/>
      <c r="BC1354" s="4"/>
      <c r="BD1354" s="4"/>
      <c r="BE1354" s="4"/>
      <c r="BF1354" s="4"/>
      <c r="BG1354" s="4"/>
      <c r="BH1354" s="4"/>
      <c r="BI1354" s="4"/>
      <c r="BJ1354" s="4"/>
      <c r="BK1354" s="4"/>
      <c r="BL1354" s="4"/>
      <c r="BM1354" s="4"/>
      <c r="BN1354" s="4"/>
      <c r="BO1354" s="4"/>
      <c r="BP1354" s="4"/>
      <c r="BQ1354" s="4"/>
      <c r="BR1354" s="4"/>
      <c r="BS1354" s="4"/>
      <c r="BT1354" s="4"/>
      <c r="BU1354" s="4"/>
    </row>
    <row r="1355" spans="29:73" s="1" customFormat="1" x14ac:dyDescent="0.25">
      <c r="AC1355" s="4"/>
      <c r="AD1355" s="4"/>
      <c r="AE1355" s="4"/>
      <c r="AF1355" s="4"/>
      <c r="AG1355" s="4"/>
      <c r="AH1355" s="4"/>
      <c r="AI1355" s="4"/>
      <c r="AJ1355" s="4"/>
      <c r="AK1355" s="4"/>
      <c r="AL1355" s="4"/>
      <c r="AM1355" s="4"/>
      <c r="AN1355" s="4"/>
      <c r="AO1355" s="4"/>
      <c r="AP1355" s="4"/>
      <c r="AQ1355" s="4"/>
      <c r="AR1355" s="4"/>
      <c r="AS1355" s="4"/>
      <c r="AT1355" s="4"/>
      <c r="AU1355" s="4"/>
      <c r="AV1355" s="4"/>
      <c r="AW1355" s="4"/>
      <c r="AX1355" s="4"/>
      <c r="AY1355" s="4"/>
      <c r="AZ1355" s="4"/>
      <c r="BA1355" s="4"/>
      <c r="BB1355" s="4"/>
      <c r="BC1355" s="4"/>
      <c r="BD1355" s="4"/>
      <c r="BE1355" s="4"/>
      <c r="BF1355" s="4"/>
      <c r="BG1355" s="4"/>
      <c r="BH1355" s="4"/>
      <c r="BI1355" s="4"/>
      <c r="BJ1355" s="4"/>
      <c r="BK1355" s="4"/>
      <c r="BL1355" s="4"/>
      <c r="BM1355" s="4"/>
      <c r="BN1355" s="4"/>
      <c r="BO1355" s="4"/>
      <c r="BP1355" s="4"/>
      <c r="BQ1355" s="4"/>
      <c r="BR1355" s="4"/>
      <c r="BS1355" s="4"/>
      <c r="BT1355" s="4"/>
      <c r="BU1355" s="4"/>
    </row>
    <row r="1356" spans="29:73" s="1" customFormat="1" x14ac:dyDescent="0.25">
      <c r="AC1356" s="4"/>
      <c r="AD1356" s="4"/>
      <c r="AE1356" s="4"/>
      <c r="AF1356" s="4"/>
      <c r="AG1356" s="4"/>
      <c r="AH1356" s="4"/>
      <c r="AI1356" s="4"/>
      <c r="AJ1356" s="4"/>
      <c r="AK1356" s="4"/>
      <c r="AL1356" s="4"/>
      <c r="AM1356" s="4"/>
      <c r="AN1356" s="4"/>
      <c r="AO1356" s="4"/>
      <c r="AP1356" s="4"/>
      <c r="AQ1356" s="4"/>
      <c r="AR1356" s="4"/>
      <c r="AS1356" s="4"/>
      <c r="AT1356" s="4"/>
      <c r="AU1356" s="4"/>
      <c r="AV1356" s="4"/>
      <c r="AW1356" s="4"/>
      <c r="AX1356" s="4"/>
      <c r="AY1356" s="4"/>
      <c r="AZ1356" s="4"/>
      <c r="BA1356" s="4"/>
      <c r="BB1356" s="4"/>
      <c r="BC1356" s="4"/>
      <c r="BD1356" s="4"/>
      <c r="BE1356" s="4"/>
      <c r="BF1356" s="4"/>
      <c r="BG1356" s="4"/>
      <c r="BH1356" s="4"/>
      <c r="BI1356" s="4"/>
      <c r="BJ1356" s="4"/>
      <c r="BK1356" s="4"/>
      <c r="BL1356" s="4"/>
      <c r="BM1356" s="4"/>
      <c r="BN1356" s="4"/>
      <c r="BO1356" s="4"/>
      <c r="BP1356" s="4"/>
      <c r="BQ1356" s="4"/>
      <c r="BR1356" s="4"/>
      <c r="BS1356" s="4"/>
      <c r="BT1356" s="4"/>
      <c r="BU1356" s="4"/>
    </row>
    <row r="1357" spans="29:73" s="1" customFormat="1" x14ac:dyDescent="0.25">
      <c r="AC1357" s="4"/>
      <c r="AD1357" s="4"/>
      <c r="AE1357" s="4"/>
      <c r="AF1357" s="4"/>
      <c r="AG1357" s="4"/>
      <c r="AH1357" s="4"/>
      <c r="AI1357" s="4"/>
      <c r="AJ1357" s="4"/>
      <c r="AK1357" s="4"/>
      <c r="AL1357" s="4"/>
      <c r="AM1357" s="4"/>
      <c r="AN1357" s="4"/>
      <c r="AO1357" s="4"/>
      <c r="AP1357" s="4"/>
      <c r="AQ1357" s="4"/>
      <c r="AR1357" s="4"/>
      <c r="AS1357" s="4"/>
      <c r="AT1357" s="4"/>
      <c r="AU1357" s="4"/>
      <c r="AV1357" s="4"/>
      <c r="AW1357" s="4"/>
      <c r="AX1357" s="4"/>
      <c r="AY1357" s="4"/>
      <c r="AZ1357" s="4"/>
      <c r="BA1357" s="4"/>
      <c r="BB1357" s="4"/>
      <c r="BC1357" s="4"/>
      <c r="BD1357" s="4"/>
      <c r="BE1357" s="4"/>
      <c r="BF1357" s="4"/>
      <c r="BG1357" s="4"/>
      <c r="BH1357" s="4"/>
      <c r="BI1357" s="4"/>
      <c r="BJ1357" s="4"/>
      <c r="BK1357" s="4"/>
      <c r="BL1357" s="4"/>
      <c r="BM1357" s="4"/>
      <c r="BN1357" s="4"/>
      <c r="BO1357" s="4"/>
      <c r="BP1357" s="4"/>
      <c r="BQ1357" s="4"/>
      <c r="BR1357" s="4"/>
      <c r="BS1357" s="4"/>
      <c r="BT1357" s="4"/>
      <c r="BU1357" s="4"/>
    </row>
    <row r="1358" spans="29:73" s="1" customFormat="1" x14ac:dyDescent="0.25">
      <c r="AC1358" s="4"/>
      <c r="AD1358" s="4"/>
      <c r="AE1358" s="4"/>
      <c r="AF1358" s="4"/>
      <c r="AG1358" s="4"/>
      <c r="AH1358" s="4"/>
      <c r="AI1358" s="4"/>
      <c r="AJ1358" s="4"/>
      <c r="AK1358" s="4"/>
      <c r="AL1358" s="4"/>
      <c r="AM1358" s="4"/>
      <c r="AN1358" s="4"/>
      <c r="AO1358" s="4"/>
      <c r="AP1358" s="4"/>
      <c r="AQ1358" s="4"/>
      <c r="AR1358" s="4"/>
      <c r="AS1358" s="4"/>
      <c r="AT1358" s="4"/>
      <c r="AU1358" s="4"/>
      <c r="AV1358" s="4"/>
      <c r="AW1358" s="4"/>
      <c r="AX1358" s="4"/>
      <c r="AY1358" s="4"/>
      <c r="AZ1358" s="4"/>
      <c r="BA1358" s="4"/>
      <c r="BB1358" s="4"/>
      <c r="BC1358" s="4"/>
      <c r="BD1358" s="4"/>
      <c r="BE1358" s="4"/>
      <c r="BF1358" s="4"/>
      <c r="BG1358" s="4"/>
      <c r="BH1358" s="4"/>
      <c r="BI1358" s="4"/>
      <c r="BJ1358" s="4"/>
      <c r="BK1358" s="4"/>
      <c r="BL1358" s="4"/>
      <c r="BM1358" s="4"/>
      <c r="BN1358" s="4"/>
      <c r="BO1358" s="4"/>
      <c r="BP1358" s="4"/>
      <c r="BQ1358" s="4"/>
      <c r="BR1358" s="4"/>
      <c r="BS1358" s="4"/>
      <c r="BT1358" s="4"/>
      <c r="BU1358" s="4"/>
    </row>
    <row r="1359" spans="29:73" s="1" customFormat="1" x14ac:dyDescent="0.25">
      <c r="AC1359" s="4"/>
      <c r="AD1359" s="4"/>
      <c r="AE1359" s="4"/>
      <c r="AF1359" s="4"/>
      <c r="AG1359" s="4"/>
      <c r="AH1359" s="4"/>
      <c r="AI1359" s="4"/>
      <c r="AJ1359" s="4"/>
      <c r="AK1359" s="4"/>
      <c r="AL1359" s="4"/>
      <c r="AM1359" s="4"/>
      <c r="AN1359" s="4"/>
      <c r="AO1359" s="4"/>
      <c r="AP1359" s="4"/>
      <c r="AQ1359" s="4"/>
      <c r="AR1359" s="4"/>
      <c r="AS1359" s="4"/>
      <c r="AT1359" s="4"/>
      <c r="AU1359" s="4"/>
      <c r="AV1359" s="4"/>
      <c r="AW1359" s="4"/>
      <c r="AX1359" s="4"/>
      <c r="AY1359" s="4"/>
      <c r="AZ1359" s="4"/>
      <c r="BA1359" s="4"/>
      <c r="BB1359" s="4"/>
      <c r="BC1359" s="4"/>
      <c r="BD1359" s="4"/>
      <c r="BE1359" s="4"/>
      <c r="BF1359" s="4"/>
      <c r="BG1359" s="4"/>
      <c r="BH1359" s="4"/>
      <c r="BI1359" s="4"/>
      <c r="BJ1359" s="4"/>
      <c r="BK1359" s="4"/>
      <c r="BL1359" s="4"/>
      <c r="BM1359" s="4"/>
      <c r="BN1359" s="4"/>
      <c r="BO1359" s="4"/>
      <c r="BP1359" s="4"/>
      <c r="BQ1359" s="4"/>
      <c r="BR1359" s="4"/>
      <c r="BS1359" s="4"/>
      <c r="BT1359" s="4"/>
      <c r="BU1359" s="4"/>
    </row>
    <row r="1360" spans="29:73" s="1" customFormat="1" x14ac:dyDescent="0.25">
      <c r="AC1360" s="4"/>
      <c r="AD1360" s="4"/>
      <c r="AE1360" s="4"/>
      <c r="AF1360" s="4"/>
      <c r="AG1360" s="4"/>
      <c r="AH1360" s="4"/>
      <c r="AI1360" s="4"/>
      <c r="AJ1360" s="4"/>
      <c r="AK1360" s="4"/>
      <c r="AL1360" s="4"/>
      <c r="AM1360" s="4"/>
      <c r="AN1360" s="4"/>
      <c r="AO1360" s="4"/>
      <c r="AP1360" s="4"/>
      <c r="AQ1360" s="4"/>
      <c r="AR1360" s="4"/>
      <c r="AS1360" s="4"/>
      <c r="AT1360" s="4"/>
      <c r="AU1360" s="4"/>
      <c r="AV1360" s="4"/>
      <c r="AW1360" s="4"/>
      <c r="AX1360" s="4"/>
      <c r="AY1360" s="4"/>
      <c r="AZ1360" s="4"/>
      <c r="BA1360" s="4"/>
      <c r="BB1360" s="4"/>
      <c r="BC1360" s="4"/>
      <c r="BD1360" s="4"/>
      <c r="BE1360" s="4"/>
      <c r="BF1360" s="4"/>
      <c r="BG1360" s="4"/>
      <c r="BH1360" s="4"/>
      <c r="BI1360" s="4"/>
      <c r="BJ1360" s="4"/>
      <c r="BK1360" s="4"/>
      <c r="BL1360" s="4"/>
      <c r="BM1360" s="4"/>
      <c r="BN1360" s="4"/>
      <c r="BO1360" s="4"/>
      <c r="BP1360" s="4"/>
      <c r="BQ1360" s="4"/>
      <c r="BR1360" s="4"/>
      <c r="BS1360" s="4"/>
      <c r="BT1360" s="4"/>
      <c r="BU1360" s="4"/>
    </row>
    <row r="1361" spans="29:73" s="1" customFormat="1" x14ac:dyDescent="0.25">
      <c r="AC1361" s="4"/>
      <c r="AD1361" s="4"/>
      <c r="AE1361" s="4"/>
      <c r="AF1361" s="4"/>
      <c r="AG1361" s="4"/>
      <c r="AH1361" s="4"/>
      <c r="AI1361" s="4"/>
      <c r="AJ1361" s="4"/>
      <c r="AK1361" s="4"/>
      <c r="AL1361" s="4"/>
      <c r="AM1361" s="4"/>
      <c r="AN1361" s="4"/>
      <c r="AO1361" s="4"/>
      <c r="AP1361" s="4"/>
      <c r="AQ1361" s="4"/>
      <c r="AR1361" s="4"/>
      <c r="AS1361" s="4"/>
      <c r="AT1361" s="4"/>
      <c r="AU1361" s="4"/>
      <c r="AV1361" s="4"/>
      <c r="AW1361" s="4"/>
      <c r="AX1361" s="4"/>
      <c r="AY1361" s="4"/>
      <c r="AZ1361" s="4"/>
      <c r="BA1361" s="4"/>
      <c r="BB1361" s="4"/>
      <c r="BC1361" s="4"/>
      <c r="BD1361" s="4"/>
      <c r="BE1361" s="4"/>
      <c r="BF1361" s="4"/>
      <c r="BG1361" s="4"/>
      <c r="BH1361" s="4"/>
      <c r="BI1361" s="4"/>
      <c r="BJ1361" s="4"/>
      <c r="BK1361" s="4"/>
      <c r="BL1361" s="4"/>
      <c r="BM1361" s="4"/>
      <c r="BN1361" s="4"/>
      <c r="BO1361" s="4"/>
      <c r="BP1361" s="4"/>
      <c r="BQ1361" s="4"/>
      <c r="BR1361" s="4"/>
      <c r="BS1361" s="4"/>
      <c r="BT1361" s="4"/>
      <c r="BU1361" s="4"/>
    </row>
    <row r="1362" spans="29:73" s="1" customFormat="1" x14ac:dyDescent="0.25">
      <c r="AC1362" s="4"/>
      <c r="AD1362" s="4"/>
      <c r="AE1362" s="4"/>
      <c r="AF1362" s="4"/>
      <c r="AG1362" s="4"/>
      <c r="AH1362" s="4"/>
      <c r="AI1362" s="4"/>
      <c r="AJ1362" s="4"/>
      <c r="AK1362" s="4"/>
      <c r="AL1362" s="4"/>
      <c r="AM1362" s="4"/>
      <c r="AN1362" s="4"/>
      <c r="AO1362" s="4"/>
      <c r="AP1362" s="4"/>
      <c r="AQ1362" s="4"/>
      <c r="AR1362" s="4"/>
      <c r="AS1362" s="4"/>
      <c r="AT1362" s="4"/>
      <c r="AU1362" s="4"/>
      <c r="AV1362" s="4"/>
      <c r="AW1362" s="4"/>
      <c r="AX1362" s="4"/>
      <c r="AY1362" s="4"/>
      <c r="AZ1362" s="4"/>
      <c r="BA1362" s="4"/>
      <c r="BB1362" s="4"/>
      <c r="BC1362" s="4"/>
      <c r="BD1362" s="4"/>
      <c r="BE1362" s="4"/>
      <c r="BF1362" s="4"/>
      <c r="BG1362" s="4"/>
      <c r="BH1362" s="4"/>
      <c r="BI1362" s="4"/>
      <c r="BJ1362" s="4"/>
      <c r="BK1362" s="4"/>
      <c r="BL1362" s="4"/>
      <c r="BM1362" s="4"/>
      <c r="BN1362" s="4"/>
      <c r="BO1362" s="4"/>
      <c r="BP1362" s="4"/>
      <c r="BQ1362" s="4"/>
      <c r="BR1362" s="4"/>
      <c r="BS1362" s="4"/>
      <c r="BT1362" s="4"/>
      <c r="BU1362" s="4"/>
    </row>
    <row r="1363" spans="29:73" s="1" customFormat="1" x14ac:dyDescent="0.25">
      <c r="AC1363" s="4"/>
      <c r="AD1363" s="4"/>
      <c r="AE1363" s="4"/>
      <c r="AF1363" s="4"/>
      <c r="AG1363" s="4"/>
      <c r="AH1363" s="4"/>
      <c r="AI1363" s="4"/>
      <c r="AJ1363" s="4"/>
      <c r="AK1363" s="4"/>
      <c r="AL1363" s="4"/>
      <c r="AM1363" s="4"/>
      <c r="AN1363" s="4"/>
      <c r="AO1363" s="4"/>
      <c r="AP1363" s="4"/>
      <c r="AQ1363" s="4"/>
      <c r="AR1363" s="4"/>
      <c r="AS1363" s="4"/>
      <c r="AT1363" s="4"/>
      <c r="AU1363" s="4"/>
      <c r="AV1363" s="4"/>
      <c r="AW1363" s="4"/>
      <c r="AX1363" s="4"/>
      <c r="AY1363" s="4"/>
      <c r="AZ1363" s="4"/>
      <c r="BA1363" s="4"/>
      <c r="BB1363" s="4"/>
      <c r="BC1363" s="4"/>
      <c r="BD1363" s="4"/>
      <c r="BE1363" s="4"/>
      <c r="BF1363" s="4"/>
      <c r="BG1363" s="4"/>
      <c r="BH1363" s="4"/>
      <c r="BI1363" s="4"/>
      <c r="BJ1363" s="4"/>
      <c r="BK1363" s="4"/>
      <c r="BL1363" s="4"/>
      <c r="BM1363" s="4"/>
      <c r="BN1363" s="4"/>
      <c r="BO1363" s="4"/>
      <c r="BP1363" s="4"/>
      <c r="BQ1363" s="4"/>
      <c r="BR1363" s="4"/>
      <c r="BS1363" s="4"/>
      <c r="BT1363" s="4"/>
      <c r="BU1363" s="4"/>
    </row>
    <row r="1364" spans="29:73" s="1" customFormat="1" x14ac:dyDescent="0.25">
      <c r="AC1364" s="4"/>
      <c r="AD1364" s="4"/>
      <c r="AE1364" s="4"/>
      <c r="AF1364" s="4"/>
      <c r="AG1364" s="4"/>
      <c r="AH1364" s="4"/>
      <c r="AI1364" s="4"/>
      <c r="AJ1364" s="4"/>
      <c r="AK1364" s="4"/>
      <c r="AL1364" s="4"/>
      <c r="AM1364" s="4"/>
      <c r="AN1364" s="4"/>
      <c r="AO1364" s="4"/>
      <c r="AP1364" s="4"/>
      <c r="AQ1364" s="4"/>
      <c r="AR1364" s="4"/>
      <c r="AS1364" s="4"/>
      <c r="AT1364" s="4"/>
      <c r="AU1364" s="4"/>
      <c r="AV1364" s="4"/>
      <c r="AW1364" s="4"/>
      <c r="AX1364" s="4"/>
      <c r="AY1364" s="4"/>
      <c r="AZ1364" s="4"/>
      <c r="BA1364" s="4"/>
      <c r="BB1364" s="4"/>
      <c r="BC1364" s="4"/>
      <c r="BD1364" s="4"/>
      <c r="BE1364" s="4"/>
      <c r="BF1364" s="4"/>
      <c r="BG1364" s="4"/>
      <c r="BH1364" s="4"/>
      <c r="BI1364" s="4"/>
      <c r="BJ1364" s="4"/>
      <c r="BK1364" s="4"/>
      <c r="BL1364" s="4"/>
      <c r="BM1364" s="4"/>
      <c r="BN1364" s="4"/>
      <c r="BO1364" s="4"/>
      <c r="BP1364" s="4"/>
      <c r="BQ1364" s="4"/>
      <c r="BR1364" s="4"/>
      <c r="BS1364" s="4"/>
      <c r="BT1364" s="4"/>
      <c r="BU1364" s="4"/>
    </row>
    <row r="1365" spans="29:73" s="1" customFormat="1" x14ac:dyDescent="0.25">
      <c r="AC1365" s="4"/>
      <c r="AD1365" s="4"/>
      <c r="AE1365" s="4"/>
      <c r="AF1365" s="4"/>
      <c r="AG1365" s="4"/>
      <c r="AH1365" s="4"/>
      <c r="AI1365" s="4"/>
      <c r="AJ1365" s="4"/>
      <c r="AK1365" s="4"/>
      <c r="AL1365" s="4"/>
      <c r="AM1365" s="4"/>
      <c r="AN1365" s="4"/>
      <c r="AO1365" s="4"/>
      <c r="AP1365" s="4"/>
      <c r="AQ1365" s="4"/>
      <c r="AR1365" s="4"/>
      <c r="AS1365" s="4"/>
      <c r="AT1365" s="4"/>
      <c r="AU1365" s="4"/>
      <c r="AV1365" s="4"/>
      <c r="AW1365" s="4"/>
      <c r="AX1365" s="4"/>
      <c r="AY1365" s="4"/>
      <c r="AZ1365" s="4"/>
      <c r="BA1365" s="4"/>
      <c r="BB1365" s="4"/>
      <c r="BC1365" s="4"/>
      <c r="BD1365" s="4"/>
      <c r="BE1365" s="4"/>
      <c r="BF1365" s="4"/>
      <c r="BG1365" s="4"/>
      <c r="BH1365" s="4"/>
      <c r="BI1365" s="4"/>
      <c r="BJ1365" s="4"/>
      <c r="BK1365" s="4"/>
      <c r="BL1365" s="4"/>
      <c r="BM1365" s="4"/>
      <c r="BN1365" s="4"/>
      <c r="BO1365" s="4"/>
      <c r="BP1365" s="4"/>
      <c r="BQ1365" s="4"/>
      <c r="BR1365" s="4"/>
      <c r="BS1365" s="4"/>
      <c r="BT1365" s="4"/>
      <c r="BU1365" s="4"/>
    </row>
    <row r="1366" spans="29:73" s="1" customFormat="1" x14ac:dyDescent="0.25">
      <c r="AC1366" s="4"/>
      <c r="AD1366" s="4"/>
      <c r="AE1366" s="4"/>
      <c r="AF1366" s="4"/>
      <c r="AG1366" s="4"/>
      <c r="AH1366" s="4"/>
      <c r="AI1366" s="4"/>
      <c r="AJ1366" s="4"/>
      <c r="AK1366" s="4"/>
      <c r="AL1366" s="4"/>
      <c r="AM1366" s="4"/>
      <c r="AN1366" s="4"/>
      <c r="AO1366" s="4"/>
      <c r="AP1366" s="4"/>
      <c r="AQ1366" s="4"/>
      <c r="AR1366" s="4"/>
      <c r="AS1366" s="4"/>
      <c r="AT1366" s="4"/>
      <c r="AU1366" s="4"/>
      <c r="AV1366" s="4"/>
      <c r="AW1366" s="4"/>
      <c r="AX1366" s="4"/>
      <c r="AY1366" s="4"/>
      <c r="AZ1366" s="4"/>
      <c r="BA1366" s="4"/>
      <c r="BB1366" s="4"/>
      <c r="BC1366" s="4"/>
      <c r="BD1366" s="4"/>
      <c r="BE1366" s="4"/>
      <c r="BF1366" s="4"/>
      <c r="BG1366" s="4"/>
      <c r="BH1366" s="4"/>
      <c r="BI1366" s="4"/>
      <c r="BJ1366" s="4"/>
      <c r="BK1366" s="4"/>
      <c r="BL1366" s="4"/>
      <c r="BM1366" s="4"/>
      <c r="BN1366" s="4"/>
      <c r="BO1366" s="4"/>
      <c r="BP1366" s="4"/>
      <c r="BQ1366" s="4"/>
      <c r="BR1366" s="4"/>
      <c r="BS1366" s="4"/>
      <c r="BT1366" s="4"/>
      <c r="BU1366" s="4"/>
    </row>
    <row r="1367" spans="29:73" s="1" customFormat="1" x14ac:dyDescent="0.25">
      <c r="AC1367" s="4"/>
      <c r="AD1367" s="4"/>
      <c r="AE1367" s="4"/>
      <c r="AF1367" s="4"/>
      <c r="AG1367" s="4"/>
      <c r="AH1367" s="4"/>
      <c r="AI1367" s="4"/>
      <c r="AJ1367" s="4"/>
      <c r="AK1367" s="4"/>
      <c r="AL1367" s="4"/>
      <c r="AM1367" s="4"/>
      <c r="AN1367" s="4"/>
      <c r="AO1367" s="4"/>
      <c r="AP1367" s="4"/>
      <c r="AQ1367" s="4"/>
      <c r="AR1367" s="4"/>
      <c r="AS1367" s="4"/>
      <c r="AT1367" s="4"/>
      <c r="AU1367" s="4"/>
      <c r="AV1367" s="4"/>
      <c r="AW1367" s="4"/>
      <c r="AX1367" s="4"/>
      <c r="AY1367" s="4"/>
      <c r="AZ1367" s="4"/>
      <c r="BA1367" s="4"/>
      <c r="BB1367" s="4"/>
      <c r="BC1367" s="4"/>
      <c r="BD1367" s="4"/>
      <c r="BE1367" s="4"/>
      <c r="BF1367" s="4"/>
      <c r="BG1367" s="4"/>
      <c r="BH1367" s="4"/>
      <c r="BI1367" s="4"/>
      <c r="BJ1367" s="4"/>
      <c r="BK1367" s="4"/>
      <c r="BL1367" s="4"/>
      <c r="BM1367" s="4"/>
      <c r="BN1367" s="4"/>
      <c r="BO1367" s="4"/>
      <c r="BP1367" s="4"/>
      <c r="BQ1367" s="4"/>
      <c r="BR1367" s="4"/>
      <c r="BS1367" s="4"/>
      <c r="BT1367" s="4"/>
      <c r="BU1367" s="4"/>
    </row>
    <row r="1368" spans="29:73" s="1" customFormat="1" x14ac:dyDescent="0.25">
      <c r="AC1368" s="4"/>
      <c r="AD1368" s="4"/>
      <c r="AE1368" s="4"/>
      <c r="AF1368" s="4"/>
      <c r="AG1368" s="4"/>
      <c r="AH1368" s="4"/>
      <c r="AI1368" s="4"/>
      <c r="AJ1368" s="4"/>
      <c r="AK1368" s="4"/>
      <c r="AL1368" s="4"/>
      <c r="AM1368" s="4"/>
      <c r="AN1368" s="4"/>
      <c r="AO1368" s="4"/>
      <c r="AP1368" s="4"/>
      <c r="AQ1368" s="4"/>
      <c r="AR1368" s="4"/>
      <c r="AS1368" s="4"/>
      <c r="AT1368" s="4"/>
      <c r="AU1368" s="4"/>
      <c r="AV1368" s="4"/>
      <c r="AW1368" s="4"/>
      <c r="AX1368" s="4"/>
      <c r="AY1368" s="4"/>
      <c r="AZ1368" s="4"/>
      <c r="BA1368" s="4"/>
      <c r="BB1368" s="4"/>
      <c r="BC1368" s="4"/>
      <c r="BD1368" s="4"/>
      <c r="BE1368" s="4"/>
      <c r="BF1368" s="4"/>
      <c r="BG1368" s="4"/>
      <c r="BH1368" s="4"/>
      <c r="BI1368" s="4"/>
      <c r="BJ1368" s="4"/>
      <c r="BK1368" s="4"/>
      <c r="BL1368" s="4"/>
      <c r="BM1368" s="4"/>
      <c r="BN1368" s="4"/>
      <c r="BO1368" s="4"/>
      <c r="BP1368" s="4"/>
      <c r="BQ1368" s="4"/>
      <c r="BR1368" s="4"/>
      <c r="BS1368" s="4"/>
      <c r="BT1368" s="4"/>
      <c r="BU1368" s="4"/>
    </row>
    <row r="1369" spans="29:73" s="1" customFormat="1" x14ac:dyDescent="0.25">
      <c r="AC1369" s="4"/>
      <c r="AD1369" s="4"/>
      <c r="AE1369" s="4"/>
      <c r="AF1369" s="4"/>
      <c r="AG1369" s="4"/>
      <c r="AH1369" s="4"/>
      <c r="AI1369" s="4"/>
      <c r="AJ1369" s="4"/>
      <c r="AK1369" s="4"/>
      <c r="AL1369" s="4"/>
      <c r="AM1369" s="4"/>
      <c r="AN1369" s="4"/>
      <c r="AO1369" s="4"/>
      <c r="AP1369" s="4"/>
      <c r="AQ1369" s="4"/>
      <c r="AR1369" s="4"/>
      <c r="AS1369" s="4"/>
      <c r="AT1369" s="4"/>
      <c r="AU1369" s="4"/>
      <c r="AV1369" s="4"/>
      <c r="AW1369" s="4"/>
      <c r="AX1369" s="4"/>
      <c r="AY1369" s="4"/>
      <c r="AZ1369" s="4"/>
      <c r="BA1369" s="4"/>
      <c r="BB1369" s="4"/>
      <c r="BC1369" s="4"/>
      <c r="BD1369" s="4"/>
      <c r="BE1369" s="4"/>
      <c r="BF1369" s="4"/>
      <c r="BG1369" s="4"/>
      <c r="BH1369" s="4"/>
      <c r="BI1369" s="4"/>
      <c r="BJ1369" s="4"/>
      <c r="BK1369" s="4"/>
      <c r="BL1369" s="4"/>
      <c r="BM1369" s="4"/>
      <c r="BN1369" s="4"/>
      <c r="BO1369" s="4"/>
      <c r="BP1369" s="4"/>
      <c r="BQ1369" s="4"/>
      <c r="BR1369" s="4"/>
      <c r="BS1369" s="4"/>
      <c r="BT1369" s="4"/>
      <c r="BU1369" s="4"/>
    </row>
    <row r="1370" spans="29:73" s="1" customFormat="1" x14ac:dyDescent="0.25">
      <c r="AC1370" s="4"/>
      <c r="AD1370" s="4"/>
      <c r="AE1370" s="4"/>
      <c r="AF1370" s="4"/>
      <c r="AG1370" s="4"/>
      <c r="AH1370" s="4"/>
      <c r="AI1370" s="4"/>
      <c r="AJ1370" s="4"/>
      <c r="AK1370" s="4"/>
      <c r="AL1370" s="4"/>
      <c r="AM1370" s="4"/>
      <c r="AN1370" s="4"/>
      <c r="AO1370" s="4"/>
      <c r="AP1370" s="4"/>
      <c r="AQ1370" s="4"/>
      <c r="AR1370" s="4"/>
      <c r="AS1370" s="4"/>
      <c r="AT1370" s="4"/>
      <c r="AU1370" s="4"/>
      <c r="AV1370" s="4"/>
      <c r="AW1370" s="4"/>
      <c r="AX1370" s="4"/>
      <c r="AY1370" s="4"/>
      <c r="AZ1370" s="4"/>
      <c r="BA1370" s="4"/>
      <c r="BB1370" s="4"/>
      <c r="BC1370" s="4"/>
      <c r="BD1370" s="4"/>
      <c r="BE1370" s="4"/>
      <c r="BF1370" s="4"/>
      <c r="BG1370" s="4"/>
      <c r="BH1370" s="4"/>
      <c r="BI1370" s="4"/>
      <c r="BJ1370" s="4"/>
      <c r="BK1370" s="4"/>
      <c r="BL1370" s="4"/>
      <c r="BM1370" s="4"/>
      <c r="BN1370" s="4"/>
      <c r="BO1370" s="4"/>
      <c r="BP1370" s="4"/>
      <c r="BQ1370" s="4"/>
      <c r="BR1370" s="4"/>
      <c r="BS1370" s="4"/>
      <c r="BT1370" s="4"/>
      <c r="BU1370" s="4"/>
    </row>
    <row r="1371" spans="29:73" s="1" customFormat="1" x14ac:dyDescent="0.25">
      <c r="AC1371" s="4"/>
      <c r="AD1371" s="4"/>
      <c r="AE1371" s="4"/>
      <c r="AF1371" s="4"/>
      <c r="AG1371" s="4"/>
      <c r="AH1371" s="4"/>
      <c r="AI1371" s="4"/>
      <c r="AJ1371" s="4"/>
      <c r="AK1371" s="4"/>
      <c r="AL1371" s="4"/>
      <c r="AM1371" s="4"/>
      <c r="AN1371" s="4"/>
      <c r="AO1371" s="4"/>
      <c r="AP1371" s="4"/>
      <c r="AQ1371" s="4"/>
      <c r="AR1371" s="4"/>
      <c r="AS1371" s="4"/>
      <c r="AT1371" s="4"/>
      <c r="AU1371" s="4"/>
      <c r="AV1371" s="4"/>
      <c r="AW1371" s="4"/>
      <c r="AX1371" s="4"/>
      <c r="AY1371" s="4"/>
      <c r="AZ1371" s="4"/>
      <c r="BA1371" s="4"/>
      <c r="BB1371" s="4"/>
      <c r="BC1371" s="4"/>
      <c r="BD1371" s="4"/>
      <c r="BE1371" s="4"/>
      <c r="BF1371" s="4"/>
      <c r="BG1371" s="4"/>
      <c r="BH1371" s="4"/>
      <c r="BI1371" s="4"/>
      <c r="BJ1371" s="4"/>
      <c r="BK1371" s="4"/>
      <c r="BL1371" s="4"/>
      <c r="BM1371" s="4"/>
      <c r="BN1371" s="4"/>
      <c r="BO1371" s="4"/>
      <c r="BP1371" s="4"/>
      <c r="BQ1371" s="4"/>
      <c r="BR1371" s="4"/>
      <c r="BS1371" s="4"/>
      <c r="BT1371" s="4"/>
      <c r="BU1371" s="4"/>
    </row>
    <row r="1372" spans="29:73" s="1" customFormat="1" x14ac:dyDescent="0.25">
      <c r="AC1372" s="4"/>
      <c r="AD1372" s="4"/>
      <c r="AE1372" s="4"/>
      <c r="AF1372" s="4"/>
      <c r="AG1372" s="4"/>
      <c r="AH1372" s="4"/>
      <c r="AI1372" s="4"/>
      <c r="AJ1372" s="4"/>
      <c r="AK1372" s="4"/>
      <c r="AL1372" s="4"/>
      <c r="AM1372" s="4"/>
      <c r="AN1372" s="4"/>
      <c r="AO1372" s="4"/>
      <c r="AP1372" s="4"/>
      <c r="AQ1372" s="4"/>
      <c r="AR1372" s="4"/>
      <c r="AS1372" s="4"/>
      <c r="AT1372" s="4"/>
      <c r="AU1372" s="4"/>
      <c r="AV1372" s="4"/>
      <c r="AW1372" s="4"/>
      <c r="AX1372" s="4"/>
      <c r="AY1372" s="4"/>
      <c r="AZ1372" s="4"/>
      <c r="BA1372" s="4"/>
      <c r="BB1372" s="4"/>
      <c r="BC1372" s="4"/>
      <c r="BD1372" s="4"/>
      <c r="BE1372" s="4"/>
      <c r="BF1372" s="4"/>
      <c r="BG1372" s="4"/>
      <c r="BH1372" s="4"/>
      <c r="BI1372" s="4"/>
      <c r="BJ1372" s="4"/>
      <c r="BK1372" s="4"/>
      <c r="BL1372" s="4"/>
      <c r="BM1372" s="4"/>
      <c r="BN1372" s="4"/>
      <c r="BO1372" s="4"/>
      <c r="BP1372" s="4"/>
      <c r="BQ1372" s="4"/>
      <c r="BR1372" s="4"/>
      <c r="BS1372" s="4"/>
      <c r="BT1372" s="4"/>
      <c r="BU1372" s="4"/>
    </row>
    <row r="1373" spans="29:73" s="1" customFormat="1" x14ac:dyDescent="0.25">
      <c r="AC1373" s="4"/>
      <c r="AD1373" s="4"/>
      <c r="AE1373" s="4"/>
      <c r="AF1373" s="4"/>
      <c r="AG1373" s="4"/>
      <c r="AH1373" s="4"/>
      <c r="AI1373" s="4"/>
      <c r="AJ1373" s="4"/>
      <c r="AK1373" s="4"/>
      <c r="AL1373" s="4"/>
      <c r="AM1373" s="4"/>
      <c r="AN1373" s="4"/>
      <c r="AO1373" s="4"/>
      <c r="AP1373" s="4"/>
      <c r="AQ1373" s="4"/>
      <c r="AR1373" s="4"/>
      <c r="AS1373" s="4"/>
      <c r="AT1373" s="4"/>
      <c r="AU1373" s="4"/>
      <c r="AV1373" s="4"/>
      <c r="AW1373" s="4"/>
      <c r="AX1373" s="4"/>
      <c r="AY1373" s="4"/>
      <c r="AZ1373" s="4"/>
      <c r="BA1373" s="4"/>
      <c r="BB1373" s="4"/>
      <c r="BC1373" s="4"/>
      <c r="BD1373" s="4"/>
      <c r="BE1373" s="4"/>
      <c r="BF1373" s="4"/>
      <c r="BG1373" s="4"/>
      <c r="BH1373" s="4"/>
      <c r="BI1373" s="4"/>
      <c r="BJ1373" s="4"/>
      <c r="BK1373" s="4"/>
      <c r="BL1373" s="4"/>
      <c r="BM1373" s="4"/>
      <c r="BN1373" s="4"/>
      <c r="BO1373" s="4"/>
      <c r="BP1373" s="4"/>
      <c r="BQ1373" s="4"/>
      <c r="BR1373" s="4"/>
      <c r="BS1373" s="4"/>
      <c r="BT1373" s="4"/>
      <c r="BU1373" s="4"/>
    </row>
    <row r="1374" spans="29:73" s="1" customFormat="1" x14ac:dyDescent="0.25">
      <c r="AC1374" s="4"/>
      <c r="AD1374" s="4"/>
      <c r="AE1374" s="4"/>
      <c r="AF1374" s="4"/>
      <c r="AG1374" s="4"/>
      <c r="AH1374" s="4"/>
      <c r="AI1374" s="4"/>
      <c r="AJ1374" s="4"/>
      <c r="AK1374" s="4"/>
      <c r="AL1374" s="4"/>
      <c r="AM1374" s="4"/>
      <c r="AN1374" s="4"/>
      <c r="AO1374" s="4"/>
      <c r="AP1374" s="4"/>
      <c r="AQ1374" s="4"/>
      <c r="AR1374" s="4"/>
      <c r="AS1374" s="4"/>
      <c r="AT1374" s="4"/>
      <c r="AU1374" s="4"/>
      <c r="AV1374" s="4"/>
      <c r="AW1374" s="4"/>
      <c r="AX1374" s="4"/>
      <c r="AY1374" s="4"/>
      <c r="AZ1374" s="4"/>
      <c r="BA1374" s="4"/>
      <c r="BB1374" s="4"/>
      <c r="BC1374" s="4"/>
      <c r="BD1374" s="4"/>
      <c r="BE1374" s="4"/>
      <c r="BF1374" s="4"/>
      <c r="BG1374" s="4"/>
      <c r="BH1374" s="4"/>
      <c r="BI1374" s="4"/>
      <c r="BJ1374" s="4"/>
      <c r="BK1374" s="4"/>
      <c r="BL1374" s="4"/>
      <c r="BM1374" s="4"/>
      <c r="BN1374" s="4"/>
      <c r="BO1374" s="4"/>
      <c r="BP1374" s="4"/>
      <c r="BQ1374" s="4"/>
      <c r="BR1374" s="4"/>
      <c r="BS1374" s="4"/>
      <c r="BT1374" s="4"/>
      <c r="BU1374" s="4"/>
    </row>
    <row r="1375" spans="29:73" s="1" customFormat="1" x14ac:dyDescent="0.25">
      <c r="AC1375" s="4"/>
      <c r="AD1375" s="4"/>
      <c r="AE1375" s="4"/>
      <c r="AF1375" s="4"/>
      <c r="AG1375" s="4"/>
      <c r="AH1375" s="4"/>
      <c r="AI1375" s="4"/>
      <c r="AJ1375" s="4"/>
      <c r="AK1375" s="4"/>
      <c r="AL1375" s="4"/>
      <c r="AM1375" s="4"/>
      <c r="AN1375" s="4"/>
      <c r="AO1375" s="4"/>
      <c r="AP1375" s="4"/>
      <c r="AQ1375" s="4"/>
      <c r="AR1375" s="4"/>
      <c r="AS1375" s="4"/>
      <c r="AT1375" s="4"/>
      <c r="AU1375" s="4"/>
      <c r="AV1375" s="4"/>
      <c r="AW1375" s="4"/>
      <c r="AX1375" s="4"/>
      <c r="AY1375" s="4"/>
      <c r="AZ1375" s="4"/>
      <c r="BA1375" s="4"/>
      <c r="BB1375" s="4"/>
      <c r="BC1375" s="4"/>
      <c r="BD1375" s="4"/>
      <c r="BE1375" s="4"/>
      <c r="BF1375" s="4"/>
      <c r="BG1375" s="4"/>
      <c r="BH1375" s="4"/>
      <c r="BI1375" s="4"/>
      <c r="BJ1375" s="4"/>
      <c r="BK1375" s="4"/>
      <c r="BL1375" s="4"/>
      <c r="BM1375" s="4"/>
      <c r="BN1375" s="4"/>
      <c r="BO1375" s="4"/>
      <c r="BP1375" s="4"/>
      <c r="BQ1375" s="4"/>
      <c r="BR1375" s="4"/>
      <c r="BS1375" s="4"/>
      <c r="BT1375" s="4"/>
      <c r="BU1375" s="4"/>
    </row>
    <row r="1376" spans="29:73" s="1" customFormat="1" x14ac:dyDescent="0.25">
      <c r="AC1376" s="4"/>
      <c r="AD1376" s="4"/>
      <c r="AE1376" s="4"/>
      <c r="AF1376" s="4"/>
      <c r="AG1376" s="4"/>
      <c r="AH1376" s="4"/>
      <c r="AI1376" s="4"/>
      <c r="AJ1376" s="4"/>
      <c r="AK1376" s="4"/>
      <c r="AL1376" s="4"/>
      <c r="AM1376" s="4"/>
      <c r="AN1376" s="4"/>
      <c r="AO1376" s="4"/>
      <c r="AP1376" s="4"/>
      <c r="AQ1376" s="4"/>
      <c r="AR1376" s="4"/>
      <c r="AS1376" s="4"/>
      <c r="AT1376" s="4"/>
      <c r="AU1376" s="4"/>
      <c r="AV1376" s="4"/>
      <c r="AW1376" s="4"/>
      <c r="AX1376" s="4"/>
      <c r="AY1376" s="4"/>
      <c r="AZ1376" s="4"/>
      <c r="BA1376" s="4"/>
      <c r="BB1376" s="4"/>
      <c r="BC1376" s="4"/>
      <c r="BD1376" s="4"/>
      <c r="BE1376" s="4"/>
      <c r="BF1376" s="4"/>
      <c r="BG1376" s="4"/>
      <c r="BH1376" s="4"/>
      <c r="BI1376" s="4"/>
      <c r="BJ1376" s="4"/>
      <c r="BK1376" s="4"/>
      <c r="BL1376" s="4"/>
      <c r="BM1376" s="4"/>
      <c r="BN1376" s="4"/>
      <c r="BO1376" s="4"/>
      <c r="BP1376" s="4"/>
      <c r="BQ1376" s="4"/>
      <c r="BR1376" s="4"/>
      <c r="BS1376" s="4"/>
      <c r="BT1376" s="4"/>
      <c r="BU1376" s="4"/>
    </row>
    <row r="1377" spans="29:73" s="1" customFormat="1" x14ac:dyDescent="0.25">
      <c r="AC1377" s="4"/>
      <c r="AD1377" s="4"/>
      <c r="AE1377" s="4"/>
      <c r="AF1377" s="4"/>
      <c r="AG1377" s="4"/>
      <c r="AH1377" s="4"/>
      <c r="AI1377" s="4"/>
      <c r="AJ1377" s="4"/>
      <c r="AK1377" s="4"/>
      <c r="AL1377" s="4"/>
      <c r="AM1377" s="4"/>
      <c r="AN1377" s="4"/>
      <c r="AO1377" s="4"/>
      <c r="AP1377" s="4"/>
      <c r="AQ1377" s="4"/>
      <c r="AR1377" s="4"/>
      <c r="AS1377" s="4"/>
      <c r="AT1377" s="4"/>
      <c r="AU1377" s="4"/>
      <c r="AV1377" s="4"/>
      <c r="AW1377" s="4"/>
      <c r="AX1377" s="4"/>
      <c r="AY1377" s="4"/>
      <c r="AZ1377" s="4"/>
      <c r="BA1377" s="4"/>
      <c r="BB1377" s="4"/>
      <c r="BC1377" s="4"/>
      <c r="BD1377" s="4"/>
      <c r="BE1377" s="4"/>
      <c r="BF1377" s="4"/>
      <c r="BG1377" s="4"/>
      <c r="BH1377" s="4"/>
      <c r="BI1377" s="4"/>
      <c r="BJ1377" s="4"/>
      <c r="BK1377" s="4"/>
      <c r="BL1377" s="4"/>
      <c r="BM1377" s="4"/>
      <c r="BN1377" s="4"/>
      <c r="BO1377" s="4"/>
      <c r="BP1377" s="4"/>
      <c r="BQ1377" s="4"/>
      <c r="BR1377" s="4"/>
      <c r="BS1377" s="4"/>
      <c r="BT1377" s="4"/>
      <c r="BU1377" s="4"/>
    </row>
    <row r="1378" spans="29:73" s="1" customFormat="1" x14ac:dyDescent="0.25">
      <c r="AC1378" s="4"/>
      <c r="AD1378" s="4"/>
      <c r="AE1378" s="4"/>
      <c r="AF1378" s="4"/>
      <c r="AG1378" s="4"/>
      <c r="AH1378" s="4"/>
      <c r="AI1378" s="4"/>
      <c r="AJ1378" s="4"/>
      <c r="AK1378" s="4"/>
      <c r="AL1378" s="4"/>
      <c r="AM1378" s="4"/>
      <c r="AN1378" s="4"/>
      <c r="AO1378" s="4"/>
      <c r="AP1378" s="4"/>
      <c r="AQ1378" s="4"/>
      <c r="AR1378" s="4"/>
      <c r="AS1378" s="4"/>
      <c r="AT1378" s="4"/>
      <c r="AU1378" s="4"/>
      <c r="AV1378" s="4"/>
      <c r="AW1378" s="4"/>
      <c r="AX1378" s="4"/>
      <c r="AY1378" s="4"/>
      <c r="AZ1378" s="4"/>
      <c r="BA1378" s="4"/>
      <c r="BB1378" s="4"/>
      <c r="BC1378" s="4"/>
      <c r="BD1378" s="4"/>
      <c r="BE1378" s="4"/>
      <c r="BF1378" s="4"/>
      <c r="BG1378" s="4"/>
      <c r="BH1378" s="4"/>
      <c r="BI1378" s="4"/>
      <c r="BJ1378" s="4"/>
      <c r="BK1378" s="4"/>
      <c r="BL1378" s="4"/>
      <c r="BM1378" s="4"/>
      <c r="BN1378" s="4"/>
      <c r="BO1378" s="4"/>
      <c r="BP1378" s="4"/>
      <c r="BQ1378" s="4"/>
      <c r="BR1378" s="4"/>
      <c r="BS1378" s="4"/>
      <c r="BT1378" s="4"/>
      <c r="BU1378" s="4"/>
    </row>
    <row r="1379" spans="29:73" s="1" customFormat="1" x14ac:dyDescent="0.25">
      <c r="AC1379" s="4"/>
      <c r="AD1379" s="4"/>
      <c r="AE1379" s="4"/>
      <c r="AF1379" s="4"/>
      <c r="AG1379" s="4"/>
      <c r="AH1379" s="4"/>
      <c r="AI1379" s="4"/>
      <c r="AJ1379" s="4"/>
      <c r="AK1379" s="4"/>
      <c r="AL1379" s="4"/>
      <c r="AM1379" s="4"/>
      <c r="AN1379" s="4"/>
      <c r="AO1379" s="4"/>
      <c r="AP1379" s="4"/>
      <c r="AQ1379" s="4"/>
      <c r="AR1379" s="4"/>
      <c r="AS1379" s="4"/>
      <c r="AT1379" s="4"/>
      <c r="AU1379" s="4"/>
      <c r="AV1379" s="4"/>
      <c r="AW1379" s="4"/>
      <c r="AX1379" s="4"/>
      <c r="AY1379" s="4"/>
      <c r="AZ1379" s="4"/>
      <c r="BA1379" s="4"/>
      <c r="BB1379" s="4"/>
      <c r="BC1379" s="4"/>
      <c r="BD1379" s="4"/>
      <c r="BE1379" s="4"/>
      <c r="BF1379" s="4"/>
      <c r="BG1379" s="4"/>
      <c r="BH1379" s="4"/>
      <c r="BI1379" s="4"/>
      <c r="BJ1379" s="4"/>
      <c r="BK1379" s="4"/>
      <c r="BL1379" s="4"/>
      <c r="BM1379" s="4"/>
      <c r="BN1379" s="4"/>
      <c r="BO1379" s="4"/>
      <c r="BP1379" s="4"/>
      <c r="BQ1379" s="4"/>
      <c r="BR1379" s="4"/>
      <c r="BS1379" s="4"/>
      <c r="BT1379" s="4"/>
      <c r="BU1379" s="4"/>
    </row>
    <row r="1380" spans="29:73" s="1" customFormat="1" x14ac:dyDescent="0.25">
      <c r="AC1380" s="4"/>
      <c r="AD1380" s="4"/>
      <c r="AE1380" s="4"/>
      <c r="AF1380" s="4"/>
      <c r="AG1380" s="4"/>
      <c r="AH1380" s="4"/>
      <c r="AI1380" s="4"/>
      <c r="AJ1380" s="4"/>
      <c r="AK1380" s="4"/>
      <c r="AL1380" s="4"/>
      <c r="AM1380" s="4"/>
      <c r="AN1380" s="4"/>
      <c r="AO1380" s="4"/>
      <c r="AP1380" s="4"/>
      <c r="AQ1380" s="4"/>
      <c r="AR1380" s="4"/>
      <c r="AS1380" s="4"/>
      <c r="AT1380" s="4"/>
      <c r="AU1380" s="4"/>
      <c r="AV1380" s="4"/>
      <c r="AW1380" s="4"/>
      <c r="AX1380" s="4"/>
      <c r="AY1380" s="4"/>
      <c r="AZ1380" s="4"/>
      <c r="BA1380" s="4"/>
      <c r="BB1380" s="4"/>
      <c r="BC1380" s="4"/>
      <c r="BD1380" s="4"/>
      <c r="BE1380" s="4"/>
      <c r="BF1380" s="4"/>
      <c r="BG1380" s="4"/>
      <c r="BH1380" s="4"/>
      <c r="BI1380" s="4"/>
      <c r="BJ1380" s="4"/>
      <c r="BK1380" s="4"/>
      <c r="BL1380" s="4"/>
      <c r="BM1380" s="4"/>
      <c r="BN1380" s="4"/>
      <c r="BO1380" s="4"/>
      <c r="BP1380" s="4"/>
      <c r="BQ1380" s="4"/>
      <c r="BR1380" s="4"/>
      <c r="BS1380" s="4"/>
      <c r="BT1380" s="4"/>
      <c r="BU1380" s="4"/>
    </row>
    <row r="1381" spans="29:73" s="1" customFormat="1" x14ac:dyDescent="0.25">
      <c r="AC1381" s="4"/>
      <c r="AD1381" s="4"/>
      <c r="AE1381" s="4"/>
      <c r="AF1381" s="4"/>
      <c r="AG1381" s="4"/>
      <c r="AH1381" s="4"/>
      <c r="AI1381" s="4"/>
      <c r="AJ1381" s="4"/>
      <c r="AK1381" s="4"/>
      <c r="AL1381" s="4"/>
      <c r="AM1381" s="4"/>
      <c r="AN1381" s="4"/>
      <c r="AO1381" s="4"/>
      <c r="AP1381" s="4"/>
      <c r="AQ1381" s="4"/>
      <c r="AR1381" s="4"/>
      <c r="AS1381" s="4"/>
      <c r="AT1381" s="4"/>
      <c r="AU1381" s="4"/>
      <c r="AV1381" s="4"/>
      <c r="AW1381" s="4"/>
      <c r="AX1381" s="4"/>
      <c r="AY1381" s="4"/>
      <c r="AZ1381" s="4"/>
      <c r="BA1381" s="4"/>
      <c r="BB1381" s="4"/>
      <c r="BC1381" s="4"/>
      <c r="BD1381" s="4"/>
      <c r="BE1381" s="4"/>
      <c r="BF1381" s="4"/>
      <c r="BG1381" s="4"/>
      <c r="BH1381" s="4"/>
      <c r="BI1381" s="4"/>
      <c r="BJ1381" s="4"/>
      <c r="BK1381" s="4"/>
      <c r="BL1381" s="4"/>
      <c r="BM1381" s="4"/>
      <c r="BN1381" s="4"/>
      <c r="BO1381" s="4"/>
      <c r="BP1381" s="4"/>
      <c r="BQ1381" s="4"/>
      <c r="BR1381" s="4"/>
      <c r="BS1381" s="4"/>
      <c r="BT1381" s="4"/>
      <c r="BU1381" s="4"/>
    </row>
    <row r="1382" spans="29:73" s="1" customFormat="1" x14ac:dyDescent="0.25">
      <c r="AC1382" s="4"/>
      <c r="AD1382" s="4"/>
      <c r="AE1382" s="4"/>
      <c r="AF1382" s="4"/>
      <c r="AG1382" s="4"/>
      <c r="AH1382" s="4"/>
      <c r="AI1382" s="4"/>
      <c r="AJ1382" s="4"/>
      <c r="AK1382" s="4"/>
      <c r="AL1382" s="4"/>
      <c r="AM1382" s="4"/>
      <c r="AN1382" s="4"/>
      <c r="AO1382" s="4"/>
      <c r="AP1382" s="4"/>
      <c r="AQ1382" s="4"/>
      <c r="AR1382" s="4"/>
      <c r="AS1382" s="4"/>
      <c r="AT1382" s="4"/>
      <c r="AU1382" s="4"/>
      <c r="AV1382" s="4"/>
      <c r="AW1382" s="4"/>
      <c r="AX1382" s="4"/>
      <c r="AY1382" s="4"/>
      <c r="AZ1382" s="4"/>
      <c r="BA1382" s="4"/>
      <c r="BB1382" s="4"/>
      <c r="BC1382" s="4"/>
      <c r="BD1382" s="4"/>
      <c r="BE1382" s="4"/>
      <c r="BF1382" s="4"/>
      <c r="BG1382" s="4"/>
      <c r="BH1382" s="4"/>
      <c r="BI1382" s="4"/>
      <c r="BJ1382" s="4"/>
      <c r="BK1382" s="4"/>
      <c r="BL1382" s="4"/>
      <c r="BM1382" s="4"/>
      <c r="BN1382" s="4"/>
      <c r="BO1382" s="4"/>
      <c r="BP1382" s="4"/>
      <c r="BQ1382" s="4"/>
      <c r="BR1382" s="4"/>
      <c r="BS1382" s="4"/>
      <c r="BT1382" s="4"/>
      <c r="BU1382" s="4"/>
    </row>
    <row r="1383" spans="29:73" s="1" customFormat="1" x14ac:dyDescent="0.25">
      <c r="AC1383" s="4"/>
      <c r="AD1383" s="4"/>
      <c r="AE1383" s="4"/>
      <c r="AF1383" s="4"/>
      <c r="AG1383" s="4"/>
      <c r="AH1383" s="4"/>
      <c r="AI1383" s="4"/>
      <c r="AJ1383" s="4"/>
      <c r="AK1383" s="4"/>
      <c r="AL1383" s="4"/>
      <c r="AM1383" s="4"/>
      <c r="AN1383" s="4"/>
      <c r="AO1383" s="4"/>
      <c r="AP1383" s="4"/>
      <c r="AQ1383" s="4"/>
      <c r="AR1383" s="4"/>
      <c r="AS1383" s="4"/>
      <c r="AT1383" s="4"/>
      <c r="AU1383" s="4"/>
      <c r="AV1383" s="4"/>
      <c r="AW1383" s="4"/>
      <c r="AX1383" s="4"/>
      <c r="AY1383" s="4"/>
      <c r="AZ1383" s="4"/>
      <c r="BA1383" s="4"/>
      <c r="BB1383" s="4"/>
      <c r="BC1383" s="4"/>
      <c r="BD1383" s="4"/>
      <c r="BE1383" s="4"/>
      <c r="BF1383" s="4"/>
      <c r="BG1383" s="4"/>
      <c r="BH1383" s="4"/>
      <c r="BI1383" s="4"/>
      <c r="BJ1383" s="4"/>
      <c r="BK1383" s="4"/>
      <c r="BL1383" s="4"/>
      <c r="BM1383" s="4"/>
      <c r="BN1383" s="4"/>
      <c r="BO1383" s="4"/>
      <c r="BP1383" s="4"/>
      <c r="BQ1383" s="4"/>
      <c r="BR1383" s="4"/>
      <c r="BS1383" s="4"/>
      <c r="BT1383" s="4"/>
      <c r="BU1383" s="4"/>
    </row>
    <row r="1384" spans="29:73" s="1" customFormat="1" x14ac:dyDescent="0.25">
      <c r="AC1384" s="4"/>
      <c r="AD1384" s="4"/>
      <c r="AE1384" s="4"/>
      <c r="AF1384" s="4"/>
      <c r="AG1384" s="4"/>
      <c r="AH1384" s="4"/>
      <c r="AI1384" s="4"/>
      <c r="AJ1384" s="4"/>
      <c r="AK1384" s="4"/>
      <c r="AL1384" s="4"/>
      <c r="AM1384" s="4"/>
      <c r="AN1384" s="4"/>
      <c r="AO1384" s="4"/>
      <c r="AP1384" s="4"/>
      <c r="AQ1384" s="4"/>
      <c r="AR1384" s="4"/>
      <c r="AS1384" s="4"/>
      <c r="AT1384" s="4"/>
      <c r="AU1384" s="4"/>
      <c r="AV1384" s="4"/>
      <c r="AW1384" s="4"/>
      <c r="AX1384" s="4"/>
      <c r="AY1384" s="4"/>
      <c r="AZ1384" s="4"/>
      <c r="BA1384" s="4"/>
      <c r="BB1384" s="4"/>
      <c r="BC1384" s="4"/>
      <c r="BD1384" s="4"/>
      <c r="BE1384" s="4"/>
      <c r="BF1384" s="4"/>
      <c r="BG1384" s="4"/>
      <c r="BH1384" s="4"/>
      <c r="BI1384" s="4"/>
      <c r="BJ1384" s="4"/>
      <c r="BK1384" s="4"/>
      <c r="BL1384" s="4"/>
      <c r="BM1384" s="4"/>
      <c r="BN1384" s="4"/>
      <c r="BO1384" s="4"/>
      <c r="BP1384" s="4"/>
      <c r="BQ1384" s="4"/>
      <c r="BR1384" s="4"/>
      <c r="BS1384" s="4"/>
      <c r="BT1384" s="4"/>
      <c r="BU1384" s="4"/>
    </row>
    <row r="1385" spans="29:73" s="1" customFormat="1" x14ac:dyDescent="0.25">
      <c r="AC1385" s="4"/>
      <c r="AD1385" s="4"/>
      <c r="AE1385" s="4"/>
      <c r="AF1385" s="4"/>
      <c r="AG1385" s="4"/>
      <c r="AH1385" s="4"/>
      <c r="AI1385" s="4"/>
      <c r="AJ1385" s="4"/>
      <c r="AK1385" s="4"/>
      <c r="AL1385" s="4"/>
      <c r="AM1385" s="4"/>
      <c r="AN1385" s="4"/>
      <c r="AO1385" s="4"/>
      <c r="AP1385" s="4"/>
      <c r="AQ1385" s="4"/>
      <c r="AR1385" s="4"/>
      <c r="AS1385" s="4"/>
      <c r="AT1385" s="4"/>
      <c r="AU1385" s="4"/>
      <c r="AV1385" s="4"/>
      <c r="AW1385" s="4"/>
      <c r="AX1385" s="4"/>
      <c r="AY1385" s="4"/>
      <c r="AZ1385" s="4"/>
      <c r="BA1385" s="4"/>
      <c r="BB1385" s="4"/>
      <c r="BC1385" s="4"/>
      <c r="BD1385" s="4"/>
      <c r="BE1385" s="4"/>
      <c r="BF1385" s="4"/>
      <c r="BG1385" s="4"/>
      <c r="BH1385" s="4"/>
      <c r="BI1385" s="4"/>
      <c r="BJ1385" s="4"/>
      <c r="BK1385" s="4"/>
      <c r="BL1385" s="4"/>
      <c r="BM1385" s="4"/>
      <c r="BN1385" s="4"/>
      <c r="BO1385" s="4"/>
      <c r="BP1385" s="4"/>
      <c r="BQ1385" s="4"/>
      <c r="BR1385" s="4"/>
      <c r="BS1385" s="4"/>
      <c r="BT1385" s="4"/>
      <c r="BU1385" s="4"/>
    </row>
    <row r="1386" spans="29:73" s="1" customFormat="1" x14ac:dyDescent="0.25">
      <c r="AC1386" s="4"/>
      <c r="AD1386" s="4"/>
      <c r="AE1386" s="4"/>
      <c r="AF1386" s="4"/>
      <c r="AG1386" s="4"/>
      <c r="AH1386" s="4"/>
      <c r="AI1386" s="4"/>
      <c r="AJ1386" s="4"/>
      <c r="AK1386" s="4"/>
      <c r="AL1386" s="4"/>
      <c r="AM1386" s="4"/>
      <c r="AN1386" s="4"/>
      <c r="AO1386" s="4"/>
      <c r="AP1386" s="4"/>
      <c r="AQ1386" s="4"/>
      <c r="AR1386" s="4"/>
      <c r="AS1386" s="4"/>
      <c r="AT1386" s="4"/>
      <c r="AU1386" s="4"/>
      <c r="AV1386" s="4"/>
      <c r="AW1386" s="4"/>
      <c r="AX1386" s="4"/>
      <c r="AY1386" s="4"/>
      <c r="AZ1386" s="4"/>
      <c r="BA1386" s="4"/>
      <c r="BB1386" s="4"/>
      <c r="BC1386" s="4"/>
      <c r="BD1386" s="4"/>
      <c r="BE1386" s="4"/>
      <c r="BF1386" s="4"/>
      <c r="BG1386" s="4"/>
      <c r="BH1386" s="4"/>
      <c r="BI1386" s="4"/>
      <c r="BJ1386" s="4"/>
      <c r="BK1386" s="4"/>
      <c r="BL1386" s="4"/>
      <c r="BM1386" s="4"/>
      <c r="BN1386" s="4"/>
      <c r="BO1386" s="4"/>
      <c r="BP1386" s="4"/>
      <c r="BQ1386" s="4"/>
      <c r="BR1386" s="4"/>
      <c r="BS1386" s="4"/>
      <c r="BT1386" s="4"/>
      <c r="BU1386" s="4"/>
    </row>
    <row r="1387" spans="29:73" s="1" customFormat="1" x14ac:dyDescent="0.25">
      <c r="AC1387" s="4"/>
      <c r="AD1387" s="4"/>
      <c r="AE1387" s="4"/>
      <c r="AF1387" s="4"/>
      <c r="AG1387" s="4"/>
      <c r="AH1387" s="4"/>
      <c r="AI1387" s="4"/>
      <c r="AJ1387" s="4"/>
      <c r="AK1387" s="4"/>
      <c r="AL1387" s="4"/>
      <c r="AM1387" s="4"/>
      <c r="AN1387" s="4"/>
      <c r="AO1387" s="4"/>
      <c r="AP1387" s="4"/>
      <c r="AQ1387" s="4"/>
      <c r="AR1387" s="4"/>
      <c r="AS1387" s="4"/>
      <c r="AT1387" s="4"/>
      <c r="AU1387" s="4"/>
      <c r="AV1387" s="4"/>
      <c r="AW1387" s="4"/>
      <c r="AX1387" s="4"/>
      <c r="AY1387" s="4"/>
      <c r="AZ1387" s="4"/>
      <c r="BA1387" s="4"/>
      <c r="BB1387" s="4"/>
      <c r="BC1387" s="4"/>
      <c r="BD1387" s="4"/>
      <c r="BE1387" s="4"/>
      <c r="BF1387" s="4"/>
      <c r="BG1387" s="4"/>
      <c r="BH1387" s="4"/>
      <c r="BI1387" s="4"/>
      <c r="BJ1387" s="4"/>
      <c r="BK1387" s="4"/>
      <c r="BL1387" s="4"/>
      <c r="BM1387" s="4"/>
      <c r="BN1387" s="4"/>
      <c r="BO1387" s="4"/>
      <c r="BP1387" s="4"/>
      <c r="BQ1387" s="4"/>
      <c r="BR1387" s="4"/>
      <c r="BS1387" s="4"/>
      <c r="BT1387" s="4"/>
      <c r="BU1387" s="4"/>
    </row>
    <row r="1388" spans="29:73" s="1" customFormat="1" x14ac:dyDescent="0.25">
      <c r="AC1388" s="4"/>
      <c r="AD1388" s="4"/>
      <c r="AE1388" s="4"/>
      <c r="AF1388" s="4"/>
      <c r="AG1388" s="4"/>
      <c r="AH1388" s="4"/>
      <c r="AI1388" s="4"/>
      <c r="AJ1388" s="4"/>
      <c r="AK1388" s="4"/>
      <c r="AL1388" s="4"/>
      <c r="AM1388" s="4"/>
      <c r="AN1388" s="4"/>
      <c r="AO1388" s="4"/>
      <c r="AP1388" s="4"/>
      <c r="AQ1388" s="4"/>
      <c r="AR1388" s="4"/>
      <c r="AS1388" s="4"/>
      <c r="AT1388" s="4"/>
      <c r="AU1388" s="4"/>
      <c r="AV1388" s="4"/>
      <c r="AW1388" s="4"/>
      <c r="AX1388" s="4"/>
      <c r="AY1388" s="4"/>
      <c r="AZ1388" s="4"/>
      <c r="BA1388" s="4"/>
      <c r="BB1388" s="4"/>
      <c r="BC1388" s="4"/>
      <c r="BD1388" s="4"/>
      <c r="BE1388" s="4"/>
      <c r="BF1388" s="4"/>
      <c r="BG1388" s="4"/>
      <c r="BH1388" s="4"/>
      <c r="BI1388" s="4"/>
      <c r="BJ1388" s="4"/>
      <c r="BK1388" s="4"/>
      <c r="BL1388" s="4"/>
      <c r="BM1388" s="4"/>
      <c r="BN1388" s="4"/>
      <c r="BO1388" s="4"/>
      <c r="BP1388" s="4"/>
      <c r="BQ1388" s="4"/>
      <c r="BR1388" s="4"/>
      <c r="BS1388" s="4"/>
      <c r="BT1388" s="4"/>
      <c r="BU1388" s="4"/>
    </row>
    <row r="1389" spans="29:73" s="1" customFormat="1" x14ac:dyDescent="0.25">
      <c r="AC1389" s="4"/>
      <c r="AD1389" s="4"/>
      <c r="AE1389" s="4"/>
      <c r="AF1389" s="4"/>
      <c r="AG1389" s="4"/>
      <c r="AH1389" s="4"/>
      <c r="AI1389" s="4"/>
      <c r="AJ1389" s="4"/>
      <c r="AK1389" s="4"/>
      <c r="AL1389" s="4"/>
      <c r="AM1389" s="4"/>
      <c r="AN1389" s="4"/>
      <c r="AO1389" s="4"/>
      <c r="AP1389" s="4"/>
      <c r="AQ1389" s="4"/>
      <c r="AR1389" s="4"/>
      <c r="AS1389" s="4"/>
      <c r="AT1389" s="4"/>
      <c r="AU1389" s="4"/>
      <c r="AV1389" s="4"/>
      <c r="AW1389" s="4"/>
      <c r="AX1389" s="4"/>
      <c r="AY1389" s="4"/>
      <c r="AZ1389" s="4"/>
      <c r="BA1389" s="4"/>
      <c r="BB1389" s="4"/>
      <c r="BC1389" s="4"/>
      <c r="BD1389" s="4"/>
      <c r="BE1389" s="4"/>
      <c r="BF1389" s="4"/>
      <c r="BG1389" s="4"/>
      <c r="BH1389" s="4"/>
      <c r="BI1389" s="4"/>
      <c r="BJ1389" s="4"/>
      <c r="BK1389" s="4"/>
      <c r="BL1389" s="4"/>
      <c r="BM1389" s="4"/>
      <c r="BN1389" s="4"/>
      <c r="BO1389" s="4"/>
      <c r="BP1389" s="4"/>
      <c r="BQ1389" s="4"/>
      <c r="BR1389" s="4"/>
      <c r="BS1389" s="4"/>
      <c r="BT1389" s="4"/>
      <c r="BU1389" s="4"/>
    </row>
    <row r="1390" spans="29:73" s="1" customFormat="1" x14ac:dyDescent="0.25">
      <c r="AC1390" s="4"/>
      <c r="AD1390" s="4"/>
      <c r="AE1390" s="4"/>
      <c r="AF1390" s="4"/>
      <c r="AG1390" s="4"/>
      <c r="AH1390" s="4"/>
      <c r="AI1390" s="4"/>
      <c r="AJ1390" s="4"/>
      <c r="AK1390" s="4"/>
      <c r="AL1390" s="4"/>
      <c r="AM1390" s="4"/>
      <c r="AN1390" s="4"/>
      <c r="AO1390" s="4"/>
      <c r="AP1390" s="4"/>
      <c r="AQ1390" s="4"/>
      <c r="AR1390" s="4"/>
      <c r="AS1390" s="4"/>
      <c r="AT1390" s="4"/>
      <c r="AU1390" s="4"/>
      <c r="AV1390" s="4"/>
      <c r="AW1390" s="4"/>
      <c r="AX1390" s="4"/>
      <c r="AY1390" s="4"/>
      <c r="AZ1390" s="4"/>
      <c r="BA1390" s="4"/>
      <c r="BB1390" s="4"/>
      <c r="BC1390" s="4"/>
      <c r="BD1390" s="4"/>
      <c r="BE1390" s="4"/>
      <c r="BF1390" s="4"/>
      <c r="BG1390" s="4"/>
      <c r="BH1390" s="4"/>
      <c r="BI1390" s="4"/>
      <c r="BJ1390" s="4"/>
      <c r="BK1390" s="4"/>
      <c r="BL1390" s="4"/>
      <c r="BM1390" s="4"/>
      <c r="BN1390" s="4"/>
      <c r="BO1390" s="4"/>
      <c r="BP1390" s="4"/>
      <c r="BQ1390" s="4"/>
      <c r="BR1390" s="4"/>
      <c r="BS1390" s="4"/>
      <c r="BT1390" s="4"/>
      <c r="BU1390" s="4"/>
    </row>
    <row r="1391" spans="29:73" s="1" customFormat="1" x14ac:dyDescent="0.25">
      <c r="AC1391" s="4"/>
      <c r="AD1391" s="4"/>
      <c r="AE1391" s="4"/>
      <c r="AF1391" s="4"/>
      <c r="AG1391" s="4"/>
      <c r="AH1391" s="4"/>
      <c r="AI1391" s="4"/>
      <c r="AJ1391" s="4"/>
      <c r="AK1391" s="4"/>
      <c r="AL1391" s="4"/>
      <c r="AM1391" s="4"/>
      <c r="AN1391" s="4"/>
      <c r="AO1391" s="4"/>
      <c r="AP1391" s="4"/>
      <c r="AQ1391" s="4"/>
      <c r="AR1391" s="4"/>
      <c r="AS1391" s="4"/>
      <c r="AT1391" s="4"/>
      <c r="AU1391" s="4"/>
      <c r="AV1391" s="4"/>
      <c r="AW1391" s="4"/>
      <c r="AX1391" s="4"/>
      <c r="AY1391" s="4"/>
      <c r="AZ1391" s="4"/>
      <c r="BA1391" s="4"/>
      <c r="BB1391" s="4"/>
      <c r="BC1391" s="4"/>
      <c r="BD1391" s="4"/>
      <c r="BE1391" s="4"/>
      <c r="BF1391" s="4"/>
      <c r="BG1391" s="4"/>
      <c r="BH1391" s="4"/>
      <c r="BI1391" s="4"/>
      <c r="BJ1391" s="4"/>
      <c r="BK1391" s="4"/>
      <c r="BL1391" s="4"/>
      <c r="BM1391" s="4"/>
      <c r="BN1391" s="4"/>
      <c r="BO1391" s="4"/>
      <c r="BP1391" s="4"/>
      <c r="BQ1391" s="4"/>
      <c r="BR1391" s="4"/>
      <c r="BS1391" s="4"/>
      <c r="BT1391" s="4"/>
      <c r="BU1391" s="4"/>
    </row>
    <row r="1392" spans="29:73" s="1" customFormat="1" x14ac:dyDescent="0.25">
      <c r="AC1392" s="4"/>
      <c r="AD1392" s="4"/>
      <c r="AE1392" s="4"/>
      <c r="AF1392" s="4"/>
      <c r="AG1392" s="4"/>
      <c r="AH1392" s="4"/>
      <c r="AI1392" s="4"/>
      <c r="AJ1392" s="4"/>
      <c r="AK1392" s="4"/>
      <c r="AL1392" s="4"/>
      <c r="AM1392" s="4"/>
      <c r="AN1392" s="4"/>
      <c r="AO1392" s="4"/>
      <c r="AP1392" s="4"/>
      <c r="AQ1392" s="4"/>
      <c r="AR1392" s="4"/>
      <c r="AS1392" s="4"/>
      <c r="AT1392" s="4"/>
      <c r="AU1392" s="4"/>
      <c r="AV1392" s="4"/>
      <c r="AW1392" s="4"/>
      <c r="AX1392" s="4"/>
      <c r="AY1392" s="4"/>
      <c r="AZ1392" s="4"/>
      <c r="BA1392" s="4"/>
      <c r="BB1392" s="4"/>
      <c r="BC1392" s="4"/>
      <c r="BD1392" s="4"/>
      <c r="BE1392" s="4"/>
      <c r="BF1392" s="4"/>
      <c r="BG1392" s="4"/>
      <c r="BH1392" s="4"/>
      <c r="BI1392" s="4"/>
      <c r="BJ1392" s="4"/>
      <c r="BK1392" s="4"/>
      <c r="BL1392" s="4"/>
      <c r="BM1392" s="4"/>
      <c r="BN1392" s="4"/>
      <c r="BO1392" s="4"/>
      <c r="BP1392" s="4"/>
      <c r="BQ1392" s="4"/>
      <c r="BR1392" s="4"/>
      <c r="BS1392" s="4"/>
      <c r="BT1392" s="4"/>
      <c r="BU1392" s="4"/>
    </row>
    <row r="1393" spans="29:73" s="1" customFormat="1" x14ac:dyDescent="0.25">
      <c r="AC1393" s="4"/>
      <c r="AD1393" s="4"/>
      <c r="AE1393" s="4"/>
      <c r="AF1393" s="4"/>
      <c r="AG1393" s="4"/>
      <c r="AH1393" s="4"/>
      <c r="AI1393" s="4"/>
      <c r="AJ1393" s="4"/>
      <c r="AK1393" s="4"/>
      <c r="AL1393" s="4"/>
      <c r="AM1393" s="4"/>
      <c r="AN1393" s="4"/>
      <c r="AO1393" s="4"/>
      <c r="AP1393" s="4"/>
      <c r="AQ1393" s="4"/>
      <c r="AR1393" s="4"/>
      <c r="AS1393" s="4"/>
      <c r="AT1393" s="4"/>
      <c r="AU1393" s="4"/>
      <c r="AV1393" s="4"/>
      <c r="AW1393" s="4"/>
      <c r="AX1393" s="4"/>
      <c r="AY1393" s="4"/>
      <c r="AZ1393" s="4"/>
      <c r="BA1393" s="4"/>
      <c r="BB1393" s="4"/>
      <c r="BC1393" s="4"/>
      <c r="BD1393" s="4"/>
      <c r="BE1393" s="4"/>
      <c r="BF1393" s="4"/>
      <c r="BG1393" s="4"/>
      <c r="BH1393" s="4"/>
      <c r="BI1393" s="4"/>
      <c r="BJ1393" s="4"/>
      <c r="BK1393" s="4"/>
      <c r="BL1393" s="4"/>
      <c r="BM1393" s="4"/>
      <c r="BN1393" s="4"/>
      <c r="BO1393" s="4"/>
      <c r="BP1393" s="4"/>
      <c r="BQ1393" s="4"/>
      <c r="BR1393" s="4"/>
      <c r="BS1393" s="4"/>
      <c r="BT1393" s="4"/>
      <c r="BU1393" s="4"/>
    </row>
    <row r="1394" spans="29:73" s="1" customFormat="1" x14ac:dyDescent="0.25">
      <c r="AC1394" s="4"/>
      <c r="AD1394" s="4"/>
      <c r="AE1394" s="4"/>
      <c r="AF1394" s="4"/>
      <c r="AG1394" s="4"/>
      <c r="AH1394" s="4"/>
      <c r="AI1394" s="4"/>
      <c r="AJ1394" s="4"/>
      <c r="AK1394" s="4"/>
      <c r="AL1394" s="4"/>
      <c r="AM1394" s="4"/>
      <c r="AN1394" s="4"/>
      <c r="AO1394" s="4"/>
      <c r="AP1394" s="4"/>
      <c r="AQ1394" s="4"/>
      <c r="AR1394" s="4"/>
      <c r="AS1394" s="4"/>
      <c r="AT1394" s="4"/>
      <c r="AU1394" s="4"/>
      <c r="AV1394" s="4"/>
      <c r="AW1394" s="4"/>
      <c r="AX1394" s="4"/>
      <c r="AY1394" s="4"/>
      <c r="AZ1394" s="4"/>
      <c r="BA1394" s="4"/>
      <c r="BB1394" s="4"/>
      <c r="BC1394" s="4"/>
      <c r="BD1394" s="4"/>
      <c r="BE1394" s="4"/>
      <c r="BF1394" s="4"/>
      <c r="BG1394" s="4"/>
      <c r="BH1394" s="4"/>
      <c r="BI1394" s="4"/>
      <c r="BJ1394" s="4"/>
      <c r="BK1394" s="4"/>
      <c r="BL1394" s="4"/>
      <c r="BM1394" s="4"/>
      <c r="BN1394" s="4"/>
      <c r="BO1394" s="4"/>
      <c r="BP1394" s="4"/>
      <c r="BQ1394" s="4"/>
      <c r="BR1394" s="4"/>
      <c r="BS1394" s="4"/>
      <c r="BT1394" s="4"/>
      <c r="BU1394" s="4"/>
    </row>
    <row r="1395" spans="29:73" s="1" customFormat="1" x14ac:dyDescent="0.25">
      <c r="AC1395" s="4"/>
      <c r="AD1395" s="4"/>
      <c r="AE1395" s="4"/>
      <c r="AF1395" s="4"/>
      <c r="AG1395" s="4"/>
      <c r="AH1395" s="4"/>
      <c r="AI1395" s="4"/>
      <c r="AJ1395" s="4"/>
      <c r="AK1395" s="4"/>
      <c r="AL1395" s="4"/>
      <c r="AM1395" s="4"/>
      <c r="AN1395" s="4"/>
      <c r="AO1395" s="4"/>
      <c r="AP1395" s="4"/>
      <c r="AQ1395" s="4"/>
      <c r="AR1395" s="4"/>
      <c r="AS1395" s="4"/>
      <c r="AT1395" s="4"/>
      <c r="AU1395" s="4"/>
      <c r="AV1395" s="4"/>
      <c r="AW1395" s="4"/>
      <c r="AX1395" s="4"/>
      <c r="AY1395" s="4"/>
      <c r="AZ1395" s="4"/>
      <c r="BA1395" s="4"/>
      <c r="BB1395" s="4"/>
      <c r="BC1395" s="4"/>
      <c r="BD1395" s="4"/>
      <c r="BE1395" s="4"/>
      <c r="BF1395" s="4"/>
      <c r="BG1395" s="4"/>
      <c r="BH1395" s="4"/>
      <c r="BI1395" s="4"/>
      <c r="BJ1395" s="4"/>
      <c r="BK1395" s="4"/>
      <c r="BL1395" s="4"/>
      <c r="BM1395" s="4"/>
      <c r="BN1395" s="4"/>
      <c r="BO1395" s="4"/>
      <c r="BP1395" s="4"/>
      <c r="BQ1395" s="4"/>
      <c r="BR1395" s="4"/>
      <c r="BS1395" s="4"/>
      <c r="BT1395" s="4"/>
      <c r="BU1395" s="4"/>
    </row>
    <row r="1396" spans="29:73" s="1" customFormat="1" x14ac:dyDescent="0.25">
      <c r="AC1396" s="4"/>
      <c r="AD1396" s="4"/>
      <c r="AE1396" s="4"/>
      <c r="AF1396" s="4"/>
      <c r="AG1396" s="4"/>
      <c r="AH1396" s="4"/>
      <c r="AI1396" s="4"/>
      <c r="AJ1396" s="4"/>
      <c r="AK1396" s="4"/>
      <c r="AL1396" s="4"/>
      <c r="AM1396" s="4"/>
      <c r="AN1396" s="4"/>
      <c r="AO1396" s="4"/>
      <c r="AP1396" s="4"/>
      <c r="AQ1396" s="4"/>
      <c r="AR1396" s="4"/>
      <c r="AS1396" s="4"/>
      <c r="AT1396" s="4"/>
      <c r="AU1396" s="4"/>
      <c r="AV1396" s="4"/>
      <c r="AW1396" s="4"/>
      <c r="AX1396" s="4"/>
      <c r="AY1396" s="4"/>
      <c r="AZ1396" s="4"/>
      <c r="BA1396" s="4"/>
      <c r="BB1396" s="4"/>
      <c r="BC1396" s="4"/>
      <c r="BD1396" s="4"/>
      <c r="BE1396" s="4"/>
      <c r="BF1396" s="4"/>
      <c r="BG1396" s="4"/>
      <c r="BH1396" s="4"/>
      <c r="BI1396" s="4"/>
      <c r="BJ1396" s="4"/>
      <c r="BK1396" s="4"/>
      <c r="BL1396" s="4"/>
      <c r="BM1396" s="4"/>
      <c r="BN1396" s="4"/>
      <c r="BO1396" s="4"/>
      <c r="BP1396" s="4"/>
      <c r="BQ1396" s="4"/>
      <c r="BR1396" s="4"/>
      <c r="BS1396" s="4"/>
      <c r="BT1396" s="4"/>
      <c r="BU1396" s="4"/>
    </row>
    <row r="1397" spans="29:73" s="1" customFormat="1" x14ac:dyDescent="0.25">
      <c r="AC1397" s="4"/>
      <c r="AD1397" s="4"/>
      <c r="AE1397" s="4"/>
      <c r="AF1397" s="4"/>
      <c r="AG1397" s="4"/>
      <c r="AH1397" s="4"/>
      <c r="AI1397" s="4"/>
      <c r="AJ1397" s="4"/>
      <c r="AK1397" s="4"/>
      <c r="AL1397" s="4"/>
      <c r="AM1397" s="4"/>
      <c r="AN1397" s="4"/>
      <c r="AO1397" s="4"/>
      <c r="AP1397" s="4"/>
      <c r="AQ1397" s="4"/>
      <c r="AR1397" s="4"/>
      <c r="AS1397" s="4"/>
      <c r="AT1397" s="4"/>
      <c r="AU1397" s="4"/>
      <c r="AV1397" s="4"/>
      <c r="AW1397" s="4"/>
      <c r="AX1397" s="4"/>
      <c r="AY1397" s="4"/>
      <c r="AZ1397" s="4"/>
      <c r="BA1397" s="4"/>
      <c r="BB1397" s="4"/>
      <c r="BC1397" s="4"/>
      <c r="BD1397" s="4"/>
      <c r="BE1397" s="4"/>
      <c r="BF1397" s="4"/>
      <c r="BG1397" s="4"/>
      <c r="BH1397" s="4"/>
      <c r="BI1397" s="4"/>
      <c r="BJ1397" s="4"/>
      <c r="BK1397" s="4"/>
      <c r="BL1397" s="4"/>
      <c r="BM1397" s="4"/>
      <c r="BN1397" s="4"/>
      <c r="BO1397" s="4"/>
      <c r="BP1397" s="4"/>
      <c r="BQ1397" s="4"/>
      <c r="BR1397" s="4"/>
      <c r="BS1397" s="4"/>
      <c r="BT1397" s="4"/>
      <c r="BU1397" s="4"/>
    </row>
    <row r="1398" spans="29:73" s="1" customFormat="1" x14ac:dyDescent="0.25">
      <c r="AC1398" s="4"/>
      <c r="AD1398" s="4"/>
      <c r="AE1398" s="4"/>
      <c r="AF1398" s="4"/>
      <c r="AG1398" s="4"/>
      <c r="AH1398" s="4"/>
      <c r="AI1398" s="4"/>
      <c r="AJ1398" s="4"/>
      <c r="AK1398" s="4"/>
      <c r="AL1398" s="4"/>
      <c r="AM1398" s="4"/>
      <c r="AN1398" s="4"/>
      <c r="AO1398" s="4"/>
      <c r="AP1398" s="4"/>
      <c r="AQ1398" s="4"/>
      <c r="AR1398" s="4"/>
      <c r="AS1398" s="4"/>
      <c r="AT1398" s="4"/>
      <c r="AU1398" s="4"/>
      <c r="AV1398" s="4"/>
      <c r="AW1398" s="4"/>
      <c r="AX1398" s="4"/>
      <c r="AY1398" s="4"/>
      <c r="AZ1398" s="4"/>
      <c r="BA1398" s="4"/>
      <c r="BB1398" s="4"/>
      <c r="BC1398" s="4"/>
      <c r="BD1398" s="4"/>
      <c r="BE1398" s="4"/>
      <c r="BF1398" s="4"/>
      <c r="BG1398" s="4"/>
      <c r="BH1398" s="4"/>
      <c r="BI1398" s="4"/>
      <c r="BJ1398" s="4"/>
      <c r="BK1398" s="4"/>
      <c r="BL1398" s="4"/>
      <c r="BM1398" s="4"/>
      <c r="BN1398" s="4"/>
      <c r="BO1398" s="4"/>
      <c r="BP1398" s="4"/>
      <c r="BQ1398" s="4"/>
      <c r="BR1398" s="4"/>
      <c r="BS1398" s="4"/>
      <c r="BT1398" s="4"/>
      <c r="BU1398" s="4"/>
    </row>
    <row r="1399" spans="29:73" s="1" customFormat="1" x14ac:dyDescent="0.25">
      <c r="AC1399" s="4"/>
      <c r="AD1399" s="4"/>
      <c r="AE1399" s="4"/>
      <c r="AF1399" s="4"/>
      <c r="AG1399" s="4"/>
      <c r="AH1399" s="4"/>
      <c r="AI1399" s="4"/>
      <c r="AJ1399" s="4"/>
      <c r="AK1399" s="4"/>
      <c r="AL1399" s="4"/>
      <c r="AM1399" s="4"/>
      <c r="AN1399" s="4"/>
      <c r="AO1399" s="4"/>
      <c r="AP1399" s="4"/>
      <c r="AQ1399" s="4"/>
      <c r="AR1399" s="4"/>
      <c r="AS1399" s="4"/>
      <c r="AT1399" s="4"/>
      <c r="AU1399" s="4"/>
      <c r="AV1399" s="4"/>
      <c r="AW1399" s="4"/>
      <c r="AX1399" s="4"/>
      <c r="AY1399" s="4"/>
      <c r="AZ1399" s="4"/>
      <c r="BA1399" s="4"/>
      <c r="BB1399" s="4"/>
      <c r="BC1399" s="4"/>
      <c r="BD1399" s="4"/>
      <c r="BE1399" s="4"/>
      <c r="BF1399" s="4"/>
      <c r="BG1399" s="4"/>
      <c r="BH1399" s="4"/>
      <c r="BI1399" s="4"/>
      <c r="BJ1399" s="4"/>
      <c r="BK1399" s="4"/>
      <c r="BL1399" s="4"/>
      <c r="BM1399" s="4"/>
      <c r="BN1399" s="4"/>
      <c r="BO1399" s="4"/>
      <c r="BP1399" s="4"/>
      <c r="BQ1399" s="4"/>
      <c r="BR1399" s="4"/>
      <c r="BS1399" s="4"/>
      <c r="BT1399" s="4"/>
      <c r="BU1399" s="4"/>
    </row>
    <row r="1400" spans="29:73" s="1" customFormat="1" x14ac:dyDescent="0.25">
      <c r="AC1400" s="4"/>
      <c r="AD1400" s="4"/>
      <c r="AE1400" s="4"/>
      <c r="AF1400" s="4"/>
      <c r="AG1400" s="4"/>
      <c r="AH1400" s="4"/>
      <c r="AI1400" s="4"/>
      <c r="AJ1400" s="4"/>
      <c r="AK1400" s="4"/>
      <c r="AL1400" s="4"/>
      <c r="AM1400" s="4"/>
      <c r="AN1400" s="4"/>
      <c r="AO1400" s="4"/>
      <c r="AP1400" s="4"/>
      <c r="AQ1400" s="4"/>
      <c r="AR1400" s="4"/>
      <c r="AS1400" s="4"/>
      <c r="AT1400" s="4"/>
      <c r="AU1400" s="4"/>
      <c r="AV1400" s="4"/>
      <c r="AW1400" s="4"/>
      <c r="AX1400" s="4"/>
      <c r="AY1400" s="4"/>
      <c r="AZ1400" s="4"/>
      <c r="BA1400" s="4"/>
      <c r="BB1400" s="4"/>
      <c r="BC1400" s="4"/>
      <c r="BD1400" s="4"/>
      <c r="BE1400" s="4"/>
      <c r="BF1400" s="4"/>
      <c r="BG1400" s="4"/>
      <c r="BH1400" s="4"/>
      <c r="BI1400" s="4"/>
      <c r="BJ1400" s="4"/>
      <c r="BK1400" s="4"/>
      <c r="BL1400" s="4"/>
      <c r="BM1400" s="4"/>
      <c r="BN1400" s="4"/>
      <c r="BO1400" s="4"/>
      <c r="BP1400" s="4"/>
      <c r="BQ1400" s="4"/>
      <c r="BR1400" s="4"/>
      <c r="BS1400" s="4"/>
      <c r="BT1400" s="4"/>
      <c r="BU1400" s="4"/>
    </row>
    <row r="1401" spans="29:73" s="1" customFormat="1" x14ac:dyDescent="0.25">
      <c r="AC1401" s="4"/>
      <c r="AD1401" s="4"/>
      <c r="AE1401" s="4"/>
      <c r="AF1401" s="4"/>
      <c r="AG1401" s="4"/>
      <c r="AH1401" s="4"/>
      <c r="AI1401" s="4"/>
      <c r="AJ1401" s="4"/>
      <c r="AK1401" s="4"/>
      <c r="AL1401" s="4"/>
      <c r="AM1401" s="4"/>
      <c r="AN1401" s="4"/>
      <c r="AO1401" s="4"/>
      <c r="AP1401" s="4"/>
      <c r="AQ1401" s="4"/>
      <c r="AR1401" s="4"/>
      <c r="AS1401" s="4"/>
      <c r="AT1401" s="4"/>
      <c r="AU1401" s="4"/>
      <c r="AV1401" s="4"/>
      <c r="AW1401" s="4"/>
      <c r="AX1401" s="4"/>
      <c r="AY1401" s="4"/>
      <c r="AZ1401" s="4"/>
      <c r="BA1401" s="4"/>
      <c r="BB1401" s="4"/>
      <c r="BC1401" s="4"/>
      <c r="BD1401" s="4"/>
      <c r="BE1401" s="4"/>
      <c r="BF1401" s="4"/>
      <c r="BG1401" s="4"/>
      <c r="BH1401" s="4"/>
      <c r="BI1401" s="4"/>
      <c r="BJ1401" s="4"/>
      <c r="BK1401" s="4"/>
      <c r="BL1401" s="4"/>
      <c r="BM1401" s="4"/>
      <c r="BN1401" s="4"/>
      <c r="BO1401" s="4"/>
      <c r="BP1401" s="4"/>
      <c r="BQ1401" s="4"/>
      <c r="BR1401" s="4"/>
      <c r="BS1401" s="4"/>
      <c r="BT1401" s="4"/>
      <c r="BU1401" s="4"/>
    </row>
    <row r="1402" spans="29:73" s="1" customFormat="1" x14ac:dyDescent="0.25">
      <c r="AC1402" s="4"/>
      <c r="AD1402" s="4"/>
      <c r="AE1402" s="4"/>
      <c r="AF1402" s="4"/>
      <c r="AG1402" s="4"/>
      <c r="AH1402" s="4"/>
      <c r="AI1402" s="4"/>
      <c r="AJ1402" s="4"/>
      <c r="AK1402" s="4"/>
      <c r="AL1402" s="4"/>
      <c r="AM1402" s="4"/>
      <c r="AN1402" s="4"/>
      <c r="AO1402" s="4"/>
      <c r="AP1402" s="4"/>
      <c r="AQ1402" s="4"/>
      <c r="AR1402" s="4"/>
      <c r="AS1402" s="4"/>
      <c r="AT1402" s="4"/>
      <c r="AU1402" s="4"/>
      <c r="AV1402" s="4"/>
      <c r="AW1402" s="4"/>
      <c r="AX1402" s="4"/>
      <c r="AY1402" s="4"/>
      <c r="AZ1402" s="4"/>
      <c r="BA1402" s="4"/>
      <c r="BB1402" s="4"/>
      <c r="BC1402" s="4"/>
      <c r="BD1402" s="4"/>
      <c r="BE1402" s="4"/>
      <c r="BF1402" s="4"/>
      <c r="BG1402" s="4"/>
      <c r="BH1402" s="4"/>
      <c r="BI1402" s="4"/>
      <c r="BJ1402" s="4"/>
      <c r="BK1402" s="4"/>
      <c r="BL1402" s="4"/>
      <c r="BM1402" s="4"/>
      <c r="BN1402" s="4"/>
      <c r="BO1402" s="4"/>
      <c r="BP1402" s="4"/>
      <c r="BQ1402" s="4"/>
      <c r="BR1402" s="4"/>
      <c r="BS1402" s="4"/>
      <c r="BT1402" s="4"/>
      <c r="BU1402" s="4"/>
    </row>
    <row r="1403" spans="29:73" s="1" customFormat="1" x14ac:dyDescent="0.25">
      <c r="AC1403" s="4"/>
      <c r="AD1403" s="4"/>
      <c r="AE1403" s="4"/>
      <c r="AF1403" s="4"/>
      <c r="AG1403" s="4"/>
      <c r="AH1403" s="4"/>
      <c r="AI1403" s="4"/>
      <c r="AJ1403" s="4"/>
      <c r="AK1403" s="4"/>
      <c r="AL1403" s="4"/>
      <c r="AM1403" s="4"/>
      <c r="AN1403" s="4"/>
      <c r="AO1403" s="4"/>
      <c r="AP1403" s="4"/>
      <c r="AQ1403" s="4"/>
      <c r="AR1403" s="4"/>
      <c r="AS1403" s="4"/>
      <c r="AT1403" s="4"/>
      <c r="AU1403" s="4"/>
      <c r="AV1403" s="4"/>
      <c r="AW1403" s="4"/>
      <c r="AX1403" s="4"/>
      <c r="AY1403" s="4"/>
      <c r="AZ1403" s="4"/>
      <c r="BA1403" s="4"/>
      <c r="BB1403" s="4"/>
      <c r="BC1403" s="4"/>
      <c r="BD1403" s="4"/>
      <c r="BE1403" s="4"/>
      <c r="BF1403" s="4"/>
      <c r="BG1403" s="4"/>
      <c r="BH1403" s="4"/>
      <c r="BI1403" s="4"/>
      <c r="BJ1403" s="4"/>
      <c r="BK1403" s="4"/>
      <c r="BL1403" s="4"/>
      <c r="BM1403" s="4"/>
      <c r="BN1403" s="4"/>
      <c r="BO1403" s="4"/>
      <c r="BP1403" s="4"/>
      <c r="BQ1403" s="4"/>
      <c r="BR1403" s="4"/>
      <c r="BS1403" s="4"/>
      <c r="BT1403" s="4"/>
      <c r="BU1403" s="4"/>
    </row>
    <row r="1404" spans="29:73" s="1" customFormat="1" x14ac:dyDescent="0.25">
      <c r="AC1404" s="4"/>
      <c r="AD1404" s="4"/>
      <c r="AE1404" s="4"/>
      <c r="AF1404" s="4"/>
      <c r="AG1404" s="4"/>
      <c r="AH1404" s="4"/>
      <c r="AI1404" s="4"/>
      <c r="AJ1404" s="4"/>
      <c r="AK1404" s="4"/>
      <c r="AL1404" s="4"/>
      <c r="AM1404" s="4"/>
      <c r="AN1404" s="4"/>
      <c r="AO1404" s="4"/>
      <c r="AP1404" s="4"/>
      <c r="AQ1404" s="4"/>
      <c r="AR1404" s="4"/>
      <c r="AS1404" s="4"/>
      <c r="AT1404" s="4"/>
      <c r="AU1404" s="4"/>
      <c r="AV1404" s="4"/>
      <c r="AW1404" s="4"/>
      <c r="AX1404" s="4"/>
      <c r="AY1404" s="4"/>
      <c r="AZ1404" s="4"/>
      <c r="BA1404" s="4"/>
      <c r="BB1404" s="4"/>
      <c r="BC1404" s="4"/>
      <c r="BD1404" s="4"/>
      <c r="BE1404" s="4"/>
      <c r="BF1404" s="4"/>
      <c r="BG1404" s="4"/>
      <c r="BH1404" s="4"/>
      <c r="BI1404" s="4"/>
      <c r="BJ1404" s="4"/>
      <c r="BK1404" s="4"/>
      <c r="BL1404" s="4"/>
      <c r="BM1404" s="4"/>
      <c r="BN1404" s="4"/>
      <c r="BO1404" s="4"/>
      <c r="BP1404" s="4"/>
      <c r="BQ1404" s="4"/>
      <c r="BR1404" s="4"/>
      <c r="BS1404" s="4"/>
      <c r="BT1404" s="4"/>
      <c r="BU1404" s="4"/>
    </row>
    <row r="1405" spans="29:73" s="1" customFormat="1" x14ac:dyDescent="0.25">
      <c r="AC1405" s="4"/>
      <c r="AD1405" s="4"/>
      <c r="AE1405" s="4"/>
      <c r="AF1405" s="4"/>
      <c r="AG1405" s="4"/>
      <c r="AH1405" s="4"/>
      <c r="AI1405" s="4"/>
      <c r="AJ1405" s="4"/>
      <c r="AK1405" s="4"/>
      <c r="AL1405" s="4"/>
      <c r="AM1405" s="4"/>
      <c r="AN1405" s="4"/>
      <c r="AO1405" s="4"/>
      <c r="AP1405" s="4"/>
      <c r="AQ1405" s="4"/>
      <c r="AR1405" s="4"/>
      <c r="AS1405" s="4"/>
      <c r="AT1405" s="4"/>
      <c r="AU1405" s="4"/>
      <c r="AV1405" s="4"/>
      <c r="AW1405" s="4"/>
      <c r="AX1405" s="4"/>
      <c r="AY1405" s="4"/>
      <c r="AZ1405" s="4"/>
      <c r="BA1405" s="4"/>
      <c r="BB1405" s="4"/>
      <c r="BC1405" s="4"/>
      <c r="BD1405" s="4"/>
      <c r="BE1405" s="4"/>
      <c r="BF1405" s="4"/>
      <c r="BG1405" s="4"/>
      <c r="BH1405" s="4"/>
      <c r="BI1405" s="4"/>
      <c r="BJ1405" s="4"/>
      <c r="BK1405" s="4"/>
      <c r="BL1405" s="4"/>
      <c r="BM1405" s="4"/>
      <c r="BN1405" s="4"/>
      <c r="BO1405" s="4"/>
      <c r="BP1405" s="4"/>
      <c r="BQ1405" s="4"/>
      <c r="BR1405" s="4"/>
      <c r="BS1405" s="4"/>
      <c r="BT1405" s="4"/>
      <c r="BU1405" s="4"/>
    </row>
    <row r="1406" spans="29:73" s="1" customFormat="1" x14ac:dyDescent="0.25">
      <c r="AC1406" s="4"/>
      <c r="AD1406" s="4"/>
      <c r="AE1406" s="4"/>
      <c r="AF1406" s="4"/>
      <c r="AG1406" s="4"/>
      <c r="AH1406" s="4"/>
      <c r="AI1406" s="4"/>
      <c r="AJ1406" s="4"/>
      <c r="AK1406" s="4"/>
      <c r="AL1406" s="4"/>
      <c r="AM1406" s="4"/>
      <c r="AN1406" s="4"/>
      <c r="AO1406" s="4"/>
      <c r="AP1406" s="4"/>
      <c r="AQ1406" s="4"/>
      <c r="AR1406" s="4"/>
      <c r="AS1406" s="4"/>
      <c r="AT1406" s="4"/>
      <c r="AU1406" s="4"/>
      <c r="AV1406" s="4"/>
      <c r="AW1406" s="4"/>
      <c r="AX1406" s="4"/>
      <c r="AY1406" s="4"/>
      <c r="AZ1406" s="4"/>
      <c r="BA1406" s="4"/>
      <c r="BB1406" s="4"/>
      <c r="BC1406" s="4"/>
      <c r="BD1406" s="4"/>
      <c r="BE1406" s="4"/>
      <c r="BF1406" s="4"/>
      <c r="BG1406" s="4"/>
      <c r="BH1406" s="4"/>
      <c r="BI1406" s="4"/>
      <c r="BJ1406" s="4"/>
      <c r="BK1406" s="4"/>
      <c r="BL1406" s="4"/>
      <c r="BM1406" s="4"/>
      <c r="BN1406" s="4"/>
      <c r="BO1406" s="4"/>
      <c r="BP1406" s="4"/>
      <c r="BQ1406" s="4"/>
      <c r="BR1406" s="4"/>
      <c r="BS1406" s="4"/>
      <c r="BT1406" s="4"/>
      <c r="BU1406" s="4"/>
    </row>
    <row r="1407" spans="29:73" s="1" customFormat="1" x14ac:dyDescent="0.25">
      <c r="AC1407" s="4"/>
      <c r="AD1407" s="4"/>
      <c r="AE1407" s="4"/>
      <c r="AF1407" s="4"/>
      <c r="AG1407" s="4"/>
      <c r="AH1407" s="4"/>
      <c r="AI1407" s="4"/>
      <c r="AJ1407" s="4"/>
      <c r="AK1407" s="4"/>
      <c r="AL1407" s="4"/>
      <c r="AM1407" s="4"/>
      <c r="AN1407" s="4"/>
      <c r="AO1407" s="4"/>
      <c r="AP1407" s="4"/>
      <c r="AQ1407" s="4"/>
      <c r="AR1407" s="4"/>
      <c r="AS1407" s="4"/>
      <c r="AT1407" s="4"/>
      <c r="AU1407" s="4"/>
      <c r="AV1407" s="4"/>
      <c r="AW1407" s="4"/>
      <c r="AX1407" s="4"/>
      <c r="AY1407" s="4"/>
      <c r="AZ1407" s="4"/>
      <c r="BA1407" s="4"/>
      <c r="BB1407" s="4"/>
      <c r="BC1407" s="4"/>
      <c r="BD1407" s="4"/>
      <c r="BE1407" s="4"/>
      <c r="BF1407" s="4"/>
      <c r="BG1407" s="4"/>
      <c r="BH1407" s="4"/>
      <c r="BI1407" s="4"/>
      <c r="BJ1407" s="4"/>
      <c r="BK1407" s="4"/>
      <c r="BL1407" s="4"/>
      <c r="BM1407" s="4"/>
      <c r="BN1407" s="4"/>
      <c r="BO1407" s="4"/>
      <c r="BP1407" s="4"/>
      <c r="BQ1407" s="4"/>
      <c r="BR1407" s="4"/>
      <c r="BS1407" s="4"/>
      <c r="BT1407" s="4"/>
      <c r="BU1407" s="4"/>
    </row>
    <row r="1408" spans="29:73" s="1" customFormat="1" x14ac:dyDescent="0.25">
      <c r="AC1408" s="4"/>
      <c r="AD1408" s="4"/>
      <c r="AE1408" s="4"/>
      <c r="AF1408" s="4"/>
      <c r="AG1408" s="4"/>
      <c r="AH1408" s="4"/>
      <c r="AI1408" s="4"/>
      <c r="AJ1408" s="4"/>
      <c r="AK1408" s="4"/>
      <c r="AL1408" s="4"/>
      <c r="AM1408" s="4"/>
      <c r="AN1408" s="4"/>
      <c r="AO1408" s="4"/>
      <c r="AP1408" s="4"/>
      <c r="AQ1408" s="4"/>
      <c r="AR1408" s="4"/>
      <c r="AS1408" s="4"/>
      <c r="AT1408" s="4"/>
      <c r="AU1408" s="4"/>
      <c r="AV1408" s="4"/>
      <c r="AW1408" s="4"/>
      <c r="AX1408" s="4"/>
      <c r="AY1408" s="4"/>
      <c r="AZ1408" s="4"/>
      <c r="BA1408" s="4"/>
      <c r="BB1408" s="4"/>
      <c r="BC1408" s="4"/>
      <c r="BD1408" s="4"/>
      <c r="BE1408" s="4"/>
      <c r="BF1408" s="4"/>
      <c r="BG1408" s="4"/>
      <c r="BH1408" s="4"/>
      <c r="BI1408" s="4"/>
      <c r="BJ1408" s="4"/>
      <c r="BK1408" s="4"/>
      <c r="BL1408" s="4"/>
      <c r="BM1408" s="4"/>
      <c r="BN1408" s="4"/>
      <c r="BO1408" s="4"/>
      <c r="BP1408" s="4"/>
      <c r="BQ1408" s="4"/>
      <c r="BR1408" s="4"/>
      <c r="BS1408" s="4"/>
      <c r="BT1408" s="4"/>
      <c r="BU1408" s="4"/>
    </row>
    <row r="1409" spans="29:73" s="1" customFormat="1" x14ac:dyDescent="0.25">
      <c r="AC1409" s="4"/>
      <c r="AD1409" s="4"/>
      <c r="AE1409" s="4"/>
      <c r="AF1409" s="4"/>
      <c r="AG1409" s="4"/>
      <c r="AH1409" s="4"/>
      <c r="AI1409" s="4"/>
      <c r="AJ1409" s="4"/>
      <c r="AK1409" s="4"/>
      <c r="AL1409" s="4"/>
      <c r="AM1409" s="4"/>
      <c r="AN1409" s="4"/>
      <c r="AO1409" s="4"/>
      <c r="AP1409" s="4"/>
      <c r="AQ1409" s="4"/>
      <c r="AR1409" s="4"/>
      <c r="AS1409" s="4"/>
      <c r="AT1409" s="4"/>
      <c r="AU1409" s="4"/>
      <c r="AV1409" s="4"/>
      <c r="AW1409" s="4"/>
      <c r="AX1409" s="4"/>
      <c r="AY1409" s="4"/>
      <c r="AZ1409" s="4"/>
      <c r="BA1409" s="4"/>
      <c r="BB1409" s="4"/>
      <c r="BC1409" s="4"/>
      <c r="BD1409" s="4"/>
      <c r="BE1409" s="4"/>
      <c r="BF1409" s="4"/>
      <c r="BG1409" s="4"/>
      <c r="BH1409" s="4"/>
      <c r="BI1409" s="4"/>
      <c r="BJ1409" s="4"/>
      <c r="BK1409" s="4"/>
      <c r="BL1409" s="4"/>
      <c r="BM1409" s="4"/>
      <c r="BN1409" s="4"/>
      <c r="BO1409" s="4"/>
      <c r="BP1409" s="4"/>
      <c r="BQ1409" s="4"/>
      <c r="BR1409" s="4"/>
      <c r="BS1409" s="4"/>
      <c r="BT1409" s="4"/>
      <c r="BU1409" s="4"/>
    </row>
    <row r="1410" spans="29:73" s="1" customFormat="1" x14ac:dyDescent="0.25">
      <c r="AC1410" s="4"/>
      <c r="AD1410" s="4"/>
      <c r="AE1410" s="4"/>
      <c r="AF1410" s="4"/>
      <c r="AG1410" s="4"/>
      <c r="AH1410" s="4"/>
      <c r="AI1410" s="4"/>
      <c r="AJ1410" s="4"/>
      <c r="AK1410" s="4"/>
      <c r="AL1410" s="4"/>
      <c r="AM1410" s="4"/>
      <c r="AN1410" s="4"/>
      <c r="AO1410" s="4"/>
      <c r="AP1410" s="4"/>
      <c r="AQ1410" s="4"/>
      <c r="AR1410" s="4"/>
      <c r="AS1410" s="4"/>
      <c r="AT1410" s="4"/>
      <c r="AU1410" s="4"/>
      <c r="AV1410" s="4"/>
      <c r="AW1410" s="4"/>
      <c r="AX1410" s="4"/>
      <c r="AY1410" s="4"/>
      <c r="AZ1410" s="4"/>
      <c r="BA1410" s="4"/>
      <c r="BB1410" s="4"/>
      <c r="BC1410" s="4"/>
      <c r="BD1410" s="4"/>
      <c r="BE1410" s="4"/>
      <c r="BF1410" s="4"/>
      <c r="BG1410" s="4"/>
      <c r="BH1410" s="4"/>
      <c r="BI1410" s="4"/>
      <c r="BJ1410" s="4"/>
      <c r="BK1410" s="4"/>
      <c r="BL1410" s="4"/>
      <c r="BM1410" s="4"/>
      <c r="BN1410" s="4"/>
      <c r="BO1410" s="4"/>
      <c r="BP1410" s="4"/>
      <c r="BQ1410" s="4"/>
      <c r="BR1410" s="4"/>
      <c r="BS1410" s="4"/>
      <c r="BT1410" s="4"/>
      <c r="BU1410" s="4"/>
    </row>
    <row r="1411" spans="29:73" s="1" customFormat="1" x14ac:dyDescent="0.25">
      <c r="AC1411" s="4"/>
      <c r="AD1411" s="4"/>
      <c r="AE1411" s="4"/>
      <c r="AF1411" s="4"/>
      <c r="AG1411" s="4"/>
      <c r="AH1411" s="4"/>
      <c r="AI1411" s="4"/>
      <c r="AJ1411" s="4"/>
      <c r="AK1411" s="4"/>
      <c r="AL1411" s="4"/>
      <c r="AM1411" s="4"/>
      <c r="AN1411" s="4"/>
      <c r="AO1411" s="4"/>
      <c r="AP1411" s="4"/>
      <c r="AQ1411" s="4"/>
      <c r="AR1411" s="4"/>
      <c r="AS1411" s="4"/>
      <c r="AT1411" s="4"/>
      <c r="AU1411" s="4"/>
      <c r="AV1411" s="4"/>
      <c r="AW1411" s="4"/>
      <c r="AX1411" s="4"/>
      <c r="AY1411" s="4"/>
      <c r="AZ1411" s="4"/>
      <c r="BA1411" s="4"/>
      <c r="BB1411" s="4"/>
      <c r="BC1411" s="4"/>
      <c r="BD1411" s="4"/>
      <c r="BE1411" s="4"/>
      <c r="BF1411" s="4"/>
      <c r="BG1411" s="4"/>
      <c r="BH1411" s="4"/>
      <c r="BI1411" s="4"/>
      <c r="BJ1411" s="4"/>
      <c r="BK1411" s="4"/>
      <c r="BL1411" s="4"/>
      <c r="BM1411" s="4"/>
      <c r="BN1411" s="4"/>
      <c r="BO1411" s="4"/>
      <c r="BP1411" s="4"/>
      <c r="BQ1411" s="4"/>
      <c r="BR1411" s="4"/>
      <c r="BS1411" s="4"/>
      <c r="BT1411" s="4"/>
      <c r="BU1411" s="4"/>
    </row>
    <row r="1412" spans="29:73" s="1" customFormat="1" x14ac:dyDescent="0.25">
      <c r="AC1412" s="4"/>
      <c r="AD1412" s="4"/>
      <c r="AE1412" s="4"/>
      <c r="AF1412" s="4"/>
      <c r="AG1412" s="4"/>
      <c r="AH1412" s="4"/>
      <c r="AI1412" s="4"/>
      <c r="AJ1412" s="4"/>
      <c r="AK1412" s="4"/>
      <c r="AL1412" s="4"/>
      <c r="AM1412" s="4"/>
      <c r="AN1412" s="4"/>
      <c r="AO1412" s="4"/>
      <c r="AP1412" s="4"/>
      <c r="AQ1412" s="4"/>
      <c r="AR1412" s="4"/>
      <c r="AS1412" s="4"/>
      <c r="AT1412" s="4"/>
      <c r="AU1412" s="4"/>
      <c r="AV1412" s="4"/>
      <c r="AW1412" s="4"/>
      <c r="AX1412" s="4"/>
      <c r="AY1412" s="4"/>
      <c r="AZ1412" s="4"/>
      <c r="BA1412" s="4"/>
      <c r="BB1412" s="4"/>
      <c r="BC1412" s="4"/>
      <c r="BD1412" s="4"/>
      <c r="BE1412" s="4"/>
      <c r="BF1412" s="4"/>
      <c r="BG1412" s="4"/>
      <c r="BH1412" s="4"/>
      <c r="BI1412" s="4"/>
      <c r="BJ1412" s="4"/>
      <c r="BK1412" s="4"/>
      <c r="BL1412" s="4"/>
      <c r="BM1412" s="4"/>
      <c r="BN1412" s="4"/>
      <c r="BO1412" s="4"/>
      <c r="BP1412" s="4"/>
      <c r="BQ1412" s="4"/>
      <c r="BR1412" s="4"/>
      <c r="BS1412" s="4"/>
      <c r="BT1412" s="4"/>
      <c r="BU1412" s="4"/>
    </row>
    <row r="1413" spans="29:73" s="1" customFormat="1" x14ac:dyDescent="0.25">
      <c r="AC1413" s="4"/>
      <c r="AD1413" s="4"/>
      <c r="AE1413" s="4"/>
      <c r="AF1413" s="4"/>
      <c r="AG1413" s="4"/>
      <c r="AH1413" s="4"/>
      <c r="AI1413" s="4"/>
      <c r="AJ1413" s="4"/>
      <c r="AK1413" s="4"/>
      <c r="AL1413" s="4"/>
      <c r="AM1413" s="4"/>
      <c r="AN1413" s="4"/>
      <c r="AO1413" s="4"/>
      <c r="AP1413" s="4"/>
      <c r="AQ1413" s="4"/>
      <c r="AR1413" s="4"/>
      <c r="AS1413" s="4"/>
      <c r="AT1413" s="4"/>
      <c r="AU1413" s="4"/>
      <c r="AV1413" s="4"/>
      <c r="AW1413" s="4"/>
      <c r="AX1413" s="4"/>
      <c r="AY1413" s="4"/>
      <c r="AZ1413" s="4"/>
      <c r="BA1413" s="4"/>
      <c r="BB1413" s="4"/>
      <c r="BC1413" s="4"/>
      <c r="BD1413" s="4"/>
      <c r="BE1413" s="4"/>
      <c r="BF1413" s="4"/>
      <c r="BG1413" s="4"/>
      <c r="BH1413" s="4"/>
      <c r="BI1413" s="4"/>
      <c r="BJ1413" s="4"/>
      <c r="BK1413" s="4"/>
      <c r="BL1413" s="4"/>
      <c r="BM1413" s="4"/>
      <c r="BN1413" s="4"/>
      <c r="BO1413" s="4"/>
      <c r="BP1413" s="4"/>
      <c r="BQ1413" s="4"/>
      <c r="BR1413" s="4"/>
      <c r="BS1413" s="4"/>
      <c r="BT1413" s="4"/>
      <c r="BU1413" s="4"/>
    </row>
    <row r="1414" spans="29:73" s="1" customFormat="1" x14ac:dyDescent="0.25">
      <c r="AC1414" s="4"/>
      <c r="AD1414" s="4"/>
      <c r="AE1414" s="4"/>
      <c r="AF1414" s="4"/>
      <c r="AG1414" s="4"/>
      <c r="AH1414" s="4"/>
      <c r="AI1414" s="4"/>
      <c r="AJ1414" s="4"/>
      <c r="AK1414" s="4"/>
      <c r="AL1414" s="4"/>
      <c r="AM1414" s="4"/>
      <c r="AN1414" s="4"/>
      <c r="AO1414" s="4"/>
      <c r="AP1414" s="4"/>
      <c r="AQ1414" s="4"/>
      <c r="AR1414" s="4"/>
      <c r="AS1414" s="4"/>
      <c r="AT1414" s="4"/>
      <c r="AU1414" s="4"/>
      <c r="AV1414" s="4"/>
      <c r="AW1414" s="4"/>
      <c r="AX1414" s="4"/>
      <c r="AY1414" s="4"/>
      <c r="AZ1414" s="4"/>
      <c r="BA1414" s="4"/>
      <c r="BB1414" s="4"/>
      <c r="BC1414" s="4"/>
      <c r="BD1414" s="4"/>
      <c r="BE1414" s="4"/>
      <c r="BF1414" s="4"/>
      <c r="BG1414" s="4"/>
      <c r="BH1414" s="4"/>
      <c r="BI1414" s="4"/>
      <c r="BJ1414" s="4"/>
      <c r="BK1414" s="4"/>
      <c r="BL1414" s="4"/>
      <c r="BM1414" s="4"/>
      <c r="BN1414" s="4"/>
      <c r="BO1414" s="4"/>
      <c r="BP1414" s="4"/>
      <c r="BQ1414" s="4"/>
      <c r="BR1414" s="4"/>
      <c r="BS1414" s="4"/>
      <c r="BT1414" s="4"/>
      <c r="BU1414" s="4"/>
    </row>
    <row r="1415" spans="29:73" s="1" customFormat="1" x14ac:dyDescent="0.25">
      <c r="AC1415" s="4"/>
      <c r="AD1415" s="4"/>
      <c r="AE1415" s="4"/>
      <c r="AF1415" s="4"/>
      <c r="AG1415" s="4"/>
      <c r="AH1415" s="4"/>
      <c r="AI1415" s="4"/>
      <c r="AJ1415" s="4"/>
      <c r="AK1415" s="4"/>
      <c r="AL1415" s="4"/>
      <c r="AM1415" s="4"/>
      <c r="AN1415" s="4"/>
      <c r="AO1415" s="4"/>
      <c r="AP1415" s="4"/>
      <c r="AQ1415" s="4"/>
      <c r="AR1415" s="4"/>
      <c r="AS1415" s="4"/>
      <c r="AT1415" s="4"/>
      <c r="AU1415" s="4"/>
      <c r="AV1415" s="4"/>
      <c r="AW1415" s="4"/>
      <c r="AX1415" s="4"/>
      <c r="AY1415" s="4"/>
      <c r="AZ1415" s="4"/>
      <c r="BA1415" s="4"/>
      <c r="BB1415" s="4"/>
      <c r="BC1415" s="4"/>
      <c r="BD1415" s="4"/>
      <c r="BE1415" s="4"/>
      <c r="BF1415" s="4"/>
      <c r="BG1415" s="4"/>
      <c r="BH1415" s="4"/>
      <c r="BI1415" s="4"/>
      <c r="BJ1415" s="4"/>
      <c r="BK1415" s="4"/>
      <c r="BL1415" s="4"/>
      <c r="BM1415" s="4"/>
      <c r="BN1415" s="4"/>
      <c r="BO1415" s="4"/>
      <c r="BP1415" s="4"/>
      <c r="BQ1415" s="4"/>
      <c r="BR1415" s="4"/>
      <c r="BS1415" s="4"/>
      <c r="BT1415" s="4"/>
      <c r="BU1415" s="4"/>
    </row>
    <row r="1416" spans="29:73" s="1" customFormat="1" x14ac:dyDescent="0.25">
      <c r="AC1416" s="4"/>
      <c r="AD1416" s="4"/>
      <c r="AE1416" s="4"/>
      <c r="AF1416" s="4"/>
      <c r="AG1416" s="4"/>
      <c r="AH1416" s="4"/>
      <c r="AI1416" s="4"/>
      <c r="AJ1416" s="4"/>
      <c r="AK1416" s="4"/>
      <c r="AL1416" s="4"/>
      <c r="AM1416" s="4"/>
      <c r="AN1416" s="4"/>
      <c r="AO1416" s="4"/>
      <c r="AP1416" s="4"/>
      <c r="AQ1416" s="4"/>
      <c r="AR1416" s="4"/>
      <c r="AS1416" s="4"/>
      <c r="AT1416" s="4"/>
      <c r="AU1416" s="4"/>
      <c r="AV1416" s="4"/>
      <c r="AW1416" s="4"/>
      <c r="AX1416" s="4"/>
      <c r="AY1416" s="4"/>
      <c r="AZ1416" s="4"/>
      <c r="BA1416" s="4"/>
      <c r="BB1416" s="4"/>
      <c r="BC1416" s="4"/>
      <c r="BD1416" s="4"/>
      <c r="BE1416" s="4"/>
      <c r="BF1416" s="4"/>
      <c r="BG1416" s="4"/>
      <c r="BH1416" s="4"/>
      <c r="BI1416" s="4"/>
      <c r="BJ1416" s="4"/>
      <c r="BK1416" s="4"/>
      <c r="BL1416" s="4"/>
      <c r="BM1416" s="4"/>
      <c r="BN1416" s="4"/>
      <c r="BO1416" s="4"/>
      <c r="BP1416" s="4"/>
      <c r="BQ1416" s="4"/>
      <c r="BR1416" s="4"/>
      <c r="BS1416" s="4"/>
      <c r="BT1416" s="4"/>
      <c r="BU1416" s="4"/>
    </row>
    <row r="1417" spans="29:73" s="1" customFormat="1" x14ac:dyDescent="0.25">
      <c r="AC1417" s="4"/>
      <c r="AD1417" s="4"/>
      <c r="AE1417" s="4"/>
      <c r="AF1417" s="4"/>
      <c r="AG1417" s="4"/>
      <c r="AH1417" s="4"/>
      <c r="AI1417" s="4"/>
      <c r="AJ1417" s="4"/>
      <c r="AK1417" s="4"/>
      <c r="AL1417" s="4"/>
      <c r="AM1417" s="4"/>
      <c r="AN1417" s="4"/>
      <c r="AO1417" s="4"/>
      <c r="AP1417" s="4"/>
      <c r="AQ1417" s="4"/>
      <c r="AR1417" s="4"/>
      <c r="AS1417" s="4"/>
      <c r="AT1417" s="4"/>
      <c r="AU1417" s="4"/>
      <c r="AV1417" s="4"/>
      <c r="AW1417" s="4"/>
      <c r="AX1417" s="4"/>
      <c r="AY1417" s="4"/>
      <c r="AZ1417" s="4"/>
      <c r="BA1417" s="4"/>
      <c r="BB1417" s="4"/>
      <c r="BC1417" s="4"/>
      <c r="BD1417" s="4"/>
      <c r="BE1417" s="4"/>
      <c r="BF1417" s="4"/>
      <c r="BG1417" s="4"/>
      <c r="BH1417" s="4"/>
      <c r="BI1417" s="4"/>
      <c r="BJ1417" s="4"/>
      <c r="BK1417" s="4"/>
      <c r="BL1417" s="4"/>
      <c r="BM1417" s="4"/>
      <c r="BN1417" s="4"/>
      <c r="BO1417" s="4"/>
      <c r="BP1417" s="4"/>
      <c r="BQ1417" s="4"/>
      <c r="BR1417" s="4"/>
      <c r="BS1417" s="4"/>
      <c r="BT1417" s="4"/>
      <c r="BU1417" s="4"/>
    </row>
    <row r="1418" spans="29:73" s="1" customFormat="1" x14ac:dyDescent="0.25">
      <c r="AC1418" s="4"/>
      <c r="AD1418" s="4"/>
      <c r="AE1418" s="4"/>
      <c r="AF1418" s="4"/>
      <c r="AG1418" s="4"/>
      <c r="AH1418" s="4"/>
      <c r="AI1418" s="4"/>
      <c r="AJ1418" s="4"/>
      <c r="AK1418" s="4"/>
      <c r="AL1418" s="4"/>
      <c r="AM1418" s="4"/>
      <c r="AN1418" s="4"/>
      <c r="AO1418" s="4"/>
      <c r="AP1418" s="4"/>
      <c r="AQ1418" s="4"/>
      <c r="AR1418" s="4"/>
      <c r="AS1418" s="4"/>
      <c r="AT1418" s="4"/>
      <c r="AU1418" s="4"/>
      <c r="AV1418" s="4"/>
      <c r="AW1418" s="4"/>
      <c r="AX1418" s="4"/>
      <c r="AY1418" s="4"/>
      <c r="AZ1418" s="4"/>
      <c r="BA1418" s="4"/>
      <c r="BB1418" s="4"/>
      <c r="BC1418" s="4"/>
      <c r="BD1418" s="4"/>
      <c r="BE1418" s="4"/>
      <c r="BF1418" s="4"/>
      <c r="BG1418" s="4"/>
      <c r="BH1418" s="4"/>
      <c r="BI1418" s="4"/>
      <c r="BJ1418" s="4"/>
      <c r="BK1418" s="4"/>
      <c r="BL1418" s="4"/>
      <c r="BM1418" s="4"/>
      <c r="BN1418" s="4"/>
      <c r="BO1418" s="4"/>
      <c r="BP1418" s="4"/>
      <c r="BQ1418" s="4"/>
      <c r="BR1418" s="4"/>
      <c r="BS1418" s="4"/>
      <c r="BT1418" s="4"/>
      <c r="BU1418" s="4"/>
    </row>
    <row r="1419" spans="29:73" s="1" customFormat="1" x14ac:dyDescent="0.25">
      <c r="AC1419" s="4"/>
      <c r="AD1419" s="4"/>
      <c r="AE1419" s="4"/>
      <c r="AF1419" s="4"/>
      <c r="AG1419" s="4"/>
      <c r="AH1419" s="4"/>
      <c r="AI1419" s="4"/>
      <c r="AJ1419" s="4"/>
      <c r="AK1419" s="4"/>
      <c r="AL1419" s="4"/>
      <c r="AM1419" s="4"/>
      <c r="AN1419" s="4"/>
      <c r="AO1419" s="4"/>
      <c r="AP1419" s="4"/>
      <c r="AQ1419" s="4"/>
      <c r="AR1419" s="4"/>
      <c r="AS1419" s="4"/>
      <c r="AT1419" s="4"/>
      <c r="AU1419" s="4"/>
      <c r="AV1419" s="4"/>
      <c r="AW1419" s="4"/>
      <c r="AX1419" s="4"/>
      <c r="AY1419" s="4"/>
      <c r="AZ1419" s="4"/>
      <c r="BA1419" s="4"/>
      <c r="BB1419" s="4"/>
      <c r="BC1419" s="4"/>
      <c r="BD1419" s="4"/>
      <c r="BE1419" s="4"/>
      <c r="BF1419" s="4"/>
      <c r="BG1419" s="4"/>
      <c r="BH1419" s="4"/>
      <c r="BI1419" s="4"/>
      <c r="BJ1419" s="4"/>
      <c r="BK1419" s="4"/>
      <c r="BL1419" s="4"/>
      <c r="BM1419" s="4"/>
      <c r="BN1419" s="4"/>
      <c r="BO1419" s="4"/>
      <c r="BP1419" s="4"/>
      <c r="BQ1419" s="4"/>
      <c r="BR1419" s="4"/>
      <c r="BS1419" s="4"/>
      <c r="BT1419" s="4"/>
      <c r="BU1419" s="4"/>
    </row>
    <row r="1420" spans="29:73" s="1" customFormat="1" x14ac:dyDescent="0.25">
      <c r="AC1420" s="4"/>
      <c r="AD1420" s="4"/>
      <c r="AE1420" s="4"/>
      <c r="AF1420" s="4"/>
      <c r="AG1420" s="4"/>
      <c r="AH1420" s="4"/>
      <c r="AI1420" s="4"/>
      <c r="AJ1420" s="4"/>
      <c r="AK1420" s="4"/>
      <c r="AL1420" s="4"/>
      <c r="AM1420" s="4"/>
      <c r="AN1420" s="4"/>
      <c r="AO1420" s="4"/>
      <c r="AP1420" s="4"/>
      <c r="AQ1420" s="4"/>
      <c r="AR1420" s="4"/>
      <c r="AS1420" s="4"/>
      <c r="AT1420" s="4"/>
      <c r="AU1420" s="4"/>
      <c r="AV1420" s="4"/>
      <c r="AW1420" s="4"/>
      <c r="AX1420" s="4"/>
      <c r="AY1420" s="4"/>
      <c r="AZ1420" s="4"/>
      <c r="BA1420" s="4"/>
      <c r="BB1420" s="4"/>
      <c r="BC1420" s="4"/>
      <c r="BD1420" s="4"/>
      <c r="BE1420" s="4"/>
      <c r="BF1420" s="4"/>
      <c r="BG1420" s="4"/>
      <c r="BH1420" s="4"/>
      <c r="BI1420" s="4"/>
      <c r="BJ1420" s="4"/>
      <c r="BK1420" s="4"/>
      <c r="BL1420" s="4"/>
      <c r="BM1420" s="4"/>
      <c r="BN1420" s="4"/>
      <c r="BO1420" s="4"/>
      <c r="BP1420" s="4"/>
      <c r="BQ1420" s="4"/>
      <c r="BR1420" s="4"/>
      <c r="BS1420" s="4"/>
      <c r="BT1420" s="4"/>
      <c r="BU1420" s="4"/>
    </row>
    <row r="1421" spans="29:73" s="1" customFormat="1" x14ac:dyDescent="0.25">
      <c r="AC1421" s="4"/>
      <c r="AD1421" s="4"/>
      <c r="AE1421" s="4"/>
      <c r="AF1421" s="4"/>
      <c r="AG1421" s="4"/>
      <c r="AH1421" s="4"/>
      <c r="AI1421" s="4"/>
      <c r="AJ1421" s="4"/>
      <c r="AK1421" s="4"/>
      <c r="AL1421" s="4"/>
      <c r="AM1421" s="4"/>
      <c r="AN1421" s="4"/>
      <c r="AO1421" s="4"/>
      <c r="AP1421" s="4"/>
      <c r="AQ1421" s="4"/>
      <c r="AR1421" s="4"/>
      <c r="AS1421" s="4"/>
      <c r="AT1421" s="4"/>
      <c r="AU1421" s="4"/>
      <c r="AV1421" s="4"/>
      <c r="AW1421" s="4"/>
      <c r="AX1421" s="4"/>
      <c r="AY1421" s="4"/>
      <c r="AZ1421" s="4"/>
      <c r="BA1421" s="4"/>
      <c r="BB1421" s="4"/>
      <c r="BC1421" s="4"/>
      <c r="BD1421" s="4"/>
      <c r="BE1421" s="4"/>
      <c r="BF1421" s="4"/>
      <c r="BG1421" s="4"/>
      <c r="BH1421" s="4"/>
      <c r="BI1421" s="4"/>
      <c r="BJ1421" s="4"/>
      <c r="BK1421" s="4"/>
      <c r="BL1421" s="4"/>
      <c r="BM1421" s="4"/>
      <c r="BN1421" s="4"/>
      <c r="BO1421" s="4"/>
      <c r="BP1421" s="4"/>
      <c r="BQ1421" s="4"/>
      <c r="BR1421" s="4"/>
      <c r="BS1421" s="4"/>
      <c r="BT1421" s="4"/>
      <c r="BU1421" s="4"/>
    </row>
    <row r="1422" spans="29:73" s="1" customFormat="1" x14ac:dyDescent="0.25">
      <c r="AC1422" s="4"/>
      <c r="AD1422" s="4"/>
      <c r="AE1422" s="4"/>
      <c r="AF1422" s="4"/>
      <c r="AG1422" s="4"/>
      <c r="AH1422" s="4"/>
      <c r="AI1422" s="4"/>
      <c r="AJ1422" s="4"/>
      <c r="AK1422" s="4"/>
      <c r="AL1422" s="4"/>
      <c r="AM1422" s="4"/>
      <c r="AN1422" s="4"/>
      <c r="AO1422" s="4"/>
      <c r="AP1422" s="4"/>
      <c r="AQ1422" s="4"/>
      <c r="AR1422" s="4"/>
      <c r="AS1422" s="4"/>
      <c r="AT1422" s="4"/>
      <c r="AU1422" s="4"/>
      <c r="AV1422" s="4"/>
      <c r="AW1422" s="4"/>
      <c r="AX1422" s="4"/>
      <c r="AY1422" s="4"/>
      <c r="AZ1422" s="4"/>
      <c r="BA1422" s="4"/>
      <c r="BB1422" s="4"/>
      <c r="BC1422" s="4"/>
      <c r="BD1422" s="4"/>
      <c r="BE1422" s="4"/>
      <c r="BF1422" s="4"/>
      <c r="BG1422" s="4"/>
      <c r="BH1422" s="4"/>
      <c r="BI1422" s="4"/>
      <c r="BJ1422" s="4"/>
      <c r="BK1422" s="4"/>
      <c r="BL1422" s="4"/>
      <c r="BM1422" s="4"/>
      <c r="BN1422" s="4"/>
      <c r="BO1422" s="4"/>
      <c r="BP1422" s="4"/>
      <c r="BQ1422" s="4"/>
      <c r="BR1422" s="4"/>
      <c r="BS1422" s="4"/>
      <c r="BT1422" s="4"/>
      <c r="BU1422" s="4"/>
    </row>
    <row r="1423" spans="29:73" s="1" customFormat="1" x14ac:dyDescent="0.25">
      <c r="AC1423" s="4"/>
      <c r="AD1423" s="4"/>
      <c r="AE1423" s="4"/>
      <c r="AF1423" s="4"/>
      <c r="AG1423" s="4"/>
      <c r="AH1423" s="4"/>
      <c r="AI1423" s="4"/>
      <c r="AJ1423" s="4"/>
      <c r="AK1423" s="4"/>
      <c r="AL1423" s="4"/>
      <c r="AM1423" s="4"/>
      <c r="AN1423" s="4"/>
      <c r="AO1423" s="4"/>
      <c r="AP1423" s="4"/>
      <c r="AQ1423" s="4"/>
      <c r="AR1423" s="4"/>
      <c r="AS1423" s="4"/>
      <c r="AT1423" s="4"/>
      <c r="AU1423" s="4"/>
      <c r="AV1423" s="4"/>
      <c r="AW1423" s="4"/>
      <c r="AX1423" s="4"/>
      <c r="AY1423" s="4"/>
      <c r="AZ1423" s="4"/>
      <c r="BA1423" s="4"/>
      <c r="BB1423" s="4"/>
      <c r="BC1423" s="4"/>
      <c r="BD1423" s="4"/>
      <c r="BE1423" s="4"/>
      <c r="BF1423" s="4"/>
      <c r="BG1423" s="4"/>
      <c r="BH1423" s="4"/>
      <c r="BI1423" s="4"/>
      <c r="BJ1423" s="4"/>
      <c r="BK1423" s="4"/>
      <c r="BL1423" s="4"/>
      <c r="BM1423" s="4"/>
      <c r="BN1423" s="4"/>
      <c r="BO1423" s="4"/>
      <c r="BP1423" s="4"/>
      <c r="BQ1423" s="4"/>
      <c r="BR1423" s="4"/>
      <c r="BS1423" s="4"/>
      <c r="BT1423" s="4"/>
      <c r="BU1423" s="4"/>
    </row>
    <row r="1424" spans="29:73" s="1" customFormat="1" x14ac:dyDescent="0.25">
      <c r="AC1424" s="4"/>
      <c r="AD1424" s="4"/>
      <c r="AE1424" s="4"/>
      <c r="AF1424" s="4"/>
      <c r="AG1424" s="4"/>
      <c r="AH1424" s="4"/>
      <c r="AI1424" s="4"/>
      <c r="AJ1424" s="4"/>
      <c r="AK1424" s="4"/>
      <c r="AL1424" s="4"/>
      <c r="AM1424" s="4"/>
      <c r="AN1424" s="4"/>
      <c r="AO1424" s="4"/>
      <c r="AP1424" s="4"/>
      <c r="AQ1424" s="4"/>
      <c r="AR1424" s="4"/>
      <c r="AS1424" s="4"/>
      <c r="AT1424" s="4"/>
      <c r="AU1424" s="4"/>
      <c r="AV1424" s="4"/>
      <c r="AW1424" s="4"/>
      <c r="AX1424" s="4"/>
      <c r="AY1424" s="4"/>
      <c r="AZ1424" s="4"/>
      <c r="BA1424" s="4"/>
      <c r="BB1424" s="4"/>
      <c r="BC1424" s="4"/>
      <c r="BD1424" s="4"/>
      <c r="BE1424" s="4"/>
      <c r="BF1424" s="4"/>
      <c r="BG1424" s="4"/>
      <c r="BH1424" s="4"/>
      <c r="BI1424" s="4"/>
      <c r="BJ1424" s="4"/>
      <c r="BK1424" s="4"/>
      <c r="BL1424" s="4"/>
      <c r="BM1424" s="4"/>
      <c r="BN1424" s="4"/>
      <c r="BO1424" s="4"/>
      <c r="BP1424" s="4"/>
      <c r="BQ1424" s="4"/>
      <c r="BR1424" s="4"/>
      <c r="BS1424" s="4"/>
      <c r="BT1424" s="4"/>
      <c r="BU1424" s="4"/>
    </row>
    <row r="1425" spans="29:73" s="1" customFormat="1" x14ac:dyDescent="0.25">
      <c r="AC1425" s="4"/>
      <c r="AD1425" s="4"/>
      <c r="AE1425" s="4"/>
      <c r="AF1425" s="4"/>
      <c r="AG1425" s="4"/>
      <c r="AH1425" s="4"/>
      <c r="AI1425" s="4"/>
      <c r="AJ1425" s="4"/>
      <c r="AK1425" s="4"/>
      <c r="AL1425" s="4"/>
      <c r="AM1425" s="4"/>
      <c r="AN1425" s="4"/>
      <c r="AO1425" s="4"/>
      <c r="AP1425" s="4"/>
      <c r="AQ1425" s="4"/>
      <c r="AR1425" s="4"/>
      <c r="AS1425" s="4"/>
      <c r="AT1425" s="4"/>
      <c r="AU1425" s="4"/>
      <c r="AV1425" s="4"/>
      <c r="AW1425" s="4"/>
      <c r="AX1425" s="4"/>
      <c r="AY1425" s="4"/>
      <c r="AZ1425" s="4"/>
      <c r="BA1425" s="4"/>
      <c r="BB1425" s="4"/>
      <c r="BC1425" s="4"/>
      <c r="BD1425" s="4"/>
      <c r="BE1425" s="4"/>
      <c r="BF1425" s="4"/>
      <c r="BG1425" s="4"/>
      <c r="BH1425" s="4"/>
      <c r="BI1425" s="4"/>
      <c r="BJ1425" s="4"/>
      <c r="BK1425" s="4"/>
      <c r="BL1425" s="4"/>
      <c r="BM1425" s="4"/>
      <c r="BN1425" s="4"/>
      <c r="BO1425" s="4"/>
      <c r="BP1425" s="4"/>
      <c r="BQ1425" s="4"/>
      <c r="BR1425" s="4"/>
      <c r="BS1425" s="4"/>
      <c r="BT1425" s="4"/>
      <c r="BU1425" s="4"/>
    </row>
    <row r="1426" spans="29:73" s="1" customFormat="1" x14ac:dyDescent="0.25">
      <c r="AC1426" s="4"/>
      <c r="AD1426" s="4"/>
      <c r="AE1426" s="4"/>
      <c r="AF1426" s="4"/>
      <c r="AG1426" s="4"/>
      <c r="AH1426" s="4"/>
      <c r="AI1426" s="4"/>
      <c r="AJ1426" s="4"/>
      <c r="AK1426" s="4"/>
      <c r="AL1426" s="4"/>
      <c r="AM1426" s="4"/>
      <c r="AN1426" s="4"/>
      <c r="AO1426" s="4"/>
      <c r="AP1426" s="4"/>
      <c r="AQ1426" s="4"/>
      <c r="AR1426" s="4"/>
      <c r="AS1426" s="4"/>
      <c r="AT1426" s="4"/>
      <c r="AU1426" s="4"/>
      <c r="AV1426" s="4"/>
      <c r="AW1426" s="4"/>
      <c r="AX1426" s="4"/>
      <c r="AY1426" s="4"/>
      <c r="AZ1426" s="4"/>
      <c r="BA1426" s="4"/>
      <c r="BB1426" s="4"/>
      <c r="BC1426" s="4"/>
      <c r="BD1426" s="4"/>
      <c r="BE1426" s="4"/>
      <c r="BF1426" s="4"/>
      <c r="BG1426" s="4"/>
      <c r="BH1426" s="4"/>
      <c r="BI1426" s="4"/>
      <c r="BJ1426" s="4"/>
      <c r="BK1426" s="4"/>
      <c r="BL1426" s="4"/>
      <c r="BM1426" s="4"/>
      <c r="BN1426" s="4"/>
      <c r="BO1426" s="4"/>
      <c r="BP1426" s="4"/>
      <c r="BQ1426" s="4"/>
      <c r="BR1426" s="4"/>
      <c r="BS1426" s="4"/>
      <c r="BT1426" s="4"/>
      <c r="BU1426" s="4"/>
    </row>
    <row r="1427" spans="29:73" s="1" customFormat="1" x14ac:dyDescent="0.25">
      <c r="AC1427" s="4"/>
      <c r="AD1427" s="4"/>
      <c r="AE1427" s="4"/>
      <c r="AF1427" s="4"/>
      <c r="AG1427" s="4"/>
      <c r="AH1427" s="4"/>
      <c r="AI1427" s="4"/>
      <c r="AJ1427" s="4"/>
      <c r="AK1427" s="4"/>
      <c r="AL1427" s="4"/>
      <c r="AM1427" s="4"/>
      <c r="AN1427" s="4"/>
      <c r="AO1427" s="4"/>
      <c r="AP1427" s="4"/>
      <c r="AQ1427" s="4"/>
      <c r="AR1427" s="4"/>
      <c r="AS1427" s="4"/>
      <c r="AT1427" s="4"/>
      <c r="AU1427" s="4"/>
      <c r="AV1427" s="4"/>
      <c r="AW1427" s="4"/>
      <c r="AX1427" s="4"/>
      <c r="AY1427" s="4"/>
      <c r="AZ1427" s="4"/>
      <c r="BA1427" s="4"/>
      <c r="BB1427" s="4"/>
      <c r="BC1427" s="4"/>
      <c r="BD1427" s="4"/>
      <c r="BE1427" s="4"/>
      <c r="BF1427" s="4"/>
      <c r="BG1427" s="4"/>
      <c r="BH1427" s="4"/>
      <c r="BI1427" s="4"/>
      <c r="BJ1427" s="4"/>
      <c r="BK1427" s="4"/>
      <c r="BL1427" s="4"/>
      <c r="BM1427" s="4"/>
      <c r="BN1427" s="4"/>
      <c r="BO1427" s="4"/>
      <c r="BP1427" s="4"/>
      <c r="BQ1427" s="4"/>
      <c r="BR1427" s="4"/>
      <c r="BS1427" s="4"/>
      <c r="BT1427" s="4"/>
      <c r="BU1427" s="4"/>
    </row>
    <row r="1428" spans="29:73" s="1" customFormat="1" x14ac:dyDescent="0.25">
      <c r="AC1428" s="4"/>
      <c r="AD1428" s="4"/>
      <c r="AE1428" s="4"/>
      <c r="AF1428" s="4"/>
      <c r="AG1428" s="4"/>
      <c r="AH1428" s="4"/>
      <c r="AI1428" s="4"/>
      <c r="AJ1428" s="4"/>
      <c r="AK1428" s="4"/>
      <c r="AL1428" s="4"/>
      <c r="AM1428" s="4"/>
      <c r="AN1428" s="4"/>
      <c r="AO1428" s="4"/>
      <c r="AP1428" s="4"/>
      <c r="AQ1428" s="4"/>
      <c r="AR1428" s="4"/>
      <c r="AS1428" s="4"/>
      <c r="AT1428" s="4"/>
      <c r="AU1428" s="4"/>
      <c r="AV1428" s="4"/>
      <c r="AW1428" s="4"/>
      <c r="AX1428" s="4"/>
      <c r="AY1428" s="4"/>
      <c r="AZ1428" s="4"/>
      <c r="BA1428" s="4"/>
      <c r="BB1428" s="4"/>
      <c r="BC1428" s="4"/>
      <c r="BD1428" s="4"/>
      <c r="BE1428" s="4"/>
      <c r="BF1428" s="4"/>
      <c r="BG1428" s="4"/>
      <c r="BH1428" s="4"/>
      <c r="BI1428" s="4"/>
      <c r="BJ1428" s="4"/>
      <c r="BK1428" s="4"/>
      <c r="BL1428" s="4"/>
      <c r="BM1428" s="4"/>
      <c r="BN1428" s="4"/>
      <c r="BO1428" s="4"/>
      <c r="BP1428" s="4"/>
      <c r="BQ1428" s="4"/>
      <c r="BR1428" s="4"/>
      <c r="BS1428" s="4"/>
      <c r="BT1428" s="4"/>
      <c r="BU1428" s="4"/>
    </row>
    <row r="1429" spans="29:73" s="1" customFormat="1" x14ac:dyDescent="0.25">
      <c r="AC1429" s="4"/>
      <c r="AD1429" s="4"/>
      <c r="AE1429" s="4"/>
      <c r="AF1429" s="4"/>
      <c r="AG1429" s="4"/>
      <c r="AH1429" s="4"/>
      <c r="AI1429" s="4"/>
      <c r="AJ1429" s="4"/>
      <c r="AK1429" s="4"/>
      <c r="AL1429" s="4"/>
      <c r="AM1429" s="4"/>
      <c r="AN1429" s="4"/>
      <c r="AO1429" s="4"/>
      <c r="AP1429" s="4"/>
      <c r="AQ1429" s="4"/>
      <c r="AR1429" s="4"/>
      <c r="AS1429" s="4"/>
      <c r="AT1429" s="4"/>
      <c r="AU1429" s="4"/>
      <c r="AV1429" s="4"/>
      <c r="AW1429" s="4"/>
      <c r="AX1429" s="4"/>
      <c r="AY1429" s="4"/>
      <c r="AZ1429" s="4"/>
      <c r="BA1429" s="4"/>
      <c r="BB1429" s="4"/>
      <c r="BC1429" s="4"/>
      <c r="BD1429" s="4"/>
      <c r="BE1429" s="4"/>
      <c r="BF1429" s="4"/>
      <c r="BG1429" s="4"/>
      <c r="BH1429" s="4"/>
      <c r="BI1429" s="4"/>
      <c r="BJ1429" s="4"/>
      <c r="BK1429" s="4"/>
      <c r="BL1429" s="4"/>
      <c r="BM1429" s="4"/>
      <c r="BN1429" s="4"/>
      <c r="BO1429" s="4"/>
      <c r="BP1429" s="4"/>
      <c r="BQ1429" s="4"/>
      <c r="BR1429" s="4"/>
      <c r="BS1429" s="4"/>
      <c r="BT1429" s="4"/>
      <c r="BU1429" s="4"/>
    </row>
    <row r="1430" spans="29:73" s="1" customFormat="1" x14ac:dyDescent="0.25">
      <c r="AC1430" s="4"/>
      <c r="AD1430" s="4"/>
      <c r="AE1430" s="4"/>
      <c r="AF1430" s="4"/>
      <c r="AG1430" s="4"/>
      <c r="AH1430" s="4"/>
      <c r="AI1430" s="4"/>
      <c r="AJ1430" s="4"/>
      <c r="AK1430" s="4"/>
      <c r="AL1430" s="4"/>
      <c r="AM1430" s="4"/>
      <c r="AN1430" s="4"/>
      <c r="AO1430" s="4"/>
      <c r="AP1430" s="4"/>
      <c r="AQ1430" s="4"/>
      <c r="AR1430" s="4"/>
      <c r="AS1430" s="4"/>
      <c r="AT1430" s="4"/>
      <c r="AU1430" s="4"/>
      <c r="AV1430" s="4"/>
      <c r="AW1430" s="4"/>
      <c r="AX1430" s="4"/>
      <c r="AY1430" s="4"/>
      <c r="AZ1430" s="4"/>
      <c r="BA1430" s="4"/>
      <c r="BB1430" s="4"/>
      <c r="BC1430" s="4"/>
      <c r="BD1430" s="4"/>
      <c r="BE1430" s="4"/>
      <c r="BF1430" s="4"/>
      <c r="BG1430" s="4"/>
      <c r="BH1430" s="4"/>
      <c r="BI1430" s="4"/>
      <c r="BJ1430" s="4"/>
      <c r="BK1430" s="4"/>
      <c r="BL1430" s="4"/>
      <c r="BM1430" s="4"/>
      <c r="BN1430" s="4"/>
      <c r="BO1430" s="4"/>
      <c r="BP1430" s="4"/>
      <c r="BQ1430" s="4"/>
      <c r="BR1430" s="4"/>
      <c r="BS1430" s="4"/>
      <c r="BT1430" s="4"/>
      <c r="BU1430" s="4"/>
    </row>
    <row r="1431" spans="29:73" s="1" customFormat="1" x14ac:dyDescent="0.25">
      <c r="AC1431" s="4"/>
      <c r="AD1431" s="4"/>
      <c r="AE1431" s="4"/>
      <c r="AF1431" s="4"/>
      <c r="AG1431" s="4"/>
      <c r="AH1431" s="4"/>
      <c r="AI1431" s="4"/>
      <c r="AJ1431" s="4"/>
      <c r="AK1431" s="4"/>
      <c r="AL1431" s="4"/>
      <c r="AM1431" s="4"/>
      <c r="AN1431" s="4"/>
      <c r="AO1431" s="4"/>
      <c r="AP1431" s="4"/>
      <c r="AQ1431" s="4"/>
      <c r="AR1431" s="4"/>
      <c r="AS1431" s="4"/>
      <c r="AT1431" s="4"/>
      <c r="AU1431" s="4"/>
      <c r="AV1431" s="4"/>
      <c r="AW1431" s="4"/>
      <c r="AX1431" s="4"/>
      <c r="AY1431" s="4"/>
      <c r="AZ1431" s="4"/>
      <c r="BA1431" s="4"/>
      <c r="BB1431" s="4"/>
      <c r="BC1431" s="4"/>
      <c r="BD1431" s="4"/>
      <c r="BE1431" s="4"/>
      <c r="BF1431" s="4"/>
      <c r="BG1431" s="4"/>
      <c r="BH1431" s="4"/>
      <c r="BI1431" s="4"/>
      <c r="BJ1431" s="4"/>
      <c r="BK1431" s="4"/>
      <c r="BL1431" s="4"/>
      <c r="BM1431" s="4"/>
      <c r="BN1431" s="4"/>
      <c r="BO1431" s="4"/>
      <c r="BP1431" s="4"/>
      <c r="BQ1431" s="4"/>
      <c r="BR1431" s="4"/>
      <c r="BS1431" s="4"/>
      <c r="BT1431" s="4"/>
      <c r="BU1431" s="4"/>
    </row>
    <row r="1432" spans="29:73" s="1" customFormat="1" x14ac:dyDescent="0.25">
      <c r="AC1432" s="4"/>
      <c r="AD1432" s="4"/>
      <c r="AE1432" s="4"/>
      <c r="AF1432" s="4"/>
      <c r="AG1432" s="4"/>
      <c r="AH1432" s="4"/>
      <c r="AI1432" s="4"/>
      <c r="AJ1432" s="4"/>
      <c r="AK1432" s="4"/>
      <c r="AL1432" s="4"/>
      <c r="AM1432" s="4"/>
      <c r="AN1432" s="4"/>
      <c r="AO1432" s="4"/>
      <c r="AP1432" s="4"/>
      <c r="AQ1432" s="4"/>
      <c r="AR1432" s="4"/>
      <c r="AS1432" s="4"/>
      <c r="AT1432" s="4"/>
      <c r="AU1432" s="4"/>
      <c r="AV1432" s="4"/>
      <c r="AW1432" s="4"/>
      <c r="AX1432" s="4"/>
      <c r="AY1432" s="4"/>
      <c r="AZ1432" s="4"/>
      <c r="BA1432" s="4"/>
      <c r="BB1432" s="4"/>
      <c r="BC1432" s="4"/>
      <c r="BD1432" s="4"/>
      <c r="BE1432" s="4"/>
      <c r="BF1432" s="4"/>
      <c r="BG1432" s="4"/>
      <c r="BH1432" s="4"/>
      <c r="BI1432" s="4"/>
      <c r="BJ1432" s="4"/>
      <c r="BK1432" s="4"/>
      <c r="BL1432" s="4"/>
      <c r="BM1432" s="4"/>
      <c r="BN1432" s="4"/>
      <c r="BO1432" s="4"/>
      <c r="BP1432" s="4"/>
      <c r="BQ1432" s="4"/>
      <c r="BR1432" s="4"/>
      <c r="BS1432" s="4"/>
      <c r="BT1432" s="4"/>
      <c r="BU1432" s="4"/>
    </row>
    <row r="1433" spans="29:73" s="1" customFormat="1" x14ac:dyDescent="0.25">
      <c r="AC1433" s="4"/>
      <c r="AD1433" s="4"/>
      <c r="AE1433" s="4"/>
      <c r="AF1433" s="4"/>
      <c r="AG1433" s="4"/>
      <c r="AH1433" s="4"/>
      <c r="AI1433" s="4"/>
      <c r="AJ1433" s="4"/>
      <c r="AK1433" s="4"/>
      <c r="AL1433" s="4"/>
      <c r="AM1433" s="4"/>
      <c r="AN1433" s="4"/>
      <c r="AO1433" s="4"/>
      <c r="AP1433" s="4"/>
      <c r="AQ1433" s="4"/>
      <c r="AR1433" s="4"/>
      <c r="AS1433" s="4"/>
      <c r="AT1433" s="4"/>
      <c r="AU1433" s="4"/>
      <c r="AV1433" s="4"/>
      <c r="AW1433" s="4"/>
      <c r="AX1433" s="4"/>
      <c r="AY1433" s="4"/>
      <c r="AZ1433" s="4"/>
      <c r="BA1433" s="4"/>
      <c r="BB1433" s="4"/>
      <c r="BC1433" s="4"/>
      <c r="BD1433" s="4"/>
      <c r="BE1433" s="4"/>
      <c r="BF1433" s="4"/>
      <c r="BG1433" s="4"/>
      <c r="BH1433" s="4"/>
      <c r="BI1433" s="4"/>
      <c r="BJ1433" s="4"/>
      <c r="BK1433" s="4"/>
      <c r="BL1433" s="4"/>
      <c r="BM1433" s="4"/>
      <c r="BN1433" s="4"/>
      <c r="BO1433" s="4"/>
      <c r="BP1433" s="4"/>
      <c r="BQ1433" s="4"/>
      <c r="BR1433" s="4"/>
      <c r="BS1433" s="4"/>
      <c r="BT1433" s="4"/>
      <c r="BU1433" s="4"/>
    </row>
    <row r="1434" spans="29:73" s="1" customFormat="1" x14ac:dyDescent="0.25">
      <c r="AC1434" s="4"/>
      <c r="AD1434" s="4"/>
      <c r="AE1434" s="4"/>
      <c r="AF1434" s="4"/>
      <c r="AG1434" s="4"/>
      <c r="AH1434" s="4"/>
      <c r="AI1434" s="4"/>
      <c r="AJ1434" s="4"/>
      <c r="AK1434" s="4"/>
      <c r="AL1434" s="4"/>
      <c r="AM1434" s="4"/>
      <c r="AN1434" s="4"/>
      <c r="AO1434" s="4"/>
      <c r="AP1434" s="4"/>
      <c r="AQ1434" s="4"/>
      <c r="AR1434" s="4"/>
      <c r="AS1434" s="4"/>
      <c r="AT1434" s="4"/>
      <c r="AU1434" s="4"/>
      <c r="AV1434" s="4"/>
      <c r="AW1434" s="4"/>
      <c r="AX1434" s="4"/>
      <c r="AY1434" s="4"/>
      <c r="AZ1434" s="4"/>
      <c r="BA1434" s="4"/>
      <c r="BB1434" s="4"/>
      <c r="BC1434" s="4"/>
      <c r="BD1434" s="4"/>
      <c r="BE1434" s="4"/>
      <c r="BF1434" s="4"/>
      <c r="BG1434" s="4"/>
      <c r="BH1434" s="4"/>
      <c r="BI1434" s="4"/>
      <c r="BJ1434" s="4"/>
      <c r="BK1434" s="4"/>
      <c r="BL1434" s="4"/>
      <c r="BM1434" s="4"/>
      <c r="BN1434" s="4"/>
      <c r="BO1434" s="4"/>
      <c r="BP1434" s="4"/>
      <c r="BQ1434" s="4"/>
      <c r="BR1434" s="4"/>
      <c r="BS1434" s="4"/>
      <c r="BT1434" s="4"/>
      <c r="BU1434" s="4"/>
    </row>
    <row r="1435" spans="29:73" s="1" customFormat="1" x14ac:dyDescent="0.25">
      <c r="AC1435" s="4"/>
      <c r="AD1435" s="4"/>
      <c r="AE1435" s="4"/>
      <c r="AF1435" s="4"/>
      <c r="AG1435" s="4"/>
      <c r="AH1435" s="4"/>
      <c r="AI1435" s="4"/>
      <c r="AJ1435" s="4"/>
      <c r="AK1435" s="4"/>
      <c r="AL1435" s="4"/>
      <c r="AM1435" s="4"/>
      <c r="AN1435" s="4"/>
      <c r="AO1435" s="4"/>
      <c r="AP1435" s="4"/>
      <c r="AQ1435" s="4"/>
      <c r="AR1435" s="4"/>
      <c r="AS1435" s="4"/>
      <c r="AT1435" s="4"/>
      <c r="AU1435" s="4"/>
      <c r="AV1435" s="4"/>
      <c r="AW1435" s="4"/>
      <c r="AX1435" s="4"/>
      <c r="AY1435" s="4"/>
      <c r="AZ1435" s="4"/>
      <c r="BA1435" s="4"/>
      <c r="BB1435" s="4"/>
      <c r="BC1435" s="4"/>
      <c r="BD1435" s="4"/>
      <c r="BE1435" s="4"/>
      <c r="BF1435" s="4"/>
      <c r="BG1435" s="4"/>
      <c r="BH1435" s="4"/>
      <c r="BI1435" s="4"/>
      <c r="BJ1435" s="4"/>
      <c r="BK1435" s="4"/>
      <c r="BL1435" s="4"/>
      <c r="BM1435" s="4"/>
      <c r="BN1435" s="4"/>
      <c r="BO1435" s="4"/>
      <c r="BP1435" s="4"/>
      <c r="BQ1435" s="4"/>
      <c r="BR1435" s="4"/>
      <c r="BS1435" s="4"/>
      <c r="BT1435" s="4"/>
      <c r="BU1435" s="4"/>
    </row>
    <row r="1436" spans="29:73" s="1" customFormat="1" x14ac:dyDescent="0.25">
      <c r="AC1436" s="4"/>
      <c r="AD1436" s="4"/>
      <c r="AE1436" s="4"/>
      <c r="AF1436" s="4"/>
      <c r="AG1436" s="4"/>
      <c r="AH1436" s="4"/>
      <c r="AI1436" s="4"/>
      <c r="AJ1436" s="4"/>
      <c r="AK1436" s="4"/>
      <c r="AL1436" s="4"/>
      <c r="AM1436" s="4"/>
      <c r="AN1436" s="4"/>
      <c r="AO1436" s="4"/>
      <c r="AP1436" s="4"/>
      <c r="AQ1436" s="4"/>
      <c r="AR1436" s="4"/>
      <c r="AS1436" s="4"/>
      <c r="AT1436" s="4"/>
      <c r="AU1436" s="4"/>
      <c r="AV1436" s="4"/>
      <c r="AW1436" s="4"/>
      <c r="AX1436" s="4"/>
      <c r="AY1436" s="4"/>
      <c r="AZ1436" s="4"/>
      <c r="BA1436" s="4"/>
      <c r="BB1436" s="4"/>
      <c r="BC1436" s="4"/>
      <c r="BD1436" s="4"/>
      <c r="BE1436" s="4"/>
      <c r="BF1436" s="4"/>
      <c r="BG1436" s="4"/>
      <c r="BH1436" s="4"/>
      <c r="BI1436" s="4"/>
      <c r="BJ1436" s="4"/>
      <c r="BK1436" s="4"/>
      <c r="BL1436" s="4"/>
      <c r="BM1436" s="4"/>
      <c r="BN1436" s="4"/>
      <c r="BO1436" s="4"/>
      <c r="BP1436" s="4"/>
      <c r="BQ1436" s="4"/>
      <c r="BR1436" s="4"/>
      <c r="BS1436" s="4"/>
      <c r="BT1436" s="4"/>
      <c r="BU1436" s="4"/>
    </row>
    <row r="1437" spans="29:73" s="1" customFormat="1" x14ac:dyDescent="0.25">
      <c r="AC1437" s="4"/>
      <c r="AD1437" s="4"/>
      <c r="AE1437" s="4"/>
      <c r="AF1437" s="4"/>
      <c r="AG1437" s="4"/>
      <c r="AH1437" s="4"/>
      <c r="AI1437" s="4"/>
      <c r="AJ1437" s="4"/>
      <c r="AK1437" s="4"/>
      <c r="AL1437" s="4"/>
      <c r="AM1437" s="4"/>
      <c r="AN1437" s="4"/>
      <c r="AO1437" s="4"/>
      <c r="AP1437" s="4"/>
      <c r="AQ1437" s="4"/>
      <c r="AR1437" s="4"/>
      <c r="AS1437" s="4"/>
      <c r="AT1437" s="4"/>
      <c r="AU1437" s="4"/>
      <c r="AV1437" s="4"/>
      <c r="AW1437" s="4"/>
      <c r="AX1437" s="4"/>
      <c r="AY1437" s="4"/>
      <c r="AZ1437" s="4"/>
      <c r="BA1437" s="4"/>
      <c r="BB1437" s="4"/>
      <c r="BC1437" s="4"/>
      <c r="BD1437" s="4"/>
      <c r="BE1437" s="4"/>
      <c r="BF1437" s="4"/>
      <c r="BG1437" s="4"/>
      <c r="BH1437" s="4"/>
      <c r="BI1437" s="4"/>
      <c r="BJ1437" s="4"/>
      <c r="BK1437" s="4"/>
      <c r="BL1437" s="4"/>
      <c r="BM1437" s="4"/>
      <c r="BN1437" s="4"/>
      <c r="BO1437" s="4"/>
      <c r="BP1437" s="4"/>
      <c r="BQ1437" s="4"/>
      <c r="BR1437" s="4"/>
      <c r="BS1437" s="4"/>
      <c r="BT1437" s="4"/>
      <c r="BU1437" s="4"/>
    </row>
    <row r="1438" spans="29:73" s="1" customFormat="1" x14ac:dyDescent="0.25">
      <c r="AC1438" s="4"/>
      <c r="AD1438" s="4"/>
      <c r="AE1438" s="4"/>
      <c r="AF1438" s="4"/>
      <c r="AG1438" s="4"/>
      <c r="AH1438" s="4"/>
      <c r="AI1438" s="4"/>
      <c r="AJ1438" s="4"/>
      <c r="AK1438" s="4"/>
      <c r="AL1438" s="4"/>
      <c r="AM1438" s="4"/>
      <c r="AN1438" s="4"/>
      <c r="AO1438" s="4"/>
      <c r="AP1438" s="4"/>
      <c r="AQ1438" s="4"/>
      <c r="AR1438" s="4"/>
      <c r="AS1438" s="4"/>
      <c r="AT1438" s="4"/>
      <c r="AU1438" s="4"/>
      <c r="AV1438" s="4"/>
      <c r="AW1438" s="4"/>
      <c r="AX1438" s="4"/>
      <c r="AY1438" s="4"/>
      <c r="AZ1438" s="4"/>
      <c r="BA1438" s="4"/>
      <c r="BB1438" s="4"/>
      <c r="BC1438" s="4"/>
      <c r="BD1438" s="4"/>
      <c r="BE1438" s="4"/>
      <c r="BF1438" s="4"/>
      <c r="BG1438" s="4"/>
      <c r="BH1438" s="4"/>
      <c r="BI1438" s="4"/>
      <c r="BJ1438" s="4"/>
      <c r="BK1438" s="4"/>
      <c r="BL1438" s="4"/>
      <c r="BM1438" s="4"/>
      <c r="BN1438" s="4"/>
      <c r="BO1438" s="4"/>
      <c r="BP1438" s="4"/>
      <c r="BQ1438" s="4"/>
      <c r="BR1438" s="4"/>
      <c r="BS1438" s="4"/>
      <c r="BT1438" s="4"/>
      <c r="BU1438" s="4"/>
    </row>
    <row r="1439" spans="29:73" s="1" customFormat="1" x14ac:dyDescent="0.25">
      <c r="AC1439" s="4"/>
      <c r="AD1439" s="4"/>
      <c r="AE1439" s="4"/>
      <c r="AF1439" s="4"/>
      <c r="AG1439" s="4"/>
      <c r="AH1439" s="4"/>
      <c r="AI1439" s="4"/>
      <c r="AJ1439" s="4"/>
      <c r="AK1439" s="4"/>
      <c r="AL1439" s="4"/>
      <c r="AM1439" s="4"/>
      <c r="AN1439" s="4"/>
      <c r="AO1439" s="4"/>
      <c r="AP1439" s="4"/>
      <c r="AQ1439" s="4"/>
      <c r="AR1439" s="4"/>
      <c r="AS1439" s="4"/>
      <c r="AT1439" s="4"/>
      <c r="AU1439" s="4"/>
      <c r="AV1439" s="4"/>
      <c r="AW1439" s="4"/>
      <c r="AX1439" s="4"/>
      <c r="AY1439" s="4"/>
      <c r="AZ1439" s="4"/>
      <c r="BA1439" s="4"/>
      <c r="BB1439" s="4"/>
      <c r="BC1439" s="4"/>
      <c r="BD1439" s="4"/>
      <c r="BE1439" s="4"/>
      <c r="BF1439" s="4"/>
      <c r="BG1439" s="4"/>
      <c r="BH1439" s="4"/>
      <c r="BI1439" s="4"/>
      <c r="BJ1439" s="4"/>
      <c r="BK1439" s="4"/>
      <c r="BL1439" s="4"/>
      <c r="BM1439" s="4"/>
      <c r="BN1439" s="4"/>
      <c r="BO1439" s="4"/>
      <c r="BP1439" s="4"/>
      <c r="BQ1439" s="4"/>
      <c r="BR1439" s="4"/>
      <c r="BS1439" s="4"/>
      <c r="BT1439" s="4"/>
      <c r="BU1439" s="4"/>
    </row>
    <row r="1440" spans="29:73" s="1" customFormat="1" x14ac:dyDescent="0.25">
      <c r="AC1440" s="4"/>
      <c r="AD1440" s="4"/>
      <c r="AE1440" s="4"/>
      <c r="AF1440" s="4"/>
      <c r="AG1440" s="4"/>
      <c r="AH1440" s="4"/>
      <c r="AI1440" s="4"/>
      <c r="AJ1440" s="4"/>
      <c r="AK1440" s="4"/>
      <c r="AL1440" s="4"/>
      <c r="AM1440" s="4"/>
      <c r="AN1440" s="4"/>
      <c r="AO1440" s="4"/>
      <c r="AP1440" s="4"/>
      <c r="AQ1440" s="4"/>
      <c r="AR1440" s="4"/>
      <c r="AS1440" s="4"/>
      <c r="AT1440" s="4"/>
      <c r="AU1440" s="4"/>
      <c r="AV1440" s="4"/>
      <c r="AW1440" s="4"/>
      <c r="AX1440" s="4"/>
      <c r="AY1440" s="4"/>
      <c r="AZ1440" s="4"/>
      <c r="BA1440" s="4"/>
      <c r="BB1440" s="4"/>
      <c r="BC1440" s="4"/>
      <c r="BD1440" s="4"/>
      <c r="BE1440" s="4"/>
      <c r="BF1440" s="4"/>
      <c r="BG1440" s="4"/>
      <c r="BH1440" s="4"/>
      <c r="BI1440" s="4"/>
      <c r="BJ1440" s="4"/>
      <c r="BK1440" s="4"/>
      <c r="BL1440" s="4"/>
      <c r="BM1440" s="4"/>
      <c r="BN1440" s="4"/>
      <c r="BO1440" s="4"/>
      <c r="BP1440" s="4"/>
      <c r="BQ1440" s="4"/>
      <c r="BR1440" s="4"/>
      <c r="BS1440" s="4"/>
      <c r="BT1440" s="4"/>
      <c r="BU1440" s="4"/>
    </row>
    <row r="1441" spans="29:73" s="1" customFormat="1" x14ac:dyDescent="0.25">
      <c r="AC1441" s="4"/>
      <c r="AD1441" s="4"/>
      <c r="AE1441" s="4"/>
      <c r="AF1441" s="4"/>
      <c r="AG1441" s="4"/>
      <c r="AH1441" s="4"/>
      <c r="AI1441" s="4"/>
      <c r="AJ1441" s="4"/>
      <c r="AK1441" s="4"/>
      <c r="AL1441" s="4"/>
      <c r="AM1441" s="4"/>
      <c r="AN1441" s="4"/>
      <c r="AO1441" s="4"/>
      <c r="AP1441" s="4"/>
      <c r="AQ1441" s="4"/>
      <c r="AR1441" s="4"/>
      <c r="AS1441" s="4"/>
      <c r="AT1441" s="4"/>
      <c r="AU1441" s="4"/>
      <c r="AV1441" s="4"/>
      <c r="AW1441" s="4"/>
      <c r="AX1441" s="4"/>
      <c r="AY1441" s="4"/>
      <c r="AZ1441" s="4"/>
      <c r="BA1441" s="4"/>
      <c r="BB1441" s="4"/>
      <c r="BC1441" s="4"/>
      <c r="BD1441" s="4"/>
      <c r="BE1441" s="4"/>
      <c r="BF1441" s="4"/>
      <c r="BG1441" s="4"/>
      <c r="BH1441" s="4"/>
      <c r="BI1441" s="4"/>
      <c r="BJ1441" s="4"/>
      <c r="BK1441" s="4"/>
      <c r="BL1441" s="4"/>
      <c r="BM1441" s="4"/>
      <c r="BN1441" s="4"/>
      <c r="BO1441" s="4"/>
      <c r="BP1441" s="4"/>
      <c r="BQ1441" s="4"/>
      <c r="BR1441" s="4"/>
      <c r="BS1441" s="4"/>
      <c r="BT1441" s="4"/>
      <c r="BU1441" s="4"/>
    </row>
    <row r="1442" spans="29:73" s="1" customFormat="1" x14ac:dyDescent="0.25">
      <c r="AC1442" s="4"/>
      <c r="AD1442" s="4"/>
      <c r="AE1442" s="4"/>
      <c r="AF1442" s="4"/>
      <c r="AG1442" s="4"/>
      <c r="AH1442" s="4"/>
      <c r="AI1442" s="4"/>
      <c r="AJ1442" s="4"/>
      <c r="AK1442" s="4"/>
      <c r="AL1442" s="4"/>
      <c r="AM1442" s="4"/>
      <c r="AN1442" s="4"/>
      <c r="AO1442" s="4"/>
      <c r="AP1442" s="4"/>
      <c r="AQ1442" s="4"/>
      <c r="AR1442" s="4"/>
      <c r="AS1442" s="4"/>
      <c r="AT1442" s="4"/>
      <c r="AU1442" s="4"/>
      <c r="AV1442" s="4"/>
      <c r="AW1442" s="4"/>
      <c r="AX1442" s="4"/>
      <c r="AY1442" s="4"/>
      <c r="AZ1442" s="4"/>
      <c r="BA1442" s="4"/>
      <c r="BB1442" s="4"/>
      <c r="BC1442" s="4"/>
      <c r="BD1442" s="4"/>
      <c r="BE1442" s="4"/>
      <c r="BF1442" s="4"/>
      <c r="BG1442" s="4"/>
      <c r="BH1442" s="4"/>
      <c r="BI1442" s="4"/>
      <c r="BJ1442" s="4"/>
      <c r="BK1442" s="4"/>
      <c r="BL1442" s="4"/>
      <c r="BM1442" s="4"/>
      <c r="BN1442" s="4"/>
      <c r="BO1442" s="4"/>
      <c r="BP1442" s="4"/>
      <c r="BQ1442" s="4"/>
      <c r="BR1442" s="4"/>
      <c r="BS1442" s="4"/>
      <c r="BT1442" s="4"/>
      <c r="BU1442" s="4"/>
    </row>
    <row r="1443" spans="29:73" s="1" customFormat="1" x14ac:dyDescent="0.25">
      <c r="AC1443" s="4"/>
      <c r="AD1443" s="4"/>
      <c r="AE1443" s="4"/>
      <c r="AF1443" s="4"/>
      <c r="AG1443" s="4"/>
      <c r="AH1443" s="4"/>
      <c r="AI1443" s="4"/>
      <c r="AJ1443" s="4"/>
      <c r="AK1443" s="4"/>
      <c r="AL1443" s="4"/>
      <c r="AM1443" s="4"/>
      <c r="AN1443" s="4"/>
      <c r="AO1443" s="4"/>
      <c r="AP1443" s="4"/>
      <c r="AQ1443" s="4"/>
      <c r="AR1443" s="4"/>
      <c r="AS1443" s="4"/>
      <c r="AT1443" s="4"/>
      <c r="AU1443" s="4"/>
      <c r="AV1443" s="4"/>
      <c r="AW1443" s="4"/>
      <c r="AX1443" s="4"/>
      <c r="AY1443" s="4"/>
      <c r="AZ1443" s="4"/>
      <c r="BA1443" s="4"/>
      <c r="BB1443" s="4"/>
      <c r="BC1443" s="4"/>
      <c r="BD1443" s="4"/>
      <c r="BE1443" s="4"/>
      <c r="BF1443" s="4"/>
      <c r="BG1443" s="4"/>
      <c r="BH1443" s="4"/>
      <c r="BI1443" s="4"/>
      <c r="BJ1443" s="4"/>
      <c r="BK1443" s="4"/>
      <c r="BL1443" s="4"/>
      <c r="BM1443" s="4"/>
      <c r="BN1443" s="4"/>
      <c r="BO1443" s="4"/>
      <c r="BP1443" s="4"/>
      <c r="BQ1443" s="4"/>
      <c r="BR1443" s="4"/>
      <c r="BS1443" s="4"/>
      <c r="BT1443" s="4"/>
      <c r="BU1443" s="4"/>
    </row>
    <row r="1444" spans="29:73" s="1" customFormat="1" x14ac:dyDescent="0.25">
      <c r="AC1444" s="4"/>
      <c r="AD1444" s="4"/>
      <c r="AE1444" s="4"/>
      <c r="AF1444" s="4"/>
      <c r="AG1444" s="4"/>
      <c r="AH1444" s="4"/>
      <c r="AI1444" s="4"/>
      <c r="AJ1444" s="4"/>
      <c r="AK1444" s="4"/>
      <c r="AL1444" s="4"/>
      <c r="AM1444" s="4"/>
      <c r="AN1444" s="4"/>
      <c r="AO1444" s="4"/>
      <c r="AP1444" s="4"/>
      <c r="AQ1444" s="4"/>
      <c r="AR1444" s="4"/>
      <c r="AS1444" s="4"/>
      <c r="AT1444" s="4"/>
      <c r="AU1444" s="4"/>
      <c r="AV1444" s="4"/>
      <c r="AW1444" s="4"/>
      <c r="AX1444" s="4"/>
      <c r="AY1444" s="4"/>
      <c r="AZ1444" s="4"/>
      <c r="BA1444" s="4"/>
      <c r="BB1444" s="4"/>
      <c r="BC1444" s="4"/>
      <c r="BD1444" s="4"/>
      <c r="BE1444" s="4"/>
      <c r="BF1444" s="4"/>
      <c r="BG1444" s="4"/>
      <c r="BH1444" s="4"/>
      <c r="BI1444" s="4"/>
      <c r="BJ1444" s="4"/>
      <c r="BK1444" s="4"/>
      <c r="BL1444" s="4"/>
      <c r="BM1444" s="4"/>
      <c r="BN1444" s="4"/>
      <c r="BO1444" s="4"/>
      <c r="BP1444" s="4"/>
      <c r="BQ1444" s="4"/>
      <c r="BR1444" s="4"/>
      <c r="BS1444" s="4"/>
      <c r="BT1444" s="4"/>
      <c r="BU1444" s="4"/>
    </row>
    <row r="1445" spans="29:73" s="1" customFormat="1" x14ac:dyDescent="0.25">
      <c r="AC1445" s="4"/>
      <c r="AD1445" s="4"/>
      <c r="AE1445" s="4"/>
      <c r="AF1445" s="4"/>
      <c r="AG1445" s="4"/>
      <c r="AH1445" s="4"/>
      <c r="AI1445" s="4"/>
      <c r="AJ1445" s="4"/>
      <c r="AK1445" s="4"/>
      <c r="AL1445" s="4"/>
      <c r="AM1445" s="4"/>
      <c r="AN1445" s="4"/>
      <c r="AO1445" s="4"/>
      <c r="AP1445" s="4"/>
      <c r="AQ1445" s="4"/>
      <c r="AR1445" s="4"/>
      <c r="AS1445" s="4"/>
      <c r="AT1445" s="4"/>
      <c r="AU1445" s="4"/>
      <c r="AV1445" s="4"/>
      <c r="AW1445" s="4"/>
      <c r="AX1445" s="4"/>
      <c r="AY1445" s="4"/>
      <c r="AZ1445" s="4"/>
      <c r="BA1445" s="4"/>
      <c r="BB1445" s="4"/>
      <c r="BC1445" s="4"/>
      <c r="BD1445" s="4"/>
      <c r="BE1445" s="4"/>
      <c r="BF1445" s="4"/>
      <c r="BG1445" s="4"/>
      <c r="BH1445" s="4"/>
      <c r="BI1445" s="4"/>
      <c r="BJ1445" s="4"/>
      <c r="BK1445" s="4"/>
      <c r="BL1445" s="4"/>
      <c r="BM1445" s="4"/>
      <c r="BN1445" s="4"/>
      <c r="BO1445" s="4"/>
      <c r="BP1445" s="4"/>
      <c r="BQ1445" s="4"/>
      <c r="BR1445" s="4"/>
      <c r="BS1445" s="4"/>
      <c r="BT1445" s="4"/>
      <c r="BU1445" s="4"/>
    </row>
    <row r="1446" spans="29:73" s="1" customFormat="1" x14ac:dyDescent="0.25">
      <c r="AC1446" s="4"/>
      <c r="AD1446" s="4"/>
      <c r="AE1446" s="4"/>
      <c r="AF1446" s="4"/>
      <c r="AG1446" s="4"/>
      <c r="AH1446" s="4"/>
      <c r="AI1446" s="4"/>
      <c r="AJ1446" s="4"/>
      <c r="AK1446" s="4"/>
      <c r="AL1446" s="4"/>
      <c r="AM1446" s="4"/>
      <c r="AN1446" s="4"/>
      <c r="AO1446" s="4"/>
      <c r="AP1446" s="4"/>
      <c r="AQ1446" s="4"/>
      <c r="AR1446" s="4"/>
      <c r="AS1446" s="4"/>
      <c r="AT1446" s="4"/>
      <c r="AU1446" s="4"/>
      <c r="AV1446" s="4"/>
      <c r="AW1446" s="4"/>
      <c r="AX1446" s="4"/>
      <c r="AY1446" s="4"/>
      <c r="AZ1446" s="4"/>
      <c r="BA1446" s="4"/>
      <c r="BB1446" s="4"/>
      <c r="BC1446" s="4"/>
      <c r="BD1446" s="4"/>
      <c r="BE1446" s="4"/>
      <c r="BF1446" s="4"/>
      <c r="BG1446" s="4"/>
      <c r="BH1446" s="4"/>
      <c r="BI1446" s="4"/>
      <c r="BJ1446" s="4"/>
      <c r="BK1446" s="4"/>
      <c r="BL1446" s="4"/>
      <c r="BM1446" s="4"/>
      <c r="BN1446" s="4"/>
      <c r="BO1446" s="4"/>
      <c r="BP1446" s="4"/>
      <c r="BQ1446" s="4"/>
      <c r="BR1446" s="4"/>
      <c r="BS1446" s="4"/>
      <c r="BT1446" s="4"/>
      <c r="BU1446" s="4"/>
    </row>
    <row r="1447" spans="29:73" s="1" customFormat="1" x14ac:dyDescent="0.25">
      <c r="AC1447" s="4"/>
      <c r="AD1447" s="4"/>
      <c r="AE1447" s="4"/>
      <c r="AF1447" s="4"/>
      <c r="AG1447" s="4"/>
      <c r="AH1447" s="4"/>
      <c r="AI1447" s="4"/>
      <c r="AJ1447" s="4"/>
      <c r="AK1447" s="4"/>
      <c r="AL1447" s="4"/>
      <c r="AM1447" s="4"/>
      <c r="AN1447" s="4"/>
      <c r="AO1447" s="4"/>
      <c r="AP1447" s="4"/>
      <c r="AQ1447" s="4"/>
      <c r="AR1447" s="4"/>
      <c r="AS1447" s="4"/>
      <c r="AT1447" s="4"/>
      <c r="AU1447" s="4"/>
      <c r="AV1447" s="4"/>
      <c r="AW1447" s="4"/>
      <c r="AX1447" s="4"/>
      <c r="AY1447" s="4"/>
      <c r="AZ1447" s="4"/>
      <c r="BA1447" s="4"/>
      <c r="BB1447" s="4"/>
      <c r="BC1447" s="4"/>
      <c r="BD1447" s="4"/>
      <c r="BE1447" s="4"/>
      <c r="BF1447" s="4"/>
      <c r="BG1447" s="4"/>
      <c r="BH1447" s="4"/>
      <c r="BI1447" s="4"/>
      <c r="BJ1447" s="4"/>
      <c r="BK1447" s="4"/>
      <c r="BL1447" s="4"/>
      <c r="BM1447" s="4"/>
      <c r="BN1447" s="4"/>
      <c r="BO1447" s="4"/>
      <c r="BP1447" s="4"/>
      <c r="BQ1447" s="4"/>
      <c r="BR1447" s="4"/>
      <c r="BS1447" s="4"/>
      <c r="BT1447" s="4"/>
      <c r="BU1447" s="4"/>
    </row>
    <row r="1448" spans="29:73" s="1" customFormat="1" x14ac:dyDescent="0.25">
      <c r="AC1448" s="4"/>
      <c r="AD1448" s="4"/>
      <c r="AE1448" s="4"/>
      <c r="AF1448" s="4"/>
      <c r="AG1448" s="4"/>
      <c r="AH1448" s="4"/>
      <c r="AI1448" s="4"/>
      <c r="AJ1448" s="4"/>
      <c r="AK1448" s="4"/>
      <c r="AL1448" s="4"/>
      <c r="AM1448" s="4"/>
      <c r="AN1448" s="4"/>
      <c r="AO1448" s="4"/>
      <c r="AP1448" s="4"/>
      <c r="AQ1448" s="4"/>
      <c r="AR1448" s="4"/>
      <c r="AS1448" s="4"/>
      <c r="AT1448" s="4"/>
      <c r="AU1448" s="4"/>
      <c r="AV1448" s="4"/>
      <c r="AW1448" s="4"/>
      <c r="AX1448" s="4"/>
      <c r="AY1448" s="4"/>
      <c r="AZ1448" s="4"/>
      <c r="BA1448" s="4"/>
      <c r="BB1448" s="4"/>
      <c r="BC1448" s="4"/>
      <c r="BD1448" s="4"/>
      <c r="BE1448" s="4"/>
      <c r="BF1448" s="4"/>
      <c r="BG1448" s="4"/>
      <c r="BH1448" s="4"/>
      <c r="BI1448" s="4"/>
      <c r="BJ1448" s="4"/>
      <c r="BK1448" s="4"/>
      <c r="BL1448" s="4"/>
      <c r="BM1448" s="4"/>
      <c r="BN1448" s="4"/>
      <c r="BO1448" s="4"/>
      <c r="BP1448" s="4"/>
      <c r="BQ1448" s="4"/>
      <c r="BR1448" s="4"/>
      <c r="BS1448" s="4"/>
      <c r="BT1448" s="4"/>
      <c r="BU1448" s="4"/>
    </row>
    <row r="1449" spans="29:73" s="1" customFormat="1" x14ac:dyDescent="0.25">
      <c r="AC1449" s="4"/>
      <c r="AD1449" s="4"/>
      <c r="AE1449" s="4"/>
      <c r="AF1449" s="4"/>
      <c r="AG1449" s="4"/>
      <c r="AH1449" s="4"/>
      <c r="AI1449" s="4"/>
      <c r="AJ1449" s="4"/>
      <c r="AK1449" s="4"/>
      <c r="AL1449" s="4"/>
      <c r="AM1449" s="4"/>
      <c r="AN1449" s="4"/>
      <c r="AO1449" s="4"/>
      <c r="AP1449" s="4"/>
      <c r="AQ1449" s="4"/>
      <c r="AR1449" s="4"/>
      <c r="AS1449" s="4"/>
      <c r="AT1449" s="4"/>
      <c r="AU1449" s="4"/>
      <c r="AV1449" s="4"/>
      <c r="AW1449" s="4"/>
      <c r="AX1449" s="4"/>
      <c r="AY1449" s="4"/>
      <c r="AZ1449" s="4"/>
      <c r="BA1449" s="4"/>
      <c r="BB1449" s="4"/>
      <c r="BC1449" s="4"/>
      <c r="BD1449" s="4"/>
      <c r="BE1449" s="4"/>
      <c r="BF1449" s="4"/>
      <c r="BG1449" s="4"/>
      <c r="BH1449" s="4"/>
      <c r="BI1449" s="4"/>
      <c r="BJ1449" s="4"/>
      <c r="BK1449" s="4"/>
      <c r="BL1449" s="4"/>
      <c r="BM1449" s="4"/>
      <c r="BN1449" s="4"/>
      <c r="BO1449" s="4"/>
      <c r="BP1449" s="4"/>
      <c r="BQ1449" s="4"/>
      <c r="BR1449" s="4"/>
      <c r="BS1449" s="4"/>
      <c r="BT1449" s="4"/>
      <c r="BU1449" s="4"/>
    </row>
    <row r="1450" spans="29:73" s="1" customFormat="1" x14ac:dyDescent="0.25">
      <c r="AC1450" s="4"/>
      <c r="AD1450" s="4"/>
      <c r="AE1450" s="4"/>
      <c r="AF1450" s="4"/>
      <c r="AG1450" s="4"/>
      <c r="AH1450" s="4"/>
      <c r="AI1450" s="4"/>
      <c r="AJ1450" s="4"/>
      <c r="AK1450" s="4"/>
      <c r="AL1450" s="4"/>
      <c r="AM1450" s="4"/>
      <c r="AN1450" s="4"/>
      <c r="AO1450" s="4"/>
      <c r="AP1450" s="4"/>
      <c r="AQ1450" s="4"/>
      <c r="AR1450" s="4"/>
      <c r="AS1450" s="4"/>
      <c r="AT1450" s="4"/>
      <c r="AU1450" s="4"/>
      <c r="AV1450" s="4"/>
      <c r="AW1450" s="4"/>
      <c r="AX1450" s="4"/>
      <c r="AY1450" s="4"/>
      <c r="AZ1450" s="4"/>
      <c r="BA1450" s="4"/>
      <c r="BB1450" s="4"/>
      <c r="BC1450" s="4"/>
      <c r="BD1450" s="4"/>
      <c r="BE1450" s="4"/>
      <c r="BF1450" s="4"/>
      <c r="BG1450" s="4"/>
      <c r="BH1450" s="4"/>
      <c r="BI1450" s="4"/>
      <c r="BJ1450" s="4"/>
      <c r="BK1450" s="4"/>
      <c r="BL1450" s="4"/>
      <c r="BM1450" s="4"/>
      <c r="BN1450" s="4"/>
      <c r="BO1450" s="4"/>
      <c r="BP1450" s="4"/>
      <c r="BQ1450" s="4"/>
      <c r="BR1450" s="4"/>
      <c r="BS1450" s="4"/>
      <c r="BT1450" s="4"/>
      <c r="BU1450" s="4"/>
    </row>
    <row r="1451" spans="29:73" s="1" customFormat="1" x14ac:dyDescent="0.25">
      <c r="AC1451" s="4"/>
      <c r="AD1451" s="4"/>
      <c r="AE1451" s="4"/>
      <c r="AF1451" s="4"/>
      <c r="AG1451" s="4"/>
      <c r="AH1451" s="4"/>
      <c r="AI1451" s="4"/>
      <c r="AJ1451" s="4"/>
      <c r="AK1451" s="4"/>
      <c r="AL1451" s="4"/>
      <c r="AM1451" s="4"/>
      <c r="AN1451" s="4"/>
      <c r="AO1451" s="4"/>
      <c r="AP1451" s="4"/>
      <c r="AQ1451" s="4"/>
      <c r="AR1451" s="4"/>
      <c r="AS1451" s="4"/>
      <c r="AT1451" s="4"/>
      <c r="AU1451" s="4"/>
      <c r="AV1451" s="4"/>
      <c r="AW1451" s="4"/>
      <c r="AX1451" s="4"/>
      <c r="AY1451" s="4"/>
      <c r="AZ1451" s="4"/>
      <c r="BA1451" s="4"/>
      <c r="BB1451" s="4"/>
      <c r="BC1451" s="4"/>
      <c r="BD1451" s="4"/>
      <c r="BE1451" s="4"/>
      <c r="BF1451" s="4"/>
      <c r="BG1451" s="4"/>
      <c r="BH1451" s="4"/>
      <c r="BI1451" s="4"/>
      <c r="BJ1451" s="4"/>
      <c r="BK1451" s="4"/>
      <c r="BL1451" s="4"/>
      <c r="BM1451" s="4"/>
      <c r="BN1451" s="4"/>
      <c r="BO1451" s="4"/>
      <c r="BP1451" s="4"/>
      <c r="BQ1451" s="4"/>
      <c r="BR1451" s="4"/>
      <c r="BS1451" s="4"/>
      <c r="BT1451" s="4"/>
      <c r="BU1451" s="4"/>
    </row>
    <row r="1452" spans="29:73" s="1" customFormat="1" x14ac:dyDescent="0.25">
      <c r="AC1452" s="4"/>
      <c r="AD1452" s="4"/>
      <c r="AE1452" s="4"/>
      <c r="AF1452" s="4"/>
      <c r="AG1452" s="4"/>
      <c r="AH1452" s="4"/>
      <c r="AI1452" s="4"/>
      <c r="AJ1452" s="4"/>
      <c r="AK1452" s="4"/>
      <c r="AL1452" s="4"/>
      <c r="AM1452" s="4"/>
      <c r="AN1452" s="4"/>
      <c r="AO1452" s="4"/>
      <c r="AP1452" s="4"/>
      <c r="AQ1452" s="4"/>
      <c r="AR1452" s="4"/>
      <c r="AS1452" s="4"/>
      <c r="AT1452" s="4"/>
      <c r="AU1452" s="4"/>
      <c r="AV1452" s="4"/>
      <c r="AW1452" s="4"/>
      <c r="AX1452" s="4"/>
      <c r="AY1452" s="4"/>
      <c r="AZ1452" s="4"/>
      <c r="BA1452" s="4"/>
      <c r="BB1452" s="4"/>
      <c r="BC1452" s="4"/>
      <c r="BD1452" s="4"/>
      <c r="BE1452" s="4"/>
      <c r="BF1452" s="4"/>
      <c r="BG1452" s="4"/>
      <c r="BH1452" s="4"/>
      <c r="BI1452" s="4"/>
      <c r="BJ1452" s="4"/>
      <c r="BK1452" s="4"/>
      <c r="BL1452" s="4"/>
      <c r="BM1452" s="4"/>
      <c r="BN1452" s="4"/>
      <c r="BO1452" s="4"/>
      <c r="BP1452" s="4"/>
      <c r="BQ1452" s="4"/>
      <c r="BR1452" s="4"/>
      <c r="BS1452" s="4"/>
      <c r="BT1452" s="4"/>
      <c r="BU1452" s="4"/>
    </row>
    <row r="1453" spans="29:73" s="1" customFormat="1" x14ac:dyDescent="0.25">
      <c r="AC1453" s="4"/>
      <c r="AD1453" s="4"/>
      <c r="AE1453" s="4"/>
      <c r="AF1453" s="4"/>
      <c r="AG1453" s="4"/>
      <c r="AH1453" s="4"/>
      <c r="AI1453" s="4"/>
      <c r="AJ1453" s="4"/>
      <c r="AK1453" s="4"/>
      <c r="AL1453" s="4"/>
      <c r="AM1453" s="4"/>
      <c r="AN1453" s="4"/>
      <c r="AO1453" s="4"/>
      <c r="AP1453" s="4"/>
      <c r="AQ1453" s="4"/>
      <c r="AR1453" s="4"/>
      <c r="AS1453" s="4"/>
      <c r="AT1453" s="4"/>
      <c r="AU1453" s="4"/>
      <c r="AV1453" s="4"/>
      <c r="AW1453" s="4"/>
      <c r="AX1453" s="4"/>
      <c r="AY1453" s="4"/>
      <c r="AZ1453" s="4"/>
      <c r="BA1453" s="4"/>
      <c r="BB1453" s="4"/>
      <c r="BC1453" s="4"/>
      <c r="BD1453" s="4"/>
      <c r="BE1453" s="4"/>
      <c r="BF1453" s="4"/>
      <c r="BG1453" s="4"/>
      <c r="BH1453" s="4"/>
      <c r="BI1453" s="4"/>
      <c r="BJ1453" s="4"/>
      <c r="BK1453" s="4"/>
      <c r="BL1453" s="4"/>
      <c r="BM1453" s="4"/>
      <c r="BN1453" s="4"/>
      <c r="BO1453" s="4"/>
      <c r="BP1453" s="4"/>
      <c r="BQ1453" s="4"/>
      <c r="BR1453" s="4"/>
      <c r="BS1453" s="4"/>
      <c r="BT1453" s="4"/>
      <c r="BU1453" s="4"/>
    </row>
    <row r="1454" spans="29:73" s="1" customFormat="1" x14ac:dyDescent="0.25">
      <c r="AC1454" s="4"/>
      <c r="AD1454" s="4"/>
      <c r="AE1454" s="4"/>
      <c r="AF1454" s="4"/>
      <c r="AG1454" s="4"/>
      <c r="AH1454" s="4"/>
      <c r="AI1454" s="4"/>
      <c r="AJ1454" s="4"/>
      <c r="AK1454" s="4"/>
      <c r="AL1454" s="4"/>
      <c r="AM1454" s="4"/>
      <c r="AN1454" s="4"/>
      <c r="AO1454" s="4"/>
      <c r="AP1454" s="4"/>
      <c r="AQ1454" s="4"/>
      <c r="AR1454" s="4"/>
      <c r="AS1454" s="4"/>
      <c r="AT1454" s="4"/>
      <c r="AU1454" s="4"/>
      <c r="AV1454" s="4"/>
      <c r="AW1454" s="4"/>
      <c r="AX1454" s="4"/>
      <c r="AY1454" s="4"/>
      <c r="AZ1454" s="4"/>
      <c r="BA1454" s="4"/>
      <c r="BB1454" s="4"/>
      <c r="BC1454" s="4"/>
      <c r="BD1454" s="4"/>
      <c r="BE1454" s="4"/>
      <c r="BF1454" s="4"/>
      <c r="BG1454" s="4"/>
      <c r="BH1454" s="4"/>
      <c r="BI1454" s="4"/>
      <c r="BJ1454" s="4"/>
      <c r="BK1454" s="4"/>
      <c r="BL1454" s="4"/>
      <c r="BM1454" s="4"/>
      <c r="BN1454" s="4"/>
      <c r="BO1454" s="4"/>
      <c r="BP1454" s="4"/>
      <c r="BQ1454" s="4"/>
      <c r="BR1454" s="4"/>
      <c r="BS1454" s="4"/>
      <c r="BT1454" s="4"/>
      <c r="BU1454" s="4"/>
    </row>
    <row r="1455" spans="29:73" s="1" customFormat="1" x14ac:dyDescent="0.25">
      <c r="AC1455" s="4"/>
      <c r="AD1455" s="4"/>
      <c r="AE1455" s="4"/>
      <c r="AF1455" s="4"/>
      <c r="AG1455" s="4"/>
      <c r="AH1455" s="4"/>
      <c r="AI1455" s="4"/>
      <c r="AJ1455" s="4"/>
      <c r="AK1455" s="4"/>
      <c r="AL1455" s="4"/>
      <c r="AM1455" s="4"/>
      <c r="AN1455" s="4"/>
      <c r="AO1455" s="4"/>
      <c r="AP1455" s="4"/>
      <c r="AQ1455" s="4"/>
      <c r="AR1455" s="4"/>
      <c r="AS1455" s="4"/>
      <c r="AT1455" s="4"/>
      <c r="AU1455" s="4"/>
      <c r="AV1455" s="4"/>
      <c r="AW1455" s="4"/>
      <c r="AX1455" s="4"/>
      <c r="AY1455" s="4"/>
      <c r="AZ1455" s="4"/>
      <c r="BA1455" s="4"/>
      <c r="BB1455" s="4"/>
      <c r="BC1455" s="4"/>
      <c r="BD1455" s="4"/>
      <c r="BE1455" s="4"/>
      <c r="BF1455" s="4"/>
      <c r="BG1455" s="4"/>
      <c r="BH1455" s="4"/>
      <c r="BI1455" s="4"/>
      <c r="BJ1455" s="4"/>
      <c r="BK1455" s="4"/>
      <c r="BL1455" s="4"/>
      <c r="BM1455" s="4"/>
      <c r="BN1455" s="4"/>
      <c r="BO1455" s="4"/>
      <c r="BP1455" s="4"/>
      <c r="BQ1455" s="4"/>
      <c r="BR1455" s="4"/>
      <c r="BS1455" s="4"/>
      <c r="BT1455" s="4"/>
      <c r="BU1455" s="4"/>
    </row>
    <row r="1456" spans="29:73" s="1" customFormat="1" x14ac:dyDescent="0.25">
      <c r="AC1456" s="4"/>
      <c r="AD1456" s="4"/>
      <c r="AE1456" s="4"/>
      <c r="AF1456" s="4"/>
      <c r="AG1456" s="4"/>
      <c r="AH1456" s="4"/>
      <c r="AI1456" s="4"/>
      <c r="AJ1456" s="4"/>
      <c r="AK1456" s="4"/>
      <c r="AL1456" s="4"/>
      <c r="AM1456" s="4"/>
      <c r="AN1456" s="4"/>
      <c r="AO1456" s="4"/>
      <c r="AP1456" s="4"/>
      <c r="AQ1456" s="4"/>
      <c r="AR1456" s="4"/>
      <c r="AS1456" s="4"/>
      <c r="AT1456" s="4"/>
      <c r="AU1456" s="4"/>
      <c r="AV1456" s="4"/>
      <c r="AW1456" s="4"/>
      <c r="AX1456" s="4"/>
      <c r="AY1456" s="4"/>
      <c r="AZ1456" s="4"/>
      <c r="BA1456" s="4"/>
      <c r="BB1456" s="4"/>
      <c r="BC1456" s="4"/>
      <c r="BD1456" s="4"/>
      <c r="BE1456" s="4"/>
      <c r="BF1456" s="4"/>
      <c r="BG1456" s="4"/>
      <c r="BH1456" s="4"/>
      <c r="BI1456" s="4"/>
      <c r="BJ1456" s="4"/>
      <c r="BK1456" s="4"/>
      <c r="BL1456" s="4"/>
      <c r="BM1456" s="4"/>
      <c r="BN1456" s="4"/>
      <c r="BO1456" s="4"/>
      <c r="BP1456" s="4"/>
      <c r="BQ1456" s="4"/>
      <c r="BR1456" s="4"/>
      <c r="BS1456" s="4"/>
      <c r="BT1456" s="4"/>
      <c r="BU1456" s="4"/>
    </row>
    <row r="1457" spans="29:73" s="1" customFormat="1" x14ac:dyDescent="0.25">
      <c r="AC1457" s="4"/>
      <c r="AD1457" s="4"/>
      <c r="AE1457" s="4"/>
      <c r="AF1457" s="4"/>
      <c r="AG1457" s="4"/>
      <c r="AH1457" s="4"/>
      <c r="AI1457" s="4"/>
      <c r="AJ1457" s="4"/>
      <c r="AK1457" s="4"/>
      <c r="AL1457" s="4"/>
      <c r="AM1457" s="4"/>
      <c r="AN1457" s="4"/>
      <c r="AO1457" s="4"/>
      <c r="AP1457" s="4"/>
      <c r="AQ1457" s="4"/>
      <c r="AR1457" s="4"/>
      <c r="AS1457" s="4"/>
      <c r="AT1457" s="4"/>
      <c r="AU1457" s="4"/>
      <c r="AV1457" s="4"/>
      <c r="AW1457" s="4"/>
      <c r="AX1457" s="4"/>
      <c r="AY1457" s="4"/>
      <c r="AZ1457" s="4"/>
      <c r="BA1457" s="4"/>
      <c r="BB1457" s="4"/>
      <c r="BC1457" s="4"/>
      <c r="BD1457" s="4"/>
      <c r="BE1457" s="4"/>
      <c r="BF1457" s="4"/>
      <c r="BG1457" s="4"/>
      <c r="BH1457" s="4"/>
      <c r="BI1457" s="4"/>
      <c r="BJ1457" s="4"/>
      <c r="BK1457" s="4"/>
      <c r="BL1457" s="4"/>
      <c r="BM1457" s="4"/>
      <c r="BN1457" s="4"/>
      <c r="BO1457" s="4"/>
      <c r="BP1457" s="4"/>
      <c r="BQ1457" s="4"/>
      <c r="BR1457" s="4"/>
      <c r="BS1457" s="4"/>
      <c r="BT1457" s="4"/>
      <c r="BU1457" s="4"/>
    </row>
    <row r="1458" spans="29:73" s="1" customFormat="1" x14ac:dyDescent="0.25">
      <c r="AC1458" s="4"/>
      <c r="AD1458" s="4"/>
      <c r="AE1458" s="4"/>
      <c r="AF1458" s="4"/>
      <c r="AG1458" s="4"/>
      <c r="AH1458" s="4"/>
      <c r="AI1458" s="4"/>
      <c r="AJ1458" s="4"/>
      <c r="AK1458" s="4"/>
      <c r="AL1458" s="4"/>
      <c r="AM1458" s="4"/>
      <c r="AN1458" s="4"/>
      <c r="AO1458" s="4"/>
      <c r="AP1458" s="4"/>
      <c r="AQ1458" s="4"/>
      <c r="AR1458" s="4"/>
      <c r="AS1458" s="4"/>
      <c r="AT1458" s="4"/>
      <c r="AU1458" s="4"/>
      <c r="AV1458" s="4"/>
      <c r="AW1458" s="4"/>
      <c r="AX1458" s="4"/>
      <c r="AY1458" s="4"/>
      <c r="AZ1458" s="4"/>
      <c r="BA1458" s="4"/>
      <c r="BB1458" s="4"/>
      <c r="BC1458" s="4"/>
      <c r="BD1458" s="4"/>
      <c r="BE1458" s="4"/>
      <c r="BF1458" s="4"/>
      <c r="BG1458" s="4"/>
      <c r="BH1458" s="4"/>
      <c r="BI1458" s="4"/>
      <c r="BJ1458" s="4"/>
      <c r="BK1458" s="4"/>
      <c r="BL1458" s="4"/>
      <c r="BM1458" s="4"/>
      <c r="BN1458" s="4"/>
      <c r="BO1458" s="4"/>
      <c r="BP1458" s="4"/>
      <c r="BQ1458" s="4"/>
      <c r="BR1458" s="4"/>
      <c r="BS1458" s="4"/>
      <c r="BT1458" s="4"/>
      <c r="BU1458" s="4"/>
    </row>
    <row r="1459" spans="29:73" s="1" customFormat="1" x14ac:dyDescent="0.25">
      <c r="AC1459" s="4"/>
      <c r="AD1459" s="4"/>
      <c r="AE1459" s="4"/>
      <c r="AF1459" s="4"/>
      <c r="AG1459" s="4"/>
      <c r="AH1459" s="4"/>
      <c r="AI1459" s="4"/>
      <c r="AJ1459" s="4"/>
      <c r="AK1459" s="4"/>
      <c r="AL1459" s="4"/>
      <c r="AM1459" s="4"/>
      <c r="AN1459" s="4"/>
      <c r="AO1459" s="4"/>
      <c r="AP1459" s="4"/>
      <c r="AQ1459" s="4"/>
      <c r="AR1459" s="4"/>
      <c r="AS1459" s="4"/>
      <c r="AT1459" s="4"/>
      <c r="AU1459" s="4"/>
      <c r="AV1459" s="4"/>
      <c r="AW1459" s="4"/>
      <c r="AX1459" s="4"/>
      <c r="AY1459" s="4"/>
      <c r="AZ1459" s="4"/>
      <c r="BA1459" s="4"/>
      <c r="BB1459" s="4"/>
      <c r="BC1459" s="4"/>
      <c r="BD1459" s="4"/>
      <c r="BE1459" s="4"/>
      <c r="BF1459" s="4"/>
      <c r="BG1459" s="4"/>
      <c r="BH1459" s="4"/>
      <c r="BI1459" s="4"/>
      <c r="BJ1459" s="4"/>
      <c r="BK1459" s="4"/>
      <c r="BL1459" s="4"/>
      <c r="BM1459" s="4"/>
      <c r="BN1459" s="4"/>
      <c r="BO1459" s="4"/>
      <c r="BP1459" s="4"/>
      <c r="BQ1459" s="4"/>
      <c r="BR1459" s="4"/>
      <c r="BS1459" s="4"/>
      <c r="BT1459" s="4"/>
      <c r="BU1459" s="4"/>
    </row>
    <row r="1460" spans="29:73" s="1" customFormat="1" x14ac:dyDescent="0.25">
      <c r="AC1460" s="4"/>
      <c r="AD1460" s="4"/>
      <c r="AE1460" s="4"/>
      <c r="AF1460" s="4"/>
      <c r="AG1460" s="4"/>
      <c r="AH1460" s="4"/>
      <c r="AI1460" s="4"/>
      <c r="AJ1460" s="4"/>
      <c r="AK1460" s="4"/>
      <c r="AL1460" s="4"/>
      <c r="AM1460" s="4"/>
      <c r="AN1460" s="4"/>
      <c r="AO1460" s="4"/>
      <c r="AP1460" s="4"/>
      <c r="AQ1460" s="4"/>
      <c r="AR1460" s="4"/>
      <c r="AS1460" s="4"/>
      <c r="AT1460" s="4"/>
      <c r="AU1460" s="4"/>
      <c r="AV1460" s="4"/>
      <c r="AW1460" s="4"/>
      <c r="AX1460" s="4"/>
      <c r="AY1460" s="4"/>
      <c r="AZ1460" s="4"/>
      <c r="BA1460" s="4"/>
      <c r="BB1460" s="4"/>
      <c r="BC1460" s="4"/>
      <c r="BD1460" s="4"/>
      <c r="BE1460" s="4"/>
      <c r="BF1460" s="4"/>
      <c r="BG1460" s="4"/>
      <c r="BH1460" s="4"/>
      <c r="BI1460" s="4"/>
      <c r="BJ1460" s="4"/>
      <c r="BK1460" s="4"/>
      <c r="BL1460" s="4"/>
      <c r="BM1460" s="4"/>
      <c r="BN1460" s="4"/>
      <c r="BO1460" s="4"/>
      <c r="BP1460" s="4"/>
      <c r="BQ1460" s="4"/>
      <c r="BR1460" s="4"/>
      <c r="BS1460" s="4"/>
      <c r="BT1460" s="4"/>
      <c r="BU1460" s="4"/>
    </row>
    <row r="1461" spans="29:73" s="1" customFormat="1" x14ac:dyDescent="0.25">
      <c r="AC1461" s="4"/>
      <c r="AD1461" s="4"/>
      <c r="AE1461" s="4"/>
      <c r="AF1461" s="4"/>
      <c r="AG1461" s="4"/>
      <c r="AH1461" s="4"/>
      <c r="AI1461" s="4"/>
      <c r="AJ1461" s="4"/>
      <c r="AK1461" s="4"/>
      <c r="AL1461" s="4"/>
      <c r="AM1461" s="4"/>
      <c r="AN1461" s="4"/>
      <c r="AO1461" s="4"/>
      <c r="AP1461" s="4"/>
      <c r="AQ1461" s="4"/>
      <c r="AR1461" s="4"/>
      <c r="AS1461" s="4"/>
      <c r="AT1461" s="4"/>
      <c r="AU1461" s="4"/>
      <c r="AV1461" s="4"/>
      <c r="AW1461" s="4"/>
      <c r="AX1461" s="4"/>
      <c r="AY1461" s="4"/>
      <c r="AZ1461" s="4"/>
      <c r="BA1461" s="4"/>
      <c r="BB1461" s="4"/>
      <c r="BC1461" s="4"/>
      <c r="BD1461" s="4"/>
      <c r="BE1461" s="4"/>
      <c r="BF1461" s="4"/>
      <c r="BG1461" s="4"/>
      <c r="BH1461" s="4"/>
      <c r="BI1461" s="4"/>
      <c r="BJ1461" s="4"/>
      <c r="BK1461" s="4"/>
      <c r="BL1461" s="4"/>
      <c r="BM1461" s="4"/>
      <c r="BN1461" s="4"/>
      <c r="BO1461" s="4"/>
      <c r="BP1461" s="4"/>
      <c r="BQ1461" s="4"/>
      <c r="BR1461" s="4"/>
      <c r="BS1461" s="4"/>
      <c r="BT1461" s="4"/>
      <c r="BU1461" s="4"/>
    </row>
    <row r="1462" spans="29:73" s="1" customFormat="1" x14ac:dyDescent="0.25">
      <c r="AC1462" s="4"/>
      <c r="AD1462" s="4"/>
      <c r="AE1462" s="4"/>
      <c r="AF1462" s="4"/>
      <c r="AG1462" s="4"/>
      <c r="AH1462" s="4"/>
      <c r="AI1462" s="4"/>
      <c r="AJ1462" s="4"/>
      <c r="AK1462" s="4"/>
      <c r="AL1462" s="4"/>
      <c r="AM1462" s="4"/>
      <c r="AN1462" s="4"/>
      <c r="AO1462" s="4"/>
      <c r="AP1462" s="4"/>
      <c r="AQ1462" s="4"/>
      <c r="AR1462" s="4"/>
      <c r="AS1462" s="4"/>
      <c r="AT1462" s="4"/>
      <c r="AU1462" s="4"/>
      <c r="AV1462" s="4"/>
      <c r="AW1462" s="4"/>
      <c r="AX1462" s="4"/>
      <c r="AY1462" s="4"/>
      <c r="AZ1462" s="4"/>
      <c r="BA1462" s="4"/>
      <c r="BB1462" s="4"/>
      <c r="BC1462" s="4"/>
      <c r="BD1462" s="4"/>
      <c r="BE1462" s="4"/>
      <c r="BF1462" s="4"/>
      <c r="BG1462" s="4"/>
      <c r="BH1462" s="4"/>
      <c r="BI1462" s="4"/>
      <c r="BJ1462" s="4"/>
      <c r="BK1462" s="4"/>
      <c r="BL1462" s="4"/>
      <c r="BM1462" s="4"/>
      <c r="BN1462" s="4"/>
      <c r="BO1462" s="4"/>
      <c r="BP1462" s="4"/>
      <c r="BQ1462" s="4"/>
      <c r="BR1462" s="4"/>
      <c r="BS1462" s="4"/>
      <c r="BT1462" s="4"/>
      <c r="BU1462" s="4"/>
    </row>
    <row r="1463" spans="29:73" s="1" customFormat="1" x14ac:dyDescent="0.25">
      <c r="AC1463" s="4"/>
      <c r="AD1463" s="4"/>
      <c r="AE1463" s="4"/>
      <c r="AF1463" s="4"/>
      <c r="AG1463" s="4"/>
      <c r="AH1463" s="4"/>
      <c r="AI1463" s="4"/>
      <c r="AJ1463" s="4"/>
      <c r="AK1463" s="4"/>
      <c r="AL1463" s="4"/>
      <c r="AM1463" s="4"/>
      <c r="AN1463" s="4"/>
      <c r="AO1463" s="4"/>
      <c r="AP1463" s="4"/>
      <c r="AQ1463" s="4"/>
      <c r="AR1463" s="4"/>
      <c r="AS1463" s="4"/>
      <c r="AT1463" s="4"/>
      <c r="AU1463" s="4"/>
      <c r="AV1463" s="4"/>
      <c r="AW1463" s="4"/>
      <c r="AX1463" s="4"/>
      <c r="AY1463" s="4"/>
      <c r="AZ1463" s="4"/>
      <c r="BA1463" s="4"/>
      <c r="BB1463" s="4"/>
      <c r="BC1463" s="4"/>
      <c r="BD1463" s="4"/>
      <c r="BE1463" s="4"/>
      <c r="BF1463" s="4"/>
      <c r="BG1463" s="4"/>
      <c r="BH1463" s="4"/>
      <c r="BI1463" s="4"/>
      <c r="BJ1463" s="4"/>
      <c r="BK1463" s="4"/>
      <c r="BL1463" s="4"/>
      <c r="BM1463" s="4"/>
      <c r="BN1463" s="4"/>
      <c r="BO1463" s="4"/>
      <c r="BP1463" s="4"/>
      <c r="BQ1463" s="4"/>
      <c r="BR1463" s="4"/>
      <c r="BS1463" s="4"/>
      <c r="BT1463" s="4"/>
      <c r="BU1463" s="4"/>
    </row>
    <row r="1464" spans="29:73" s="1" customFormat="1" x14ac:dyDescent="0.25">
      <c r="AC1464" s="4"/>
      <c r="AD1464" s="4"/>
      <c r="AE1464" s="4"/>
      <c r="AF1464" s="4"/>
      <c r="AG1464" s="4"/>
      <c r="AH1464" s="4"/>
      <c r="AI1464" s="4"/>
      <c r="AJ1464" s="4"/>
      <c r="AK1464" s="4"/>
      <c r="AL1464" s="4"/>
      <c r="AM1464" s="4"/>
      <c r="AN1464" s="4"/>
      <c r="AO1464" s="4"/>
      <c r="AP1464" s="4"/>
      <c r="AQ1464" s="4"/>
      <c r="AR1464" s="4"/>
      <c r="AS1464" s="4"/>
      <c r="AT1464" s="4"/>
      <c r="AU1464" s="4"/>
      <c r="AV1464" s="4"/>
      <c r="AW1464" s="4"/>
      <c r="AX1464" s="4"/>
      <c r="AY1464" s="4"/>
      <c r="AZ1464" s="4"/>
      <c r="BA1464" s="4"/>
      <c r="BB1464" s="4"/>
      <c r="BC1464" s="4"/>
      <c r="BD1464" s="4"/>
      <c r="BE1464" s="4"/>
      <c r="BF1464" s="4"/>
      <c r="BG1464" s="4"/>
      <c r="BH1464" s="4"/>
      <c r="BI1464" s="4"/>
      <c r="BJ1464" s="4"/>
      <c r="BK1464" s="4"/>
      <c r="BL1464" s="4"/>
      <c r="BM1464" s="4"/>
      <c r="BN1464" s="4"/>
      <c r="BO1464" s="4"/>
      <c r="BP1464" s="4"/>
      <c r="BQ1464" s="4"/>
      <c r="BR1464" s="4"/>
      <c r="BS1464" s="4"/>
      <c r="BT1464" s="4"/>
      <c r="BU1464" s="4"/>
    </row>
    <row r="1465" spans="29:73" s="1" customFormat="1" x14ac:dyDescent="0.25">
      <c r="AC1465" s="4"/>
      <c r="AD1465" s="4"/>
      <c r="AE1465" s="4"/>
      <c r="AF1465" s="4"/>
      <c r="AG1465" s="4"/>
      <c r="AH1465" s="4"/>
      <c r="AI1465" s="4"/>
      <c r="AJ1465" s="4"/>
      <c r="AK1465" s="4"/>
      <c r="AL1465" s="4"/>
      <c r="AM1465" s="4"/>
      <c r="AN1465" s="4"/>
      <c r="AO1465" s="4"/>
      <c r="AP1465" s="4"/>
      <c r="AQ1465" s="4"/>
      <c r="AR1465" s="4"/>
      <c r="AS1465" s="4"/>
      <c r="AT1465" s="4"/>
      <c r="AU1465" s="4"/>
      <c r="AV1465" s="4"/>
      <c r="AW1465" s="4"/>
      <c r="AX1465" s="4"/>
      <c r="AY1465" s="4"/>
      <c r="AZ1465" s="4"/>
      <c r="BA1465" s="4"/>
      <c r="BB1465" s="4"/>
      <c r="BC1465" s="4"/>
      <c r="BD1465" s="4"/>
      <c r="BE1465" s="4"/>
      <c r="BF1465" s="4"/>
      <c r="BG1465" s="4"/>
      <c r="BH1465" s="4"/>
      <c r="BI1465" s="4"/>
      <c r="BJ1465" s="4"/>
      <c r="BK1465" s="4"/>
      <c r="BL1465" s="4"/>
      <c r="BM1465" s="4"/>
      <c r="BN1465" s="4"/>
      <c r="BO1465" s="4"/>
      <c r="BP1465" s="4"/>
      <c r="BQ1465" s="4"/>
      <c r="BR1465" s="4"/>
      <c r="BS1465" s="4"/>
      <c r="BT1465" s="4"/>
      <c r="BU1465" s="4"/>
    </row>
    <row r="1466" spans="29:73" s="1" customFormat="1" x14ac:dyDescent="0.25">
      <c r="AC1466" s="4"/>
      <c r="AD1466" s="4"/>
      <c r="AE1466" s="4"/>
      <c r="AF1466" s="4"/>
      <c r="AG1466" s="4"/>
      <c r="AH1466" s="4"/>
      <c r="AI1466" s="4"/>
      <c r="AJ1466" s="4"/>
      <c r="AK1466" s="4"/>
      <c r="AL1466" s="4"/>
      <c r="AM1466" s="4"/>
      <c r="AN1466" s="4"/>
      <c r="AO1466" s="4"/>
      <c r="AP1466" s="4"/>
      <c r="AQ1466" s="4"/>
      <c r="AR1466" s="4"/>
      <c r="AS1466" s="4"/>
      <c r="AT1466" s="4"/>
      <c r="AU1466" s="4"/>
      <c r="AV1466" s="4"/>
      <c r="AW1466" s="4"/>
      <c r="AX1466" s="4"/>
      <c r="AY1466" s="4"/>
      <c r="AZ1466" s="4"/>
      <c r="BA1466" s="4"/>
      <c r="BB1466" s="4"/>
      <c r="BC1466" s="4"/>
      <c r="BD1466" s="4"/>
      <c r="BE1466" s="4"/>
      <c r="BF1466" s="4"/>
      <c r="BG1466" s="4"/>
      <c r="BH1466" s="4"/>
      <c r="BI1466" s="4"/>
      <c r="BJ1466" s="4"/>
      <c r="BK1466" s="4"/>
      <c r="BL1466" s="4"/>
      <c r="BM1466" s="4"/>
      <c r="BN1466" s="4"/>
      <c r="BO1466" s="4"/>
      <c r="BP1466" s="4"/>
      <c r="BQ1466" s="4"/>
      <c r="BR1466" s="4"/>
      <c r="BS1466" s="4"/>
      <c r="BT1466" s="4"/>
      <c r="BU1466" s="4"/>
    </row>
    <row r="1467" spans="29:73" s="1" customFormat="1" x14ac:dyDescent="0.25">
      <c r="AC1467" s="4"/>
      <c r="AD1467" s="4"/>
      <c r="AE1467" s="4"/>
      <c r="AF1467" s="4"/>
      <c r="AG1467" s="4"/>
      <c r="AH1467" s="4"/>
      <c r="AI1467" s="4"/>
      <c r="AJ1467" s="4"/>
      <c r="AK1467" s="4"/>
      <c r="AL1467" s="4"/>
      <c r="AM1467" s="4"/>
      <c r="AN1467" s="4"/>
      <c r="AO1467" s="4"/>
      <c r="AP1467" s="4"/>
      <c r="AQ1467" s="4"/>
      <c r="AR1467" s="4"/>
      <c r="AS1467" s="4"/>
      <c r="AT1467" s="4"/>
      <c r="AU1467" s="4"/>
      <c r="AV1467" s="4"/>
      <c r="AW1467" s="4"/>
      <c r="AX1467" s="4"/>
      <c r="AY1467" s="4"/>
      <c r="AZ1467" s="4"/>
      <c r="BA1467" s="4"/>
      <c r="BB1467" s="4"/>
      <c r="BC1467" s="4"/>
      <c r="BD1467" s="4"/>
      <c r="BE1467" s="4"/>
      <c r="BF1467" s="4"/>
      <c r="BG1467" s="4"/>
      <c r="BH1467" s="4"/>
      <c r="BI1467" s="4"/>
      <c r="BJ1467" s="4"/>
      <c r="BK1467" s="4"/>
      <c r="BL1467" s="4"/>
      <c r="BM1467" s="4"/>
      <c r="BN1467" s="4"/>
      <c r="BO1467" s="4"/>
      <c r="BP1467" s="4"/>
      <c r="BQ1467" s="4"/>
      <c r="BR1467" s="4"/>
      <c r="BS1467" s="4"/>
      <c r="BT1467" s="4"/>
      <c r="BU1467" s="4"/>
    </row>
    <row r="1468" spans="29:73" s="1" customFormat="1" x14ac:dyDescent="0.25">
      <c r="AC1468" s="4"/>
      <c r="AD1468" s="4"/>
      <c r="AE1468" s="4"/>
      <c r="AF1468" s="4"/>
      <c r="AG1468" s="4"/>
      <c r="AH1468" s="4"/>
      <c r="AI1468" s="4"/>
      <c r="AJ1468" s="4"/>
      <c r="AK1468" s="4"/>
      <c r="AL1468" s="4"/>
      <c r="AM1468" s="4"/>
      <c r="AN1468" s="4"/>
      <c r="AO1468" s="4"/>
      <c r="AP1468" s="4"/>
      <c r="AQ1468" s="4"/>
      <c r="AR1468" s="4"/>
      <c r="AS1468" s="4"/>
      <c r="AT1468" s="4"/>
      <c r="AU1468" s="4"/>
      <c r="AV1468" s="4"/>
      <c r="AW1468" s="4"/>
      <c r="AX1468" s="4"/>
      <c r="AY1468" s="4"/>
      <c r="AZ1468" s="4"/>
      <c r="BA1468" s="4"/>
      <c r="BB1468" s="4"/>
      <c r="BC1468" s="4"/>
      <c r="BD1468" s="4"/>
      <c r="BE1468" s="4"/>
      <c r="BF1468" s="4"/>
      <c r="BG1468" s="4"/>
      <c r="BH1468" s="4"/>
      <c r="BI1468" s="4"/>
      <c r="BJ1468" s="4"/>
      <c r="BK1468" s="4"/>
      <c r="BL1468" s="4"/>
      <c r="BM1468" s="4"/>
      <c r="BN1468" s="4"/>
      <c r="BO1468" s="4"/>
      <c r="BP1468" s="4"/>
      <c r="BQ1468" s="4"/>
      <c r="BR1468" s="4"/>
      <c r="BS1468" s="4"/>
      <c r="BT1468" s="4"/>
      <c r="BU1468" s="4"/>
    </row>
    <row r="1469" spans="29:73" s="1" customFormat="1" x14ac:dyDescent="0.25">
      <c r="AC1469" s="4"/>
      <c r="AD1469" s="4"/>
      <c r="AE1469" s="4"/>
      <c r="AF1469" s="4"/>
      <c r="AG1469" s="4"/>
      <c r="AH1469" s="4"/>
      <c r="AI1469" s="4"/>
      <c r="AJ1469" s="4"/>
      <c r="AK1469" s="4"/>
      <c r="AL1469" s="4"/>
      <c r="AM1469" s="4"/>
      <c r="AN1469" s="4"/>
      <c r="AO1469" s="4"/>
      <c r="AP1469" s="4"/>
      <c r="AQ1469" s="4"/>
      <c r="AR1469" s="4"/>
      <c r="AS1469" s="4"/>
      <c r="AT1469" s="4"/>
      <c r="AU1469" s="4"/>
      <c r="AV1469" s="4"/>
      <c r="AW1469" s="4"/>
      <c r="AX1469" s="4"/>
      <c r="AY1469" s="4"/>
      <c r="AZ1469" s="4"/>
      <c r="BA1469" s="4"/>
      <c r="BB1469" s="4"/>
      <c r="BC1469" s="4"/>
      <c r="BD1469" s="4"/>
      <c r="BE1469" s="4"/>
      <c r="BF1469" s="4"/>
      <c r="BG1469" s="4"/>
      <c r="BH1469" s="4"/>
      <c r="BI1469" s="4"/>
      <c r="BJ1469" s="4"/>
      <c r="BK1469" s="4"/>
      <c r="BL1469" s="4"/>
      <c r="BM1469" s="4"/>
      <c r="BN1469" s="4"/>
      <c r="BO1469" s="4"/>
      <c r="BP1469" s="4"/>
      <c r="BQ1469" s="4"/>
      <c r="BR1469" s="4"/>
      <c r="BS1469" s="4"/>
      <c r="BT1469" s="4"/>
      <c r="BU1469" s="4"/>
    </row>
    <row r="1470" spans="29:73" s="1" customFormat="1" x14ac:dyDescent="0.25">
      <c r="AC1470" s="4"/>
      <c r="AD1470" s="4"/>
      <c r="AE1470" s="4"/>
      <c r="AF1470" s="4"/>
      <c r="AG1470" s="4"/>
      <c r="AH1470" s="4"/>
      <c r="AI1470" s="4"/>
      <c r="AJ1470" s="4"/>
      <c r="AK1470" s="4"/>
      <c r="AL1470" s="4"/>
      <c r="AM1470" s="4"/>
      <c r="AN1470" s="4"/>
      <c r="AO1470" s="4"/>
      <c r="AP1470" s="4"/>
      <c r="AQ1470" s="4"/>
      <c r="AR1470" s="4"/>
      <c r="AS1470" s="4"/>
      <c r="AT1470" s="4"/>
      <c r="AU1470" s="4"/>
      <c r="AV1470" s="4"/>
      <c r="AW1470" s="4"/>
      <c r="AX1470" s="4"/>
      <c r="AY1470" s="4"/>
      <c r="AZ1470" s="4"/>
      <c r="BA1470" s="4"/>
      <c r="BB1470" s="4"/>
      <c r="BC1470" s="4"/>
      <c r="BD1470" s="4"/>
      <c r="BE1470" s="4"/>
      <c r="BF1470" s="4"/>
      <c r="BG1470" s="4"/>
      <c r="BH1470" s="4"/>
      <c r="BI1470" s="4"/>
      <c r="BJ1470" s="4"/>
      <c r="BK1470" s="4"/>
      <c r="BL1470" s="4"/>
      <c r="BM1470" s="4"/>
      <c r="BN1470" s="4"/>
      <c r="BO1470" s="4"/>
      <c r="BP1470" s="4"/>
      <c r="BQ1470" s="4"/>
      <c r="BR1470" s="4"/>
      <c r="BS1470" s="4"/>
      <c r="BT1470" s="4"/>
      <c r="BU1470" s="4"/>
    </row>
    <row r="1471" spans="29:73" s="1" customFormat="1" x14ac:dyDescent="0.25">
      <c r="AC1471" s="4"/>
      <c r="AD1471" s="4"/>
      <c r="AE1471" s="4"/>
      <c r="AF1471" s="4"/>
      <c r="AG1471" s="4"/>
      <c r="AH1471" s="4"/>
      <c r="AI1471" s="4"/>
      <c r="AJ1471" s="4"/>
      <c r="AK1471" s="4"/>
      <c r="AL1471" s="4"/>
      <c r="AM1471" s="4"/>
      <c r="AN1471" s="4"/>
      <c r="AO1471" s="4"/>
      <c r="AP1471" s="4"/>
      <c r="AQ1471" s="4"/>
      <c r="AR1471" s="4"/>
      <c r="AS1471" s="4"/>
      <c r="AT1471" s="4"/>
      <c r="AU1471" s="4"/>
      <c r="AV1471" s="4"/>
      <c r="AW1471" s="4"/>
      <c r="AX1471" s="4"/>
      <c r="AY1471" s="4"/>
      <c r="AZ1471" s="4"/>
      <c r="BA1471" s="4"/>
      <c r="BB1471" s="4"/>
      <c r="BC1471" s="4"/>
      <c r="BD1471" s="4"/>
      <c r="BE1471" s="4"/>
      <c r="BF1471" s="4"/>
      <c r="BG1471" s="4"/>
      <c r="BH1471" s="4"/>
      <c r="BI1471" s="4"/>
      <c r="BJ1471" s="4"/>
      <c r="BK1471" s="4"/>
      <c r="BL1471" s="4"/>
      <c r="BM1471" s="4"/>
      <c r="BN1471" s="4"/>
      <c r="BO1471" s="4"/>
      <c r="BP1471" s="4"/>
      <c r="BQ1471" s="4"/>
      <c r="BR1471" s="4"/>
      <c r="BS1471" s="4"/>
      <c r="BT1471" s="4"/>
      <c r="BU1471" s="4"/>
    </row>
    <row r="1472" spans="29:73" s="1" customFormat="1" x14ac:dyDescent="0.25">
      <c r="AC1472" s="4"/>
      <c r="AD1472" s="4"/>
      <c r="AE1472" s="4"/>
      <c r="AF1472" s="4"/>
      <c r="AG1472" s="4"/>
      <c r="AH1472" s="4"/>
      <c r="AI1472" s="4"/>
      <c r="AJ1472" s="4"/>
      <c r="AK1472" s="4"/>
      <c r="AL1472" s="4"/>
      <c r="AM1472" s="4"/>
      <c r="AN1472" s="4"/>
      <c r="AO1472" s="4"/>
      <c r="AP1472" s="4"/>
      <c r="AQ1472" s="4"/>
      <c r="AR1472" s="4"/>
      <c r="AS1472" s="4"/>
      <c r="AT1472" s="4"/>
      <c r="AU1472" s="4"/>
      <c r="AV1472" s="4"/>
      <c r="AW1472" s="4"/>
      <c r="AX1472" s="4"/>
      <c r="AY1472" s="4"/>
      <c r="AZ1472" s="4"/>
      <c r="BA1472" s="4"/>
      <c r="BB1472" s="4"/>
      <c r="BC1472" s="4"/>
      <c r="BD1472" s="4"/>
      <c r="BE1472" s="4"/>
      <c r="BF1472" s="4"/>
      <c r="BG1472" s="4"/>
      <c r="BH1472" s="4"/>
      <c r="BI1472" s="4"/>
      <c r="BJ1472" s="4"/>
      <c r="BK1472" s="4"/>
      <c r="BL1472" s="4"/>
      <c r="BM1472" s="4"/>
      <c r="BN1472" s="4"/>
      <c r="BO1472" s="4"/>
      <c r="BP1472" s="4"/>
      <c r="BQ1472" s="4"/>
      <c r="BR1472" s="4"/>
      <c r="BS1472" s="4"/>
      <c r="BT1472" s="4"/>
      <c r="BU1472" s="4"/>
    </row>
    <row r="1473" spans="29:73" s="1" customFormat="1" x14ac:dyDescent="0.25">
      <c r="AC1473" s="4"/>
      <c r="AD1473" s="4"/>
      <c r="AE1473" s="4"/>
      <c r="AF1473" s="4"/>
      <c r="AG1473" s="4"/>
      <c r="AH1473" s="4"/>
      <c r="AI1473" s="4"/>
      <c r="AJ1473" s="4"/>
      <c r="AK1473" s="4"/>
      <c r="AL1473" s="4"/>
      <c r="AM1473" s="4"/>
      <c r="AN1473" s="4"/>
      <c r="AO1473" s="4"/>
      <c r="AP1473" s="4"/>
      <c r="AQ1473" s="4"/>
      <c r="AR1473" s="4"/>
      <c r="AS1473" s="4"/>
      <c r="AT1473" s="4"/>
      <c r="AU1473" s="4"/>
      <c r="AV1473" s="4"/>
      <c r="AW1473" s="4"/>
      <c r="AX1473" s="4"/>
      <c r="AY1473" s="4"/>
      <c r="AZ1473" s="4"/>
      <c r="BA1473" s="4"/>
      <c r="BB1473" s="4"/>
      <c r="BC1473" s="4"/>
      <c r="BD1473" s="4"/>
      <c r="BE1473" s="4"/>
      <c r="BF1473" s="4"/>
      <c r="BG1473" s="4"/>
      <c r="BH1473" s="4"/>
      <c r="BI1473" s="4"/>
      <c r="BJ1473" s="4"/>
      <c r="BK1473" s="4"/>
      <c r="BL1473" s="4"/>
      <c r="BM1473" s="4"/>
      <c r="BN1473" s="4"/>
      <c r="BO1473" s="4"/>
      <c r="BP1473" s="4"/>
      <c r="BQ1473" s="4"/>
      <c r="BR1473" s="4"/>
      <c r="BS1473" s="4"/>
      <c r="BT1473" s="4"/>
      <c r="BU1473" s="4"/>
    </row>
    <row r="1474" spans="29:73" s="1" customFormat="1" x14ac:dyDescent="0.25">
      <c r="AC1474" s="4"/>
      <c r="AD1474" s="4"/>
      <c r="AE1474" s="4"/>
      <c r="AF1474" s="4"/>
      <c r="AG1474" s="4"/>
      <c r="AH1474" s="4"/>
      <c r="AI1474" s="4"/>
      <c r="AJ1474" s="4"/>
      <c r="AK1474" s="4"/>
      <c r="AL1474" s="4"/>
      <c r="AM1474" s="4"/>
      <c r="AN1474" s="4"/>
      <c r="AO1474" s="4"/>
      <c r="AP1474" s="4"/>
      <c r="AQ1474" s="4"/>
      <c r="AR1474" s="4"/>
      <c r="AS1474" s="4"/>
      <c r="AT1474" s="4"/>
      <c r="AU1474" s="4"/>
      <c r="AV1474" s="4"/>
      <c r="AW1474" s="4"/>
      <c r="AX1474" s="4"/>
      <c r="AY1474" s="4"/>
      <c r="AZ1474" s="4"/>
      <c r="BA1474" s="4"/>
      <c r="BB1474" s="4"/>
      <c r="BC1474" s="4"/>
      <c r="BD1474" s="4"/>
      <c r="BE1474" s="4"/>
      <c r="BF1474" s="4"/>
      <c r="BG1474" s="4"/>
      <c r="BH1474" s="4"/>
      <c r="BI1474" s="4"/>
      <c r="BJ1474" s="4"/>
      <c r="BK1474" s="4"/>
      <c r="BL1474" s="4"/>
      <c r="BM1474" s="4"/>
      <c r="BN1474" s="4"/>
      <c r="BO1474" s="4"/>
      <c r="BP1474" s="4"/>
      <c r="BQ1474" s="4"/>
      <c r="BR1474" s="4"/>
      <c r="BS1474" s="4"/>
      <c r="BT1474" s="4"/>
      <c r="BU1474" s="4"/>
    </row>
    <row r="1475" spans="29:73" s="1" customFormat="1" x14ac:dyDescent="0.25">
      <c r="AC1475" s="4"/>
      <c r="AD1475" s="4"/>
      <c r="AE1475" s="4"/>
      <c r="AF1475" s="4"/>
      <c r="AG1475" s="4"/>
      <c r="AH1475" s="4"/>
      <c r="AI1475" s="4"/>
      <c r="AJ1475" s="4"/>
      <c r="AK1475" s="4"/>
      <c r="AL1475" s="4"/>
      <c r="AM1475" s="4"/>
      <c r="AN1475" s="4"/>
      <c r="AO1475" s="4"/>
      <c r="AP1475" s="4"/>
      <c r="AQ1475" s="4"/>
      <c r="AR1475" s="4"/>
      <c r="AS1475" s="4"/>
      <c r="AT1475" s="4"/>
      <c r="AU1475" s="4"/>
      <c r="AV1475" s="4"/>
      <c r="AW1475" s="4"/>
      <c r="AX1475" s="4"/>
      <c r="AY1475" s="4"/>
      <c r="AZ1475" s="4"/>
      <c r="BA1475" s="4"/>
      <c r="BB1475" s="4"/>
      <c r="BC1475" s="4"/>
      <c r="BD1475" s="4"/>
      <c r="BE1475" s="4"/>
      <c r="BF1475" s="4"/>
      <c r="BG1475" s="4"/>
      <c r="BH1475" s="4"/>
      <c r="BI1475" s="4"/>
      <c r="BJ1475" s="4"/>
      <c r="BK1475" s="4"/>
      <c r="BL1475" s="4"/>
      <c r="BM1475" s="4"/>
      <c r="BN1475" s="4"/>
      <c r="BO1475" s="4"/>
      <c r="BP1475" s="4"/>
      <c r="BQ1475" s="4"/>
      <c r="BR1475" s="4"/>
      <c r="BS1475" s="4"/>
      <c r="BT1475" s="4"/>
      <c r="BU1475" s="4"/>
    </row>
    <row r="1476" spans="29:73" s="1" customFormat="1" x14ac:dyDescent="0.25">
      <c r="AC1476" s="4"/>
      <c r="AD1476" s="4"/>
      <c r="AE1476" s="4"/>
      <c r="AF1476" s="4"/>
      <c r="AG1476" s="4"/>
      <c r="AH1476" s="4"/>
      <c r="AI1476" s="4"/>
      <c r="AJ1476" s="4"/>
      <c r="AK1476" s="4"/>
      <c r="AL1476" s="4"/>
      <c r="AM1476" s="4"/>
      <c r="AN1476" s="4"/>
      <c r="AO1476" s="4"/>
      <c r="AP1476" s="4"/>
      <c r="AQ1476" s="4"/>
      <c r="AR1476" s="4"/>
      <c r="AS1476" s="4"/>
      <c r="AT1476" s="4"/>
      <c r="AU1476" s="4"/>
      <c r="AV1476" s="4"/>
      <c r="AW1476" s="4"/>
      <c r="AX1476" s="4"/>
      <c r="AY1476" s="4"/>
      <c r="AZ1476" s="4"/>
      <c r="BA1476" s="4"/>
      <c r="BB1476" s="4"/>
      <c r="BC1476" s="4"/>
      <c r="BD1476" s="4"/>
      <c r="BE1476" s="4"/>
      <c r="BF1476" s="4"/>
      <c r="BG1476" s="4"/>
      <c r="BH1476" s="4"/>
      <c r="BI1476" s="4"/>
      <c r="BJ1476" s="4"/>
      <c r="BK1476" s="4"/>
      <c r="BL1476" s="4"/>
      <c r="BM1476" s="4"/>
      <c r="BN1476" s="4"/>
      <c r="BO1476" s="4"/>
      <c r="BP1476" s="4"/>
      <c r="BQ1476" s="4"/>
      <c r="BR1476" s="4"/>
      <c r="BS1476" s="4"/>
      <c r="BT1476" s="4"/>
      <c r="BU1476" s="4"/>
    </row>
    <row r="1477" spans="29:73" s="1" customFormat="1" x14ac:dyDescent="0.25">
      <c r="AC1477" s="4"/>
      <c r="AD1477" s="4"/>
      <c r="AE1477" s="4"/>
      <c r="AF1477" s="4"/>
      <c r="AG1477" s="4"/>
      <c r="AH1477" s="4"/>
      <c r="AI1477" s="4"/>
      <c r="AJ1477" s="4"/>
      <c r="AK1477" s="4"/>
      <c r="AL1477" s="4"/>
      <c r="AM1477" s="4"/>
      <c r="AN1477" s="4"/>
      <c r="AO1477" s="4"/>
      <c r="AP1477" s="4"/>
      <c r="AQ1477" s="4"/>
      <c r="AR1477" s="4"/>
      <c r="AS1477" s="4"/>
      <c r="AT1477" s="4"/>
      <c r="AU1477" s="4"/>
      <c r="AV1477" s="4"/>
      <c r="AW1477" s="4"/>
      <c r="AX1477" s="4"/>
      <c r="AY1477" s="4"/>
      <c r="AZ1477" s="4"/>
      <c r="BA1477" s="4"/>
      <c r="BB1477" s="4"/>
      <c r="BC1477" s="4"/>
      <c r="BD1477" s="4"/>
      <c r="BE1477" s="4"/>
      <c r="BF1477" s="4"/>
      <c r="BG1477" s="4"/>
      <c r="BH1477" s="4"/>
      <c r="BI1477" s="4"/>
      <c r="BJ1477" s="4"/>
      <c r="BK1477" s="4"/>
      <c r="BL1477" s="4"/>
      <c r="BM1477" s="4"/>
      <c r="BN1477" s="4"/>
      <c r="BO1477" s="4"/>
      <c r="BP1477" s="4"/>
      <c r="BQ1477" s="4"/>
      <c r="BR1477" s="4"/>
      <c r="BS1477" s="4"/>
      <c r="BT1477" s="4"/>
      <c r="BU1477" s="4"/>
    </row>
    <row r="1478" spans="29:73" s="1" customFormat="1" x14ac:dyDescent="0.25">
      <c r="AC1478" s="4"/>
      <c r="AD1478" s="4"/>
      <c r="AE1478" s="4"/>
      <c r="AF1478" s="4"/>
      <c r="AG1478" s="4"/>
      <c r="AH1478" s="4"/>
      <c r="AI1478" s="4"/>
      <c r="AJ1478" s="4"/>
      <c r="AK1478" s="4"/>
      <c r="AL1478" s="4"/>
      <c r="AM1478" s="4"/>
      <c r="AN1478" s="4"/>
      <c r="AO1478" s="4"/>
      <c r="AP1478" s="4"/>
      <c r="AQ1478" s="4"/>
      <c r="AR1478" s="4"/>
      <c r="AS1478" s="4"/>
      <c r="AT1478" s="4"/>
      <c r="AU1478" s="4"/>
      <c r="AV1478" s="4"/>
      <c r="AW1478" s="4"/>
      <c r="AX1478" s="4"/>
      <c r="AY1478" s="4"/>
      <c r="AZ1478" s="4"/>
      <c r="BA1478" s="4"/>
      <c r="BB1478" s="4"/>
      <c r="BC1478" s="4"/>
      <c r="BD1478" s="4"/>
      <c r="BE1478" s="4"/>
      <c r="BF1478" s="4"/>
      <c r="BG1478" s="4"/>
      <c r="BH1478" s="4"/>
      <c r="BI1478" s="4"/>
      <c r="BJ1478" s="4"/>
      <c r="BK1478" s="4"/>
      <c r="BL1478" s="4"/>
      <c r="BM1478" s="4"/>
      <c r="BN1478" s="4"/>
      <c r="BO1478" s="4"/>
      <c r="BP1478" s="4"/>
      <c r="BQ1478" s="4"/>
      <c r="BR1478" s="4"/>
      <c r="BS1478" s="4"/>
      <c r="BT1478" s="4"/>
      <c r="BU1478" s="4"/>
    </row>
    <row r="1479" spans="29:73" s="1" customFormat="1" x14ac:dyDescent="0.25">
      <c r="AC1479" s="4"/>
      <c r="AD1479" s="4"/>
      <c r="AE1479" s="4"/>
      <c r="AF1479" s="4"/>
      <c r="AG1479" s="4"/>
      <c r="AH1479" s="4"/>
      <c r="AI1479" s="4"/>
      <c r="AJ1479" s="4"/>
      <c r="AK1479" s="4"/>
      <c r="AL1479" s="4"/>
      <c r="AM1479" s="4"/>
      <c r="AN1479" s="4"/>
      <c r="AO1479" s="4"/>
      <c r="AP1479" s="4"/>
      <c r="AQ1479" s="4"/>
      <c r="AR1479" s="4"/>
      <c r="AS1479" s="4"/>
      <c r="AT1479" s="4"/>
      <c r="AU1479" s="4"/>
      <c r="AV1479" s="4"/>
      <c r="AW1479" s="4"/>
      <c r="AX1479" s="4"/>
      <c r="AY1479" s="4"/>
      <c r="AZ1479" s="4"/>
      <c r="BA1479" s="4"/>
      <c r="BB1479" s="4"/>
      <c r="BC1479" s="4"/>
      <c r="BD1479" s="4"/>
      <c r="BE1479" s="4"/>
      <c r="BF1479" s="4"/>
      <c r="BG1479" s="4"/>
      <c r="BH1479" s="4"/>
      <c r="BI1479" s="4"/>
      <c r="BJ1479" s="4"/>
      <c r="BK1479" s="4"/>
      <c r="BL1479" s="4"/>
      <c r="BM1479" s="4"/>
      <c r="BN1479" s="4"/>
      <c r="BO1479" s="4"/>
      <c r="BP1479" s="4"/>
      <c r="BQ1479" s="4"/>
      <c r="BR1479" s="4"/>
      <c r="BS1479" s="4"/>
      <c r="BT1479" s="4"/>
      <c r="BU1479" s="4"/>
    </row>
    <row r="1480" spans="29:73" s="1" customFormat="1" x14ac:dyDescent="0.25">
      <c r="AC1480" s="4"/>
      <c r="AD1480" s="4"/>
      <c r="AE1480" s="4"/>
      <c r="AF1480" s="4"/>
      <c r="AG1480" s="4"/>
      <c r="AH1480" s="4"/>
      <c r="AI1480" s="4"/>
      <c r="AJ1480" s="4"/>
      <c r="AK1480" s="4"/>
      <c r="AL1480" s="4"/>
      <c r="AM1480" s="4"/>
      <c r="AN1480" s="4"/>
      <c r="AO1480" s="4"/>
      <c r="AP1480" s="4"/>
      <c r="AQ1480" s="4"/>
      <c r="AR1480" s="4"/>
      <c r="AS1480" s="4"/>
      <c r="AT1480" s="4"/>
      <c r="AU1480" s="4"/>
      <c r="AV1480" s="4"/>
      <c r="AW1480" s="4"/>
      <c r="AX1480" s="4"/>
      <c r="AY1480" s="4"/>
      <c r="AZ1480" s="4"/>
      <c r="BA1480" s="4"/>
      <c r="BB1480" s="4"/>
      <c r="BC1480" s="4"/>
      <c r="BD1480" s="4"/>
      <c r="BE1480" s="4"/>
      <c r="BF1480" s="4"/>
      <c r="BG1480" s="4"/>
      <c r="BH1480" s="4"/>
      <c r="BI1480" s="4"/>
      <c r="BJ1480" s="4"/>
      <c r="BK1480" s="4"/>
      <c r="BL1480" s="4"/>
      <c r="BM1480" s="4"/>
      <c r="BN1480" s="4"/>
      <c r="BO1480" s="4"/>
      <c r="BP1480" s="4"/>
      <c r="BQ1480" s="4"/>
      <c r="BR1480" s="4"/>
      <c r="BS1480" s="4"/>
      <c r="BT1480" s="4"/>
      <c r="BU1480" s="4"/>
    </row>
    <row r="1481" spans="29:73" s="1" customFormat="1" x14ac:dyDescent="0.25">
      <c r="AC1481" s="4"/>
      <c r="AD1481" s="4"/>
      <c r="AE1481" s="4"/>
      <c r="AF1481" s="4"/>
      <c r="AG1481" s="4"/>
      <c r="AH1481" s="4"/>
      <c r="AI1481" s="4"/>
      <c r="AJ1481" s="4"/>
      <c r="AK1481" s="4"/>
      <c r="AL1481" s="4"/>
      <c r="AM1481" s="4"/>
      <c r="AN1481" s="4"/>
      <c r="AO1481" s="4"/>
      <c r="AP1481" s="4"/>
      <c r="AQ1481" s="4"/>
      <c r="AR1481" s="4"/>
      <c r="AS1481" s="4"/>
      <c r="AT1481" s="4"/>
      <c r="AU1481" s="4"/>
      <c r="AV1481" s="4"/>
      <c r="AW1481" s="4"/>
      <c r="AX1481" s="4"/>
      <c r="AY1481" s="4"/>
      <c r="AZ1481" s="4"/>
      <c r="BA1481" s="4"/>
      <c r="BB1481" s="4"/>
      <c r="BC1481" s="4"/>
      <c r="BD1481" s="4"/>
      <c r="BE1481" s="4"/>
      <c r="BF1481" s="4"/>
      <c r="BG1481" s="4"/>
      <c r="BH1481" s="4"/>
      <c r="BI1481" s="4"/>
      <c r="BJ1481" s="4"/>
      <c r="BK1481" s="4"/>
      <c r="BL1481" s="4"/>
      <c r="BM1481" s="4"/>
      <c r="BN1481" s="4"/>
      <c r="BO1481" s="4"/>
      <c r="BP1481" s="4"/>
      <c r="BQ1481" s="4"/>
      <c r="BR1481" s="4"/>
      <c r="BS1481" s="4"/>
      <c r="BT1481" s="4"/>
      <c r="BU1481" s="4"/>
    </row>
    <row r="1482" spans="29:73" s="1" customFormat="1" x14ac:dyDescent="0.25">
      <c r="AC1482" s="4"/>
      <c r="AD1482" s="4"/>
      <c r="AE1482" s="4"/>
      <c r="AF1482" s="4"/>
      <c r="AG1482" s="4"/>
      <c r="AH1482" s="4"/>
      <c r="AI1482" s="4"/>
      <c r="AJ1482" s="4"/>
      <c r="AK1482" s="4"/>
      <c r="AL1482" s="4"/>
      <c r="AM1482" s="4"/>
      <c r="AN1482" s="4"/>
      <c r="AO1482" s="4"/>
      <c r="AP1482" s="4"/>
      <c r="AQ1482" s="4"/>
      <c r="AR1482" s="4"/>
      <c r="AS1482" s="4"/>
      <c r="AT1482" s="4"/>
      <c r="AU1482" s="4"/>
      <c r="AV1482" s="4"/>
      <c r="AW1482" s="4"/>
      <c r="AX1482" s="4"/>
      <c r="AY1482" s="4"/>
      <c r="AZ1482" s="4"/>
      <c r="BA1482" s="4"/>
      <c r="BB1482" s="4"/>
      <c r="BC1482" s="4"/>
      <c r="BD1482" s="4"/>
      <c r="BE1482" s="4"/>
      <c r="BF1482" s="4"/>
      <c r="BG1482" s="4"/>
      <c r="BH1482" s="4"/>
      <c r="BI1482" s="4"/>
      <c r="BJ1482" s="4"/>
      <c r="BK1482" s="4"/>
      <c r="BL1482" s="4"/>
      <c r="BM1482" s="4"/>
      <c r="BN1482" s="4"/>
      <c r="BO1482" s="4"/>
      <c r="BP1482" s="4"/>
      <c r="BQ1482" s="4"/>
      <c r="BR1482" s="4"/>
      <c r="BS1482" s="4"/>
      <c r="BT1482" s="4"/>
      <c r="BU1482" s="4"/>
    </row>
    <row r="1483" spans="29:73" s="1" customFormat="1" x14ac:dyDescent="0.25">
      <c r="AC1483" s="4"/>
      <c r="AD1483" s="4"/>
      <c r="AE1483" s="4"/>
      <c r="AF1483" s="4"/>
      <c r="AG1483" s="4"/>
      <c r="AH1483" s="4"/>
      <c r="AI1483" s="4"/>
      <c r="AJ1483" s="4"/>
      <c r="AK1483" s="4"/>
      <c r="AL1483" s="4"/>
      <c r="AM1483" s="4"/>
      <c r="AN1483" s="4"/>
      <c r="AO1483" s="4"/>
      <c r="AP1483" s="4"/>
      <c r="AQ1483" s="4"/>
      <c r="AR1483" s="4"/>
      <c r="AS1483" s="4"/>
      <c r="AT1483" s="4"/>
      <c r="AU1483" s="4"/>
      <c r="AV1483" s="4"/>
      <c r="AW1483" s="4"/>
      <c r="AX1483" s="4"/>
      <c r="AY1483" s="4"/>
      <c r="AZ1483" s="4"/>
      <c r="BA1483" s="4"/>
      <c r="BB1483" s="4"/>
      <c r="BC1483" s="4"/>
      <c r="BD1483" s="4"/>
      <c r="BE1483" s="4"/>
      <c r="BF1483" s="4"/>
      <c r="BG1483" s="4"/>
      <c r="BH1483" s="4"/>
      <c r="BI1483" s="4"/>
      <c r="BJ1483" s="4"/>
      <c r="BK1483" s="4"/>
      <c r="BL1483" s="4"/>
      <c r="BM1483" s="4"/>
      <c r="BN1483" s="4"/>
      <c r="BO1483" s="4"/>
      <c r="BP1483" s="4"/>
      <c r="BQ1483" s="4"/>
      <c r="BR1483" s="4"/>
      <c r="BS1483" s="4"/>
      <c r="BT1483" s="4"/>
      <c r="BU1483" s="4"/>
    </row>
    <row r="1484" spans="29:73" s="1" customFormat="1" x14ac:dyDescent="0.25">
      <c r="AC1484" s="4"/>
      <c r="AD1484" s="4"/>
      <c r="AE1484" s="4"/>
      <c r="AF1484" s="4"/>
      <c r="AG1484" s="4"/>
      <c r="AH1484" s="4"/>
      <c r="AI1484" s="4"/>
      <c r="AJ1484" s="4"/>
      <c r="AK1484" s="4"/>
      <c r="AL1484" s="4"/>
      <c r="AM1484" s="4"/>
      <c r="AN1484" s="4"/>
      <c r="AO1484" s="4"/>
      <c r="AP1484" s="4"/>
      <c r="AQ1484" s="4"/>
      <c r="AR1484" s="4"/>
      <c r="AS1484" s="4"/>
      <c r="AT1484" s="4"/>
      <c r="AU1484" s="4"/>
      <c r="AV1484" s="4"/>
      <c r="AW1484" s="4"/>
      <c r="AX1484" s="4"/>
      <c r="AY1484" s="4"/>
      <c r="AZ1484" s="4"/>
      <c r="BA1484" s="4"/>
      <c r="BB1484" s="4"/>
      <c r="BC1484" s="4"/>
      <c r="BD1484" s="4"/>
      <c r="BE1484" s="4"/>
      <c r="BF1484" s="4"/>
      <c r="BG1484" s="4"/>
      <c r="BH1484" s="4"/>
      <c r="BI1484" s="4"/>
      <c r="BJ1484" s="4"/>
      <c r="BK1484" s="4"/>
      <c r="BL1484" s="4"/>
      <c r="BM1484" s="4"/>
      <c r="BN1484" s="4"/>
      <c r="BO1484" s="4"/>
      <c r="BP1484" s="4"/>
      <c r="BQ1484" s="4"/>
      <c r="BR1484" s="4"/>
      <c r="BS1484" s="4"/>
      <c r="BT1484" s="4"/>
      <c r="BU1484" s="4"/>
    </row>
    <row r="1485" spans="29:73" s="1" customFormat="1" x14ac:dyDescent="0.25">
      <c r="AC1485" s="4"/>
      <c r="AD1485" s="4"/>
      <c r="AE1485" s="4"/>
      <c r="AF1485" s="4"/>
      <c r="AG1485" s="4"/>
      <c r="AH1485" s="4"/>
      <c r="AI1485" s="4"/>
      <c r="AJ1485" s="4"/>
      <c r="AK1485" s="4"/>
      <c r="AL1485" s="4"/>
      <c r="AM1485" s="4"/>
      <c r="AN1485" s="4"/>
      <c r="AO1485" s="4"/>
      <c r="AP1485" s="4"/>
      <c r="AQ1485" s="4"/>
      <c r="AR1485" s="4"/>
      <c r="AS1485" s="4"/>
      <c r="AT1485" s="4"/>
      <c r="AU1485" s="4"/>
      <c r="AV1485" s="4"/>
      <c r="AW1485" s="4"/>
      <c r="AX1485" s="4"/>
      <c r="AY1485" s="4"/>
      <c r="AZ1485" s="4"/>
      <c r="BA1485" s="4"/>
      <c r="BB1485" s="4"/>
      <c r="BC1485" s="4"/>
      <c r="BD1485" s="4"/>
      <c r="BE1485" s="4"/>
      <c r="BF1485" s="4"/>
      <c r="BG1485" s="4"/>
      <c r="BH1485" s="4"/>
      <c r="BI1485" s="4"/>
      <c r="BJ1485" s="4"/>
      <c r="BK1485" s="4"/>
      <c r="BL1485" s="4"/>
      <c r="BM1485" s="4"/>
      <c r="BN1485" s="4"/>
      <c r="BO1485" s="4"/>
      <c r="BP1485" s="4"/>
      <c r="BQ1485" s="4"/>
      <c r="BR1485" s="4"/>
      <c r="BS1485" s="4"/>
      <c r="BT1485" s="4"/>
      <c r="BU1485" s="4"/>
    </row>
    <row r="1486" spans="29:73" s="1" customFormat="1" x14ac:dyDescent="0.25">
      <c r="AC1486" s="4"/>
      <c r="AD1486" s="4"/>
      <c r="AE1486" s="4"/>
      <c r="AF1486" s="4"/>
      <c r="AG1486" s="4"/>
      <c r="AH1486" s="4"/>
      <c r="AI1486" s="4"/>
      <c r="AJ1486" s="4"/>
      <c r="AK1486" s="4"/>
      <c r="AL1486" s="4"/>
      <c r="AM1486" s="4"/>
      <c r="AN1486" s="4"/>
      <c r="AO1486" s="4"/>
      <c r="AP1486" s="4"/>
      <c r="AQ1486" s="4"/>
      <c r="AR1486" s="4"/>
      <c r="AS1486" s="4"/>
      <c r="AT1486" s="4"/>
      <c r="AU1486" s="4"/>
      <c r="AV1486" s="4"/>
      <c r="AW1486" s="4"/>
      <c r="AX1486" s="4"/>
      <c r="AY1486" s="4"/>
      <c r="AZ1486" s="4"/>
      <c r="BA1486" s="4"/>
      <c r="BB1486" s="4"/>
      <c r="BC1486" s="4"/>
      <c r="BD1486" s="4"/>
      <c r="BE1486" s="4"/>
      <c r="BF1486" s="4"/>
      <c r="BG1486" s="4"/>
      <c r="BH1486" s="4"/>
      <c r="BI1486" s="4"/>
      <c r="BJ1486" s="4"/>
      <c r="BK1486" s="4"/>
      <c r="BL1486" s="4"/>
      <c r="BM1486" s="4"/>
      <c r="BN1486" s="4"/>
      <c r="BO1486" s="4"/>
      <c r="BP1486" s="4"/>
      <c r="BQ1486" s="4"/>
      <c r="BR1486" s="4"/>
      <c r="BS1486" s="4"/>
      <c r="BT1486" s="4"/>
      <c r="BU1486" s="4"/>
    </row>
    <row r="1487" spans="29:73" s="1" customFormat="1" x14ac:dyDescent="0.25">
      <c r="AC1487" s="4"/>
      <c r="AD1487" s="4"/>
      <c r="AE1487" s="4"/>
      <c r="AF1487" s="4"/>
      <c r="AG1487" s="4"/>
      <c r="AH1487" s="4"/>
      <c r="AI1487" s="4"/>
      <c r="AJ1487" s="4"/>
      <c r="AK1487" s="4"/>
      <c r="AL1487" s="4"/>
      <c r="AM1487" s="4"/>
      <c r="AN1487" s="4"/>
      <c r="AO1487" s="4"/>
      <c r="AP1487" s="4"/>
      <c r="AQ1487" s="4"/>
      <c r="AR1487" s="4"/>
      <c r="AS1487" s="4"/>
      <c r="AT1487" s="4"/>
      <c r="AU1487" s="4"/>
      <c r="AV1487" s="4"/>
      <c r="AW1487" s="4"/>
      <c r="AX1487" s="4"/>
      <c r="AY1487" s="4"/>
      <c r="AZ1487" s="4"/>
      <c r="BA1487" s="4"/>
      <c r="BB1487" s="4"/>
      <c r="BC1487" s="4"/>
      <c r="BD1487" s="4"/>
      <c r="BE1487" s="4"/>
      <c r="BF1487" s="4"/>
      <c r="BG1487" s="4"/>
      <c r="BH1487" s="4"/>
      <c r="BI1487" s="4"/>
      <c r="BJ1487" s="4"/>
      <c r="BK1487" s="4"/>
      <c r="BL1487" s="4"/>
      <c r="BM1487" s="4"/>
      <c r="BN1487" s="4"/>
      <c r="BO1487" s="4"/>
      <c r="BP1487" s="4"/>
      <c r="BQ1487" s="4"/>
      <c r="BR1487" s="4"/>
      <c r="BS1487" s="4"/>
      <c r="BT1487" s="4"/>
      <c r="BU1487" s="4"/>
    </row>
    <row r="1488" spans="29:73" s="1" customFormat="1" x14ac:dyDescent="0.25">
      <c r="AC1488" s="4"/>
      <c r="AD1488" s="4"/>
      <c r="AE1488" s="4"/>
      <c r="AF1488" s="4"/>
      <c r="AG1488" s="4"/>
      <c r="AH1488" s="4"/>
      <c r="AI1488" s="4"/>
      <c r="AJ1488" s="4"/>
      <c r="AK1488" s="4"/>
      <c r="AL1488" s="4"/>
      <c r="AM1488" s="4"/>
      <c r="AN1488" s="4"/>
      <c r="AO1488" s="4"/>
      <c r="AP1488" s="4"/>
      <c r="AQ1488" s="4"/>
      <c r="AR1488" s="4"/>
      <c r="AS1488" s="4"/>
      <c r="AT1488" s="4"/>
      <c r="AU1488" s="4"/>
      <c r="AV1488" s="4"/>
      <c r="AW1488" s="4"/>
      <c r="AX1488" s="4"/>
      <c r="AY1488" s="4"/>
      <c r="AZ1488" s="4"/>
      <c r="BA1488" s="4"/>
      <c r="BB1488" s="4"/>
      <c r="BC1488" s="4"/>
      <c r="BD1488" s="4"/>
      <c r="BE1488" s="4"/>
      <c r="BF1488" s="4"/>
      <c r="BG1488" s="4"/>
      <c r="BH1488" s="4"/>
      <c r="BI1488" s="4"/>
      <c r="BJ1488" s="4"/>
      <c r="BK1488" s="4"/>
      <c r="BL1488" s="4"/>
      <c r="BM1488" s="4"/>
      <c r="BN1488" s="4"/>
      <c r="BO1488" s="4"/>
      <c r="BP1488" s="4"/>
      <c r="BQ1488" s="4"/>
      <c r="BR1488" s="4"/>
      <c r="BS1488" s="4"/>
      <c r="BT1488" s="4"/>
      <c r="BU1488" s="4"/>
    </row>
    <row r="1489" spans="29:73" s="1" customFormat="1" x14ac:dyDescent="0.25">
      <c r="AC1489" s="4"/>
      <c r="AD1489" s="4"/>
      <c r="AE1489" s="4"/>
      <c r="AF1489" s="4"/>
      <c r="AG1489" s="4"/>
      <c r="AH1489" s="4"/>
      <c r="AI1489" s="4"/>
      <c r="AJ1489" s="4"/>
      <c r="AK1489" s="4"/>
      <c r="AL1489" s="4"/>
      <c r="AM1489" s="4"/>
      <c r="AN1489" s="4"/>
      <c r="AO1489" s="4"/>
      <c r="AP1489" s="4"/>
      <c r="AQ1489" s="4"/>
      <c r="AR1489" s="4"/>
      <c r="AS1489" s="4"/>
      <c r="AT1489" s="4"/>
      <c r="AU1489" s="4"/>
      <c r="AV1489" s="4"/>
      <c r="AW1489" s="4"/>
      <c r="AX1489" s="4"/>
      <c r="AY1489" s="4"/>
      <c r="AZ1489" s="4"/>
      <c r="BA1489" s="4"/>
      <c r="BB1489" s="4"/>
      <c r="BC1489" s="4"/>
      <c r="BD1489" s="4"/>
      <c r="BE1489" s="4"/>
      <c r="BF1489" s="4"/>
      <c r="BG1489" s="4"/>
      <c r="BH1489" s="4"/>
      <c r="BI1489" s="4"/>
      <c r="BJ1489" s="4"/>
      <c r="BK1489" s="4"/>
      <c r="BL1489" s="4"/>
      <c r="BM1489" s="4"/>
      <c r="BN1489" s="4"/>
      <c r="BO1489" s="4"/>
      <c r="BP1489" s="4"/>
      <c r="BQ1489" s="4"/>
      <c r="BR1489" s="4"/>
      <c r="BS1489" s="4"/>
      <c r="BT1489" s="4"/>
      <c r="BU1489" s="4"/>
    </row>
    <row r="1490" spans="29:73" s="1" customFormat="1" x14ac:dyDescent="0.25">
      <c r="AC1490" s="4"/>
      <c r="AD1490" s="4"/>
      <c r="AE1490" s="4"/>
      <c r="AF1490" s="4"/>
      <c r="AG1490" s="4"/>
      <c r="AH1490" s="4"/>
      <c r="AI1490" s="4"/>
      <c r="AJ1490" s="4"/>
      <c r="AK1490" s="4"/>
      <c r="AL1490" s="4"/>
      <c r="AM1490" s="4"/>
      <c r="AN1490" s="4"/>
      <c r="AO1490" s="4"/>
      <c r="AP1490" s="4"/>
      <c r="AQ1490" s="4"/>
      <c r="AR1490" s="4"/>
      <c r="AS1490" s="4"/>
      <c r="AT1490" s="4"/>
      <c r="AU1490" s="4"/>
      <c r="AV1490" s="4"/>
      <c r="AW1490" s="4"/>
      <c r="AX1490" s="4"/>
      <c r="AY1490" s="4"/>
      <c r="AZ1490" s="4"/>
      <c r="BA1490" s="4"/>
      <c r="BB1490" s="4"/>
      <c r="BC1490" s="4"/>
      <c r="BD1490" s="4"/>
      <c r="BE1490" s="4"/>
      <c r="BF1490" s="4"/>
      <c r="BG1490" s="4"/>
      <c r="BH1490" s="4"/>
      <c r="BI1490" s="4"/>
      <c r="BJ1490" s="4"/>
      <c r="BK1490" s="4"/>
      <c r="BL1490" s="4"/>
      <c r="BM1490" s="4"/>
      <c r="BN1490" s="4"/>
      <c r="BO1490" s="4"/>
      <c r="BP1490" s="4"/>
      <c r="BQ1490" s="4"/>
      <c r="BR1490" s="4"/>
      <c r="BS1490" s="4"/>
      <c r="BT1490" s="4"/>
      <c r="BU1490" s="4"/>
    </row>
    <row r="1491" spans="29:73" s="1" customFormat="1" x14ac:dyDescent="0.25">
      <c r="AC1491" s="4"/>
      <c r="AD1491" s="4"/>
      <c r="AE1491" s="4"/>
      <c r="AF1491" s="4"/>
      <c r="AG1491" s="4"/>
      <c r="AH1491" s="4"/>
      <c r="AI1491" s="4"/>
      <c r="AJ1491" s="4"/>
      <c r="AK1491" s="4"/>
      <c r="AL1491" s="4"/>
      <c r="AM1491" s="4"/>
      <c r="AN1491" s="4"/>
      <c r="AO1491" s="4"/>
      <c r="AP1491" s="4"/>
      <c r="AQ1491" s="4"/>
      <c r="AR1491" s="4"/>
      <c r="AS1491" s="4"/>
      <c r="AT1491" s="4"/>
      <c r="AU1491" s="4"/>
      <c r="AV1491" s="4"/>
      <c r="AW1491" s="4"/>
      <c r="AX1491" s="4"/>
      <c r="AY1491" s="4"/>
      <c r="AZ1491" s="4"/>
      <c r="BA1491" s="4"/>
      <c r="BB1491" s="4"/>
      <c r="BC1491" s="4"/>
      <c r="BD1491" s="4"/>
      <c r="BE1491" s="4"/>
      <c r="BF1491" s="4"/>
      <c r="BG1491" s="4"/>
      <c r="BH1491" s="4"/>
      <c r="BI1491" s="4"/>
      <c r="BJ1491" s="4"/>
      <c r="BK1491" s="4"/>
      <c r="BL1491" s="4"/>
      <c r="BM1491" s="4"/>
      <c r="BN1491" s="4"/>
      <c r="BO1491" s="4"/>
      <c r="BP1491" s="4"/>
      <c r="BQ1491" s="4"/>
      <c r="BR1491" s="4"/>
      <c r="BS1491" s="4"/>
      <c r="BT1491" s="4"/>
      <c r="BU1491" s="4"/>
    </row>
    <row r="1492" spans="29:73" s="1" customFormat="1" x14ac:dyDescent="0.25">
      <c r="AC1492" s="4"/>
      <c r="AD1492" s="4"/>
      <c r="AE1492" s="4"/>
      <c r="AF1492" s="4"/>
      <c r="AG1492" s="4"/>
      <c r="AH1492" s="4"/>
      <c r="AI1492" s="4"/>
      <c r="AJ1492" s="4"/>
      <c r="AK1492" s="4"/>
      <c r="AL1492" s="4"/>
      <c r="AM1492" s="4"/>
      <c r="AN1492" s="4"/>
      <c r="AO1492" s="4"/>
      <c r="AP1492" s="4"/>
      <c r="AQ1492" s="4"/>
      <c r="AR1492" s="4"/>
      <c r="AS1492" s="4"/>
      <c r="AT1492" s="4"/>
      <c r="AU1492" s="4"/>
      <c r="AV1492" s="4"/>
      <c r="AW1492" s="4"/>
      <c r="AX1492" s="4"/>
      <c r="AY1492" s="4"/>
      <c r="AZ1492" s="4"/>
      <c r="BA1492" s="4"/>
      <c r="BB1492" s="4"/>
      <c r="BC1492" s="4"/>
      <c r="BD1492" s="4"/>
      <c r="BE1492" s="4"/>
      <c r="BF1492" s="4"/>
      <c r="BG1492" s="4"/>
      <c r="BH1492" s="4"/>
      <c r="BI1492" s="4"/>
      <c r="BJ1492" s="4"/>
      <c r="BK1492" s="4"/>
      <c r="BL1492" s="4"/>
      <c r="BM1492" s="4"/>
      <c r="BN1492" s="4"/>
      <c r="BO1492" s="4"/>
      <c r="BP1492" s="4"/>
      <c r="BQ1492" s="4"/>
      <c r="BR1492" s="4"/>
      <c r="BS1492" s="4"/>
      <c r="BT1492" s="4"/>
      <c r="BU1492" s="4"/>
    </row>
    <row r="1493" spans="29:73" s="1" customFormat="1" x14ac:dyDescent="0.25">
      <c r="AC1493" s="4"/>
      <c r="AD1493" s="4"/>
      <c r="AE1493" s="4"/>
      <c r="AF1493" s="4"/>
      <c r="AG1493" s="4"/>
      <c r="AH1493" s="4"/>
      <c r="AI1493" s="4"/>
      <c r="AJ1493" s="4"/>
      <c r="AK1493" s="4"/>
      <c r="AL1493" s="4"/>
      <c r="AM1493" s="4"/>
      <c r="AN1493" s="4"/>
      <c r="AO1493" s="4"/>
      <c r="AP1493" s="4"/>
      <c r="AQ1493" s="4"/>
      <c r="AR1493" s="4"/>
      <c r="AS1493" s="4"/>
      <c r="AT1493" s="4"/>
      <c r="AU1493" s="4"/>
      <c r="AV1493" s="4"/>
      <c r="AW1493" s="4"/>
      <c r="AX1493" s="4"/>
      <c r="AY1493" s="4"/>
      <c r="AZ1493" s="4"/>
      <c r="BA1493" s="4"/>
      <c r="BB1493" s="4"/>
      <c r="BC1493" s="4"/>
      <c r="BD1493" s="4"/>
      <c r="BE1493" s="4"/>
      <c r="BF1493" s="4"/>
      <c r="BG1493" s="4"/>
      <c r="BH1493" s="4"/>
      <c r="BI1493" s="4"/>
      <c r="BJ1493" s="4"/>
      <c r="BK1493" s="4"/>
      <c r="BL1493" s="4"/>
      <c r="BM1493" s="4"/>
      <c r="BN1493" s="4"/>
      <c r="BO1493" s="4"/>
      <c r="BP1493" s="4"/>
      <c r="BQ1493" s="4"/>
      <c r="BR1493" s="4"/>
      <c r="BS1493" s="4"/>
      <c r="BT1493" s="4"/>
      <c r="BU1493" s="4"/>
    </row>
    <row r="1494" spans="29:73" s="1" customFormat="1" x14ac:dyDescent="0.25">
      <c r="AC1494" s="4"/>
      <c r="AD1494" s="4"/>
      <c r="AE1494" s="4"/>
      <c r="AF1494" s="4"/>
      <c r="AG1494" s="4"/>
      <c r="AH1494" s="4"/>
      <c r="AI1494" s="4"/>
      <c r="AJ1494" s="4"/>
      <c r="AK1494" s="4"/>
      <c r="AL1494" s="4"/>
      <c r="AM1494" s="4"/>
      <c r="AN1494" s="4"/>
      <c r="AO1494" s="4"/>
      <c r="AP1494" s="4"/>
      <c r="AQ1494" s="4"/>
      <c r="AR1494" s="4"/>
      <c r="AS1494" s="4"/>
      <c r="AT1494" s="4"/>
      <c r="AU1494" s="4"/>
      <c r="AV1494" s="4"/>
      <c r="AW1494" s="4"/>
      <c r="AX1494" s="4"/>
      <c r="AY1494" s="4"/>
      <c r="AZ1494" s="4"/>
      <c r="BA1494" s="4"/>
      <c r="BB1494" s="4"/>
      <c r="BC1494" s="4"/>
      <c r="BD1494" s="4"/>
      <c r="BE1494" s="4"/>
      <c r="BF1494" s="4"/>
      <c r="BG1494" s="4"/>
      <c r="BH1494" s="4"/>
      <c r="BI1494" s="4"/>
      <c r="BJ1494" s="4"/>
      <c r="BK1494" s="4"/>
      <c r="BL1494" s="4"/>
      <c r="BM1494" s="4"/>
      <c r="BN1494" s="4"/>
      <c r="BO1494" s="4"/>
      <c r="BP1494" s="4"/>
      <c r="BQ1494" s="4"/>
      <c r="BR1494" s="4"/>
      <c r="BS1494" s="4"/>
      <c r="BT1494" s="4"/>
      <c r="BU1494" s="4"/>
    </row>
    <row r="1495" spans="29:73" s="1" customFormat="1" x14ac:dyDescent="0.25">
      <c r="AC1495" s="4"/>
      <c r="AD1495" s="4"/>
      <c r="AE1495" s="4"/>
      <c r="AF1495" s="4"/>
      <c r="AG1495" s="4"/>
      <c r="AH1495" s="4"/>
      <c r="AI1495" s="4"/>
      <c r="AJ1495" s="4"/>
      <c r="AK1495" s="4"/>
      <c r="AL1495" s="4"/>
      <c r="AM1495" s="4"/>
      <c r="AN1495" s="4"/>
      <c r="AO1495" s="4"/>
      <c r="AP1495" s="4"/>
      <c r="AQ1495" s="4"/>
      <c r="AR1495" s="4"/>
      <c r="AS1495" s="4"/>
      <c r="AT1495" s="4"/>
      <c r="AU1495" s="4"/>
      <c r="AV1495" s="4"/>
      <c r="AW1495" s="4"/>
      <c r="AX1495" s="4"/>
      <c r="AY1495" s="4"/>
      <c r="AZ1495" s="4"/>
      <c r="BA1495" s="4"/>
      <c r="BB1495" s="4"/>
      <c r="BC1495" s="4"/>
      <c r="BD1495" s="4"/>
      <c r="BE1495" s="4"/>
      <c r="BF1495" s="4"/>
      <c r="BG1495" s="4"/>
      <c r="BH1495" s="4"/>
      <c r="BI1495" s="4"/>
      <c r="BJ1495" s="4"/>
      <c r="BK1495" s="4"/>
      <c r="BL1495" s="4"/>
      <c r="BM1495" s="4"/>
      <c r="BN1495" s="4"/>
      <c r="BO1495" s="4"/>
      <c r="BP1495" s="4"/>
      <c r="BQ1495" s="4"/>
      <c r="BR1495" s="4"/>
      <c r="BS1495" s="4"/>
      <c r="BT1495" s="4"/>
      <c r="BU1495" s="4"/>
    </row>
    <row r="1496" spans="29:73" s="1" customFormat="1" x14ac:dyDescent="0.25">
      <c r="AC1496" s="4"/>
      <c r="AD1496" s="4"/>
      <c r="AE1496" s="4"/>
      <c r="AF1496" s="4"/>
      <c r="AG1496" s="4"/>
      <c r="AH1496" s="4"/>
      <c r="AI1496" s="4"/>
      <c r="AJ1496" s="4"/>
      <c r="AK1496" s="4"/>
      <c r="AL1496" s="4"/>
      <c r="AM1496" s="4"/>
      <c r="AN1496" s="4"/>
      <c r="AO1496" s="4"/>
      <c r="AP1496" s="4"/>
      <c r="AQ1496" s="4"/>
      <c r="AR1496" s="4"/>
      <c r="AS1496" s="4"/>
      <c r="AT1496" s="4"/>
      <c r="AU1496" s="4"/>
      <c r="AV1496" s="4"/>
      <c r="AW1496" s="4"/>
      <c r="AX1496" s="4"/>
      <c r="AY1496" s="4"/>
      <c r="AZ1496" s="4"/>
      <c r="BA1496" s="4"/>
      <c r="BB1496" s="4"/>
      <c r="BC1496" s="4"/>
      <c r="BD1496" s="4"/>
      <c r="BE1496" s="4"/>
      <c r="BF1496" s="4"/>
      <c r="BG1496" s="4"/>
      <c r="BH1496" s="4"/>
      <c r="BI1496" s="4"/>
      <c r="BJ1496" s="4"/>
      <c r="BK1496" s="4"/>
      <c r="BL1496" s="4"/>
      <c r="BM1496" s="4"/>
      <c r="BN1496" s="4"/>
      <c r="BO1496" s="4"/>
      <c r="BP1496" s="4"/>
      <c r="BQ1496" s="4"/>
      <c r="BR1496" s="4"/>
      <c r="BS1496" s="4"/>
      <c r="BT1496" s="4"/>
      <c r="BU1496" s="4"/>
    </row>
    <row r="1497" spans="29:73" s="1" customFormat="1" x14ac:dyDescent="0.25">
      <c r="AC1497" s="4"/>
      <c r="AD1497" s="4"/>
      <c r="AE1497" s="4"/>
      <c r="AF1497" s="4"/>
      <c r="AG1497" s="4"/>
      <c r="AH1497" s="4"/>
      <c r="AI1497" s="4"/>
      <c r="AJ1497" s="4"/>
      <c r="AK1497" s="4"/>
      <c r="AL1497" s="4"/>
      <c r="AM1497" s="4"/>
      <c r="AN1497" s="4"/>
      <c r="AO1497" s="4"/>
      <c r="AP1497" s="4"/>
      <c r="AQ1497" s="4"/>
      <c r="AR1497" s="4"/>
      <c r="AS1497" s="4"/>
      <c r="AT1497" s="4"/>
      <c r="AU1497" s="4"/>
      <c r="AV1497" s="4"/>
      <c r="AW1497" s="4"/>
      <c r="AX1497" s="4"/>
      <c r="AY1497" s="4"/>
      <c r="AZ1497" s="4"/>
      <c r="BA1497" s="4"/>
      <c r="BB1497" s="4"/>
      <c r="BC1497" s="4"/>
      <c r="BD1497" s="4"/>
      <c r="BE1497" s="4"/>
      <c r="BF1497" s="4"/>
      <c r="BG1497" s="4"/>
      <c r="BH1497" s="4"/>
      <c r="BI1497" s="4"/>
      <c r="BJ1497" s="4"/>
      <c r="BK1497" s="4"/>
      <c r="BL1497" s="4"/>
      <c r="BM1497" s="4"/>
      <c r="BN1497" s="4"/>
      <c r="BO1497" s="4"/>
      <c r="BP1497" s="4"/>
      <c r="BQ1497" s="4"/>
      <c r="BR1497" s="4"/>
      <c r="BS1497" s="4"/>
      <c r="BT1497" s="4"/>
      <c r="BU1497" s="4"/>
    </row>
    <row r="1498" spans="29:73" s="1" customFormat="1" x14ac:dyDescent="0.25">
      <c r="AC1498" s="4"/>
      <c r="AD1498" s="4"/>
      <c r="AE1498" s="4"/>
      <c r="AF1498" s="4"/>
      <c r="AG1498" s="4"/>
      <c r="AH1498" s="4"/>
      <c r="AI1498" s="4"/>
      <c r="AJ1498" s="4"/>
      <c r="AK1498" s="4"/>
      <c r="AL1498" s="4"/>
      <c r="AM1498" s="4"/>
      <c r="AN1498" s="4"/>
      <c r="AO1498" s="4"/>
      <c r="AP1498" s="4"/>
      <c r="AQ1498" s="4"/>
      <c r="AR1498" s="4"/>
      <c r="AS1498" s="4"/>
      <c r="AT1498" s="4"/>
      <c r="AU1498" s="4"/>
      <c r="AV1498" s="4"/>
      <c r="AW1498" s="4"/>
      <c r="AX1498" s="4"/>
      <c r="AY1498" s="4"/>
      <c r="AZ1498" s="4"/>
      <c r="BA1498" s="4"/>
      <c r="BB1498" s="4"/>
      <c r="BC1498" s="4"/>
      <c r="BD1498" s="4"/>
      <c r="BE1498" s="4"/>
      <c r="BF1498" s="4"/>
      <c r="BG1498" s="4"/>
      <c r="BH1498" s="4"/>
      <c r="BI1498" s="4"/>
      <c r="BJ1498" s="4"/>
      <c r="BK1498" s="4"/>
      <c r="BL1498" s="4"/>
      <c r="BM1498" s="4"/>
      <c r="BN1498" s="4"/>
      <c r="BO1498" s="4"/>
      <c r="BP1498" s="4"/>
      <c r="BQ1498" s="4"/>
      <c r="BR1498" s="4"/>
      <c r="BS1498" s="4"/>
      <c r="BT1498" s="4"/>
      <c r="BU1498" s="4"/>
    </row>
    <row r="1499" spans="29:73" s="1" customFormat="1" x14ac:dyDescent="0.25">
      <c r="AC1499" s="4"/>
      <c r="AD1499" s="4"/>
      <c r="AE1499" s="4"/>
      <c r="AF1499" s="4"/>
      <c r="AG1499" s="4"/>
      <c r="AH1499" s="4"/>
      <c r="AI1499" s="4"/>
      <c r="AJ1499" s="4"/>
      <c r="AK1499" s="4"/>
      <c r="AL1499" s="4"/>
      <c r="AM1499" s="4"/>
      <c r="AN1499" s="4"/>
      <c r="AO1499" s="4"/>
      <c r="AP1499" s="4"/>
      <c r="AQ1499" s="4"/>
      <c r="AR1499" s="4"/>
      <c r="AS1499" s="4"/>
      <c r="AT1499" s="4"/>
      <c r="AU1499" s="4"/>
      <c r="AV1499" s="4"/>
      <c r="AW1499" s="4"/>
      <c r="AX1499" s="4"/>
      <c r="AY1499" s="4"/>
      <c r="AZ1499" s="4"/>
      <c r="BA1499" s="4"/>
      <c r="BB1499" s="4"/>
      <c r="BC1499" s="4"/>
      <c r="BD1499" s="4"/>
      <c r="BE1499" s="4"/>
      <c r="BF1499" s="4"/>
      <c r="BG1499" s="4"/>
      <c r="BH1499" s="4"/>
      <c r="BI1499" s="4"/>
      <c r="BJ1499" s="4"/>
      <c r="BK1499" s="4"/>
      <c r="BL1499" s="4"/>
      <c r="BM1499" s="4"/>
      <c r="BN1499" s="4"/>
      <c r="BO1499" s="4"/>
      <c r="BP1499" s="4"/>
      <c r="BQ1499" s="4"/>
      <c r="BR1499" s="4"/>
      <c r="BS1499" s="4"/>
      <c r="BT1499" s="4"/>
      <c r="BU1499" s="4"/>
    </row>
    <row r="1500" spans="29:73" s="1" customFormat="1" x14ac:dyDescent="0.25">
      <c r="AC1500" s="4"/>
      <c r="AD1500" s="4"/>
      <c r="AE1500" s="4"/>
      <c r="AF1500" s="4"/>
      <c r="AG1500" s="4"/>
      <c r="AH1500" s="4"/>
      <c r="AI1500" s="4"/>
      <c r="AJ1500" s="4"/>
      <c r="AK1500" s="4"/>
      <c r="AL1500" s="4"/>
      <c r="AM1500" s="4"/>
      <c r="AN1500" s="4"/>
      <c r="AO1500" s="4"/>
      <c r="AP1500" s="4"/>
      <c r="AQ1500" s="4"/>
      <c r="AR1500" s="4"/>
      <c r="AS1500" s="4"/>
      <c r="AT1500" s="4"/>
      <c r="AU1500" s="4"/>
      <c r="AV1500" s="4"/>
      <c r="AW1500" s="4"/>
      <c r="AX1500" s="4"/>
      <c r="AY1500" s="4"/>
      <c r="AZ1500" s="4"/>
      <c r="BA1500" s="4"/>
      <c r="BB1500" s="4"/>
      <c r="BC1500" s="4"/>
      <c r="BD1500" s="4"/>
      <c r="BE1500" s="4"/>
      <c r="BF1500" s="4"/>
      <c r="BG1500" s="4"/>
      <c r="BH1500" s="4"/>
      <c r="BI1500" s="4"/>
      <c r="BJ1500" s="4"/>
      <c r="BK1500" s="4"/>
      <c r="BL1500" s="4"/>
      <c r="BM1500" s="4"/>
      <c r="BN1500" s="4"/>
      <c r="BO1500" s="4"/>
      <c r="BP1500" s="4"/>
      <c r="BQ1500" s="4"/>
      <c r="BR1500" s="4"/>
      <c r="BS1500" s="4"/>
      <c r="BT1500" s="4"/>
      <c r="BU1500" s="4"/>
    </row>
    <row r="1501" spans="29:73" s="1" customFormat="1" x14ac:dyDescent="0.25">
      <c r="AC1501" s="4"/>
      <c r="AD1501" s="4"/>
      <c r="AE1501" s="4"/>
      <c r="AF1501" s="4"/>
      <c r="AG1501" s="4"/>
      <c r="AH1501" s="4"/>
      <c r="AI1501" s="4"/>
      <c r="AJ1501" s="4"/>
      <c r="AK1501" s="4"/>
      <c r="AL1501" s="4"/>
      <c r="AM1501" s="4"/>
      <c r="AN1501" s="4"/>
      <c r="AO1501" s="4"/>
      <c r="AP1501" s="4"/>
      <c r="AQ1501" s="4"/>
      <c r="AR1501" s="4"/>
      <c r="AS1501" s="4"/>
      <c r="AT1501" s="4"/>
      <c r="AU1501" s="4"/>
      <c r="AV1501" s="4"/>
      <c r="AW1501" s="4"/>
      <c r="AX1501" s="4"/>
      <c r="AY1501" s="4"/>
      <c r="AZ1501" s="4"/>
      <c r="BA1501" s="4"/>
      <c r="BB1501" s="4"/>
      <c r="BC1501" s="4"/>
      <c r="BD1501" s="4"/>
      <c r="BE1501" s="4"/>
      <c r="BF1501" s="4"/>
      <c r="BG1501" s="4"/>
      <c r="BH1501" s="4"/>
      <c r="BI1501" s="4"/>
      <c r="BJ1501" s="4"/>
      <c r="BK1501" s="4"/>
      <c r="BL1501" s="4"/>
      <c r="BM1501" s="4"/>
      <c r="BN1501" s="4"/>
      <c r="BO1501" s="4"/>
      <c r="BP1501" s="4"/>
      <c r="BQ1501" s="4"/>
      <c r="BR1501" s="4"/>
      <c r="BS1501" s="4"/>
      <c r="BT1501" s="4"/>
      <c r="BU1501" s="4"/>
    </row>
    <row r="1502" spans="29:73" s="1" customFormat="1" x14ac:dyDescent="0.25">
      <c r="AC1502" s="4"/>
      <c r="AD1502" s="4"/>
      <c r="AE1502" s="4"/>
      <c r="AF1502" s="4"/>
      <c r="AG1502" s="4"/>
      <c r="AH1502" s="4"/>
      <c r="AI1502" s="4"/>
      <c r="AJ1502" s="4"/>
      <c r="AK1502" s="4"/>
      <c r="AL1502" s="4"/>
      <c r="AM1502" s="4"/>
      <c r="AN1502" s="4"/>
      <c r="AO1502" s="4"/>
      <c r="AP1502" s="4"/>
      <c r="AQ1502" s="4"/>
      <c r="AR1502" s="4"/>
      <c r="AS1502" s="4"/>
      <c r="AT1502" s="4"/>
      <c r="AU1502" s="4"/>
      <c r="AV1502" s="4"/>
      <c r="AW1502" s="4"/>
      <c r="AX1502" s="4"/>
      <c r="AY1502" s="4"/>
      <c r="AZ1502" s="4"/>
      <c r="BA1502" s="4"/>
      <c r="BB1502" s="4"/>
      <c r="BC1502" s="4"/>
      <c r="BD1502" s="4"/>
      <c r="BE1502" s="4"/>
      <c r="BF1502" s="4"/>
      <c r="BG1502" s="4"/>
      <c r="BH1502" s="4"/>
      <c r="BI1502" s="4"/>
      <c r="BJ1502" s="4"/>
      <c r="BK1502" s="4"/>
      <c r="BL1502" s="4"/>
      <c r="BM1502" s="4"/>
      <c r="BN1502" s="4"/>
      <c r="BO1502" s="4"/>
      <c r="BP1502" s="4"/>
      <c r="BQ1502" s="4"/>
      <c r="BR1502" s="4"/>
      <c r="BS1502" s="4"/>
      <c r="BT1502" s="4"/>
      <c r="BU1502" s="4"/>
    </row>
    <row r="1503" spans="29:73" s="1" customFormat="1" x14ac:dyDescent="0.25">
      <c r="AC1503" s="4"/>
      <c r="AD1503" s="4"/>
      <c r="AE1503" s="4"/>
      <c r="AF1503" s="4"/>
      <c r="AG1503" s="4"/>
      <c r="AH1503" s="4"/>
      <c r="AI1503" s="4"/>
      <c r="AJ1503" s="4"/>
      <c r="AK1503" s="4"/>
      <c r="AL1503" s="4"/>
      <c r="AM1503" s="4"/>
      <c r="AN1503" s="4"/>
      <c r="AO1503" s="4"/>
      <c r="AP1503" s="4"/>
      <c r="AQ1503" s="4"/>
      <c r="AR1503" s="4"/>
      <c r="AS1503" s="4"/>
      <c r="AT1503" s="4"/>
      <c r="AU1503" s="4"/>
      <c r="AV1503" s="4"/>
      <c r="AW1503" s="4"/>
      <c r="AX1503" s="4"/>
      <c r="AY1503" s="4"/>
      <c r="AZ1503" s="4"/>
      <c r="BA1503" s="4"/>
      <c r="BB1503" s="4"/>
      <c r="BC1503" s="4"/>
      <c r="BD1503" s="4"/>
      <c r="BE1503" s="4"/>
      <c r="BF1503" s="4"/>
      <c r="BG1503" s="4"/>
      <c r="BH1503" s="4"/>
      <c r="BI1503" s="4"/>
      <c r="BJ1503" s="4"/>
      <c r="BK1503" s="4"/>
      <c r="BL1503" s="4"/>
      <c r="BM1503" s="4"/>
      <c r="BN1503" s="4"/>
      <c r="BO1503" s="4"/>
      <c r="BP1503" s="4"/>
      <c r="BQ1503" s="4"/>
      <c r="BR1503" s="4"/>
      <c r="BS1503" s="4"/>
      <c r="BT1503" s="4"/>
      <c r="BU1503" s="4"/>
    </row>
    <row r="1504" spans="29:73" s="1" customFormat="1" x14ac:dyDescent="0.25">
      <c r="AC1504" s="4"/>
      <c r="AD1504" s="4"/>
      <c r="AE1504" s="4"/>
      <c r="AF1504" s="4"/>
      <c r="AG1504" s="4"/>
      <c r="AH1504" s="4"/>
      <c r="AI1504" s="4"/>
      <c r="AJ1504" s="4"/>
      <c r="AK1504" s="4"/>
      <c r="AL1504" s="4"/>
      <c r="AM1504" s="4"/>
      <c r="AN1504" s="4"/>
      <c r="AO1504" s="4"/>
      <c r="AP1504" s="4"/>
      <c r="AQ1504" s="4"/>
      <c r="AR1504" s="4"/>
      <c r="AS1504" s="4"/>
      <c r="AT1504" s="4"/>
      <c r="AU1504" s="4"/>
      <c r="AV1504" s="4"/>
      <c r="AW1504" s="4"/>
      <c r="AX1504" s="4"/>
      <c r="AY1504" s="4"/>
      <c r="AZ1504" s="4"/>
      <c r="BA1504" s="4"/>
      <c r="BB1504" s="4"/>
      <c r="BC1504" s="4"/>
      <c r="BD1504" s="4"/>
      <c r="BE1504" s="4"/>
      <c r="BF1504" s="4"/>
      <c r="BG1504" s="4"/>
      <c r="BH1504" s="4"/>
      <c r="BI1504" s="4"/>
      <c r="BJ1504" s="4"/>
      <c r="BK1504" s="4"/>
      <c r="BL1504" s="4"/>
      <c r="BM1504" s="4"/>
      <c r="BN1504" s="4"/>
      <c r="BO1504" s="4"/>
      <c r="BP1504" s="4"/>
      <c r="BQ1504" s="4"/>
      <c r="BR1504" s="4"/>
      <c r="BS1504" s="4"/>
      <c r="BT1504" s="4"/>
      <c r="BU1504" s="4"/>
    </row>
    <row r="1505" spans="29:73" s="1" customFormat="1" x14ac:dyDescent="0.25">
      <c r="AC1505" s="4"/>
      <c r="AD1505" s="4"/>
      <c r="AE1505" s="4"/>
      <c r="AF1505" s="4"/>
      <c r="AG1505" s="4"/>
      <c r="AH1505" s="4"/>
      <c r="AI1505" s="4"/>
      <c r="AJ1505" s="4"/>
      <c r="AK1505" s="4"/>
      <c r="AL1505" s="4"/>
      <c r="AM1505" s="4"/>
      <c r="AN1505" s="4"/>
      <c r="AO1505" s="4"/>
      <c r="AP1505" s="4"/>
      <c r="AQ1505" s="4"/>
      <c r="AR1505" s="4"/>
      <c r="AS1505" s="4"/>
      <c r="AT1505" s="4"/>
      <c r="AU1505" s="4"/>
      <c r="AV1505" s="4"/>
      <c r="AW1505" s="4"/>
      <c r="AX1505" s="4"/>
      <c r="AY1505" s="4"/>
      <c r="AZ1505" s="4"/>
      <c r="BA1505" s="4"/>
      <c r="BB1505" s="4"/>
      <c r="BC1505" s="4"/>
      <c r="BD1505" s="4"/>
      <c r="BE1505" s="4"/>
      <c r="BF1505" s="4"/>
      <c r="BG1505" s="4"/>
      <c r="BH1505" s="4"/>
      <c r="BI1505" s="4"/>
      <c r="BJ1505" s="4"/>
      <c r="BK1505" s="4"/>
      <c r="BL1505" s="4"/>
      <c r="BM1505" s="4"/>
      <c r="BN1505" s="4"/>
      <c r="BO1505" s="4"/>
      <c r="BP1505" s="4"/>
      <c r="BQ1505" s="4"/>
      <c r="BR1505" s="4"/>
      <c r="BS1505" s="4"/>
      <c r="BT1505" s="4"/>
      <c r="BU1505" s="4"/>
    </row>
    <row r="1506" spans="29:73" s="1" customFormat="1" x14ac:dyDescent="0.25">
      <c r="AC1506" s="4"/>
      <c r="AD1506" s="4"/>
      <c r="AE1506" s="4"/>
      <c r="AF1506" s="4"/>
      <c r="AG1506" s="4"/>
      <c r="AH1506" s="4"/>
      <c r="AI1506" s="4"/>
      <c r="AJ1506" s="4"/>
      <c r="AK1506" s="4"/>
      <c r="AL1506" s="4"/>
      <c r="AM1506" s="4"/>
      <c r="AN1506" s="4"/>
      <c r="AO1506" s="4"/>
      <c r="AP1506" s="4"/>
      <c r="AQ1506" s="4"/>
      <c r="AR1506" s="4"/>
      <c r="AS1506" s="4"/>
      <c r="AT1506" s="4"/>
      <c r="AU1506" s="4"/>
      <c r="AV1506" s="4"/>
      <c r="AW1506" s="4"/>
      <c r="AX1506" s="4"/>
      <c r="AY1506" s="4"/>
      <c r="AZ1506" s="4"/>
      <c r="BA1506" s="4"/>
      <c r="BB1506" s="4"/>
      <c r="BC1506" s="4"/>
      <c r="BD1506" s="4"/>
      <c r="BE1506" s="4"/>
      <c r="BF1506" s="4"/>
      <c r="BG1506" s="4"/>
      <c r="BH1506" s="4"/>
      <c r="BI1506" s="4"/>
      <c r="BJ1506" s="4"/>
      <c r="BK1506" s="4"/>
      <c r="BL1506" s="4"/>
      <c r="BM1506" s="4"/>
      <c r="BN1506" s="4"/>
      <c r="BO1506" s="4"/>
      <c r="BP1506" s="4"/>
      <c r="BQ1506" s="4"/>
      <c r="BR1506" s="4"/>
      <c r="BS1506" s="4"/>
      <c r="BT1506" s="4"/>
      <c r="BU1506" s="4"/>
    </row>
    <row r="1507" spans="29:73" s="1" customFormat="1" x14ac:dyDescent="0.25">
      <c r="AC1507" s="4"/>
      <c r="AD1507" s="4"/>
      <c r="AE1507" s="4"/>
      <c r="AF1507" s="4"/>
      <c r="AG1507" s="4"/>
      <c r="AH1507" s="4"/>
      <c r="AI1507" s="4"/>
      <c r="AJ1507" s="4"/>
      <c r="AK1507" s="4"/>
      <c r="AL1507" s="4"/>
      <c r="AM1507" s="4"/>
      <c r="AN1507" s="4"/>
      <c r="AO1507" s="4"/>
      <c r="AP1507" s="4"/>
      <c r="AQ1507" s="4"/>
      <c r="AR1507" s="4"/>
      <c r="AS1507" s="4"/>
      <c r="AT1507" s="4"/>
      <c r="AU1507" s="4"/>
      <c r="AV1507" s="4"/>
      <c r="AW1507" s="4"/>
      <c r="AX1507" s="4"/>
      <c r="AY1507" s="4"/>
      <c r="AZ1507" s="4"/>
      <c r="BA1507" s="4"/>
      <c r="BB1507" s="4"/>
      <c r="BC1507" s="4"/>
      <c r="BD1507" s="4"/>
      <c r="BE1507" s="4"/>
      <c r="BF1507" s="4"/>
      <c r="BG1507" s="4"/>
      <c r="BH1507" s="4"/>
      <c r="BI1507" s="4"/>
      <c r="BJ1507" s="4"/>
      <c r="BK1507" s="4"/>
      <c r="BL1507" s="4"/>
      <c r="BM1507" s="4"/>
      <c r="BN1507" s="4"/>
      <c r="BO1507" s="4"/>
      <c r="BP1507" s="4"/>
      <c r="BQ1507" s="4"/>
      <c r="BR1507" s="4"/>
      <c r="BS1507" s="4"/>
      <c r="BT1507" s="4"/>
      <c r="BU1507" s="4"/>
    </row>
    <row r="1508" spans="29:73" s="1" customFormat="1" x14ac:dyDescent="0.25">
      <c r="AC1508" s="4"/>
      <c r="AD1508" s="4"/>
      <c r="AE1508" s="4"/>
      <c r="AF1508" s="4"/>
      <c r="AG1508" s="4"/>
      <c r="AH1508" s="4"/>
      <c r="AI1508" s="4"/>
      <c r="AJ1508" s="4"/>
      <c r="AK1508" s="4"/>
      <c r="AL1508" s="4"/>
      <c r="AM1508" s="4"/>
      <c r="AN1508" s="4"/>
      <c r="AO1508" s="4"/>
      <c r="AP1508" s="4"/>
      <c r="AQ1508" s="4"/>
      <c r="AR1508" s="4"/>
      <c r="AS1508" s="4"/>
      <c r="AT1508" s="4"/>
      <c r="AU1508" s="4"/>
      <c r="AV1508" s="4"/>
      <c r="AW1508" s="4"/>
      <c r="AX1508" s="4"/>
      <c r="AY1508" s="4"/>
      <c r="AZ1508" s="4"/>
      <c r="BA1508" s="4"/>
      <c r="BB1508" s="4"/>
      <c r="BC1508" s="4"/>
      <c r="BD1508" s="4"/>
      <c r="BE1508" s="4"/>
      <c r="BF1508" s="4"/>
      <c r="BG1508" s="4"/>
      <c r="BH1508" s="4"/>
      <c r="BI1508" s="4"/>
      <c r="BJ1508" s="4"/>
      <c r="BK1508" s="4"/>
      <c r="BL1508" s="4"/>
      <c r="BM1508" s="4"/>
      <c r="BN1508" s="4"/>
      <c r="BO1508" s="4"/>
      <c r="BP1508" s="4"/>
      <c r="BQ1508" s="4"/>
      <c r="BR1508" s="4"/>
      <c r="BS1508" s="4"/>
      <c r="BT1508" s="4"/>
      <c r="BU1508" s="4"/>
    </row>
    <row r="1509" spans="29:73" s="1" customFormat="1" x14ac:dyDescent="0.25">
      <c r="AC1509" s="4"/>
      <c r="AD1509" s="4"/>
      <c r="AE1509" s="4"/>
      <c r="AF1509" s="4"/>
      <c r="AG1509" s="4"/>
      <c r="AH1509" s="4"/>
      <c r="AI1509" s="4"/>
      <c r="AJ1509" s="4"/>
      <c r="AK1509" s="4"/>
      <c r="AL1509" s="4"/>
      <c r="AM1509" s="4"/>
      <c r="AN1509" s="4"/>
      <c r="AO1509" s="4"/>
      <c r="AP1509" s="4"/>
      <c r="AQ1509" s="4"/>
      <c r="AR1509" s="4"/>
      <c r="AS1509" s="4"/>
      <c r="AT1509" s="4"/>
      <c r="AU1509" s="4"/>
      <c r="AV1509" s="4"/>
      <c r="AW1509" s="4"/>
      <c r="AX1509" s="4"/>
      <c r="AY1509" s="4"/>
      <c r="AZ1509" s="4"/>
      <c r="BA1509" s="4"/>
      <c r="BB1509" s="4"/>
      <c r="BC1509" s="4"/>
      <c r="BD1509" s="4"/>
      <c r="BE1509" s="4"/>
      <c r="BF1509" s="4"/>
      <c r="BG1509" s="4"/>
      <c r="BH1509" s="4"/>
      <c r="BI1509" s="4"/>
      <c r="BJ1509" s="4"/>
      <c r="BK1509" s="4"/>
      <c r="BL1509" s="4"/>
      <c r="BM1509" s="4"/>
      <c r="BN1509" s="4"/>
      <c r="BO1509" s="4"/>
      <c r="BP1509" s="4"/>
      <c r="BQ1509" s="4"/>
      <c r="BR1509" s="4"/>
      <c r="BS1509" s="4"/>
      <c r="BT1509" s="4"/>
      <c r="BU1509" s="4"/>
    </row>
    <row r="1510" spans="29:73" s="1" customFormat="1" x14ac:dyDescent="0.25">
      <c r="AC1510" s="4"/>
      <c r="AD1510" s="4"/>
      <c r="AE1510" s="4"/>
      <c r="AF1510" s="4"/>
      <c r="AG1510" s="4"/>
      <c r="AH1510" s="4"/>
      <c r="AI1510" s="4"/>
      <c r="AJ1510" s="4"/>
      <c r="AK1510" s="4"/>
      <c r="AL1510" s="4"/>
      <c r="AM1510" s="4"/>
      <c r="AN1510" s="4"/>
      <c r="AO1510" s="4"/>
      <c r="AP1510" s="4"/>
      <c r="AQ1510" s="4"/>
      <c r="AR1510" s="4"/>
      <c r="AS1510" s="4"/>
      <c r="AT1510" s="4"/>
      <c r="AU1510" s="4"/>
      <c r="AV1510" s="4"/>
      <c r="AW1510" s="4"/>
      <c r="AX1510" s="4"/>
      <c r="AY1510" s="4"/>
      <c r="AZ1510" s="4"/>
      <c r="BA1510" s="4"/>
      <c r="BB1510" s="4"/>
      <c r="BC1510" s="4"/>
      <c r="BD1510" s="4"/>
      <c r="BE1510" s="4"/>
      <c r="BF1510" s="4"/>
      <c r="BG1510" s="4"/>
      <c r="BH1510" s="4"/>
      <c r="BI1510" s="4"/>
      <c r="BJ1510" s="4"/>
      <c r="BK1510" s="4"/>
      <c r="BL1510" s="4"/>
      <c r="BM1510" s="4"/>
      <c r="BN1510" s="4"/>
      <c r="BO1510" s="4"/>
      <c r="BP1510" s="4"/>
      <c r="BQ1510" s="4"/>
      <c r="BR1510" s="4"/>
      <c r="BS1510" s="4"/>
      <c r="BT1510" s="4"/>
      <c r="BU1510" s="4"/>
    </row>
    <row r="1511" spans="29:73" s="1" customFormat="1" x14ac:dyDescent="0.25">
      <c r="AC1511" s="4"/>
      <c r="AD1511" s="4"/>
      <c r="AE1511" s="4"/>
      <c r="AF1511" s="4"/>
      <c r="AG1511" s="4"/>
      <c r="AH1511" s="4"/>
      <c r="AI1511" s="4"/>
      <c r="AJ1511" s="4"/>
      <c r="AK1511" s="4"/>
      <c r="AL1511" s="4"/>
      <c r="AM1511" s="4"/>
      <c r="AN1511" s="4"/>
      <c r="AO1511" s="4"/>
      <c r="AP1511" s="4"/>
      <c r="AQ1511" s="4"/>
      <c r="AR1511" s="4"/>
      <c r="AS1511" s="4"/>
      <c r="AT1511" s="4"/>
      <c r="AU1511" s="4"/>
      <c r="AV1511" s="4"/>
      <c r="AW1511" s="4"/>
      <c r="AX1511" s="4"/>
      <c r="AY1511" s="4"/>
      <c r="AZ1511" s="4"/>
      <c r="BA1511" s="4"/>
      <c r="BB1511" s="4"/>
      <c r="BC1511" s="4"/>
      <c r="BD1511" s="4"/>
      <c r="BE1511" s="4"/>
      <c r="BF1511" s="4"/>
      <c r="BG1511" s="4"/>
      <c r="BH1511" s="4"/>
      <c r="BI1511" s="4"/>
      <c r="BJ1511" s="4"/>
      <c r="BK1511" s="4"/>
      <c r="BL1511" s="4"/>
      <c r="BM1511" s="4"/>
      <c r="BN1511" s="4"/>
      <c r="BO1511" s="4"/>
      <c r="BP1511" s="4"/>
      <c r="BQ1511" s="4"/>
      <c r="BR1511" s="4"/>
      <c r="BS1511" s="4"/>
      <c r="BT1511" s="4"/>
      <c r="BU1511" s="4"/>
    </row>
    <row r="1512" spans="29:73" s="1" customFormat="1" x14ac:dyDescent="0.25">
      <c r="AC1512" s="4"/>
      <c r="AD1512" s="4"/>
      <c r="AE1512" s="4"/>
      <c r="AF1512" s="4"/>
      <c r="AG1512" s="4"/>
      <c r="AH1512" s="4"/>
      <c r="AI1512" s="4"/>
      <c r="AJ1512" s="4"/>
      <c r="AK1512" s="4"/>
      <c r="AL1512" s="4"/>
      <c r="AM1512" s="4"/>
      <c r="AN1512" s="4"/>
      <c r="AO1512" s="4"/>
      <c r="AP1512" s="4"/>
      <c r="AQ1512" s="4"/>
      <c r="AR1512" s="4"/>
      <c r="AS1512" s="4"/>
      <c r="AT1512" s="4"/>
      <c r="AU1512" s="4"/>
      <c r="AV1512" s="4"/>
      <c r="AW1512" s="4"/>
      <c r="AX1512" s="4"/>
      <c r="AY1512" s="4"/>
      <c r="AZ1512" s="4"/>
      <c r="BA1512" s="4"/>
      <c r="BB1512" s="4"/>
      <c r="BC1512" s="4"/>
      <c r="BD1512" s="4"/>
      <c r="BE1512" s="4"/>
      <c r="BF1512" s="4"/>
      <c r="BG1512" s="4"/>
      <c r="BH1512" s="4"/>
      <c r="BI1512" s="4"/>
      <c r="BJ1512" s="4"/>
      <c r="BK1512" s="4"/>
      <c r="BL1512" s="4"/>
      <c r="BM1512" s="4"/>
      <c r="BN1512" s="4"/>
      <c r="BO1512" s="4"/>
      <c r="BP1512" s="4"/>
      <c r="BQ1512" s="4"/>
      <c r="BR1512" s="4"/>
      <c r="BS1512" s="4"/>
      <c r="BT1512" s="4"/>
      <c r="BU1512" s="4"/>
    </row>
    <row r="1513" spans="29:73" s="1" customFormat="1" x14ac:dyDescent="0.25">
      <c r="AC1513" s="4"/>
      <c r="AD1513" s="4"/>
      <c r="AE1513" s="4"/>
      <c r="AF1513" s="4"/>
      <c r="AG1513" s="4"/>
      <c r="AH1513" s="4"/>
      <c r="AI1513" s="4"/>
      <c r="AJ1513" s="4"/>
      <c r="AK1513" s="4"/>
      <c r="AL1513" s="4"/>
      <c r="AM1513" s="4"/>
      <c r="AN1513" s="4"/>
      <c r="AO1513" s="4"/>
      <c r="AP1513" s="4"/>
      <c r="AQ1513" s="4"/>
      <c r="AR1513" s="4"/>
      <c r="AS1513" s="4"/>
      <c r="AT1513" s="4"/>
      <c r="AU1513" s="4"/>
      <c r="AV1513" s="4"/>
      <c r="AW1513" s="4"/>
      <c r="AX1513" s="4"/>
      <c r="AY1513" s="4"/>
      <c r="AZ1513" s="4"/>
      <c r="BA1513" s="4"/>
      <c r="BB1513" s="4"/>
      <c r="BC1513" s="4"/>
      <c r="BD1513" s="4"/>
      <c r="BE1513" s="4"/>
      <c r="BF1513" s="4"/>
      <c r="BG1513" s="4"/>
      <c r="BH1513" s="4"/>
      <c r="BI1513" s="4"/>
      <c r="BJ1513" s="4"/>
      <c r="BK1513" s="4"/>
      <c r="BL1513" s="4"/>
      <c r="BM1513" s="4"/>
      <c r="BN1513" s="4"/>
      <c r="BO1513" s="4"/>
      <c r="BP1513" s="4"/>
      <c r="BQ1513" s="4"/>
      <c r="BR1513" s="4"/>
      <c r="BS1513" s="4"/>
      <c r="BT1513" s="4"/>
      <c r="BU1513" s="4"/>
    </row>
    <row r="1514" spans="29:73" s="1" customFormat="1" x14ac:dyDescent="0.25">
      <c r="AC1514" s="4"/>
      <c r="AD1514" s="4"/>
      <c r="AE1514" s="4"/>
      <c r="AF1514" s="4"/>
      <c r="AG1514" s="4"/>
      <c r="AH1514" s="4"/>
      <c r="AI1514" s="4"/>
      <c r="AJ1514" s="4"/>
      <c r="AK1514" s="4"/>
      <c r="AL1514" s="4"/>
      <c r="AM1514" s="4"/>
      <c r="AN1514" s="4"/>
      <c r="AO1514" s="4"/>
      <c r="AP1514" s="4"/>
      <c r="AQ1514" s="4"/>
      <c r="AR1514" s="4"/>
      <c r="AS1514" s="4"/>
      <c r="AT1514" s="4"/>
      <c r="AU1514" s="4"/>
      <c r="AV1514" s="4"/>
      <c r="AW1514" s="4"/>
      <c r="AX1514" s="4"/>
      <c r="AY1514" s="4"/>
      <c r="AZ1514" s="4"/>
      <c r="BA1514" s="4"/>
      <c r="BB1514" s="4"/>
      <c r="BC1514" s="4"/>
      <c r="BD1514" s="4"/>
      <c r="BE1514" s="4"/>
      <c r="BF1514" s="4"/>
      <c r="BG1514" s="4"/>
      <c r="BH1514" s="4"/>
      <c r="BI1514" s="4"/>
      <c r="BJ1514" s="4"/>
      <c r="BK1514" s="4"/>
      <c r="BL1514" s="4"/>
      <c r="BM1514" s="4"/>
      <c r="BN1514" s="4"/>
      <c r="BO1514" s="4"/>
      <c r="BP1514" s="4"/>
      <c r="BQ1514" s="4"/>
      <c r="BR1514" s="4"/>
      <c r="BS1514" s="4"/>
      <c r="BT1514" s="4"/>
      <c r="BU1514" s="4"/>
    </row>
    <row r="1515" spans="29:73" s="1" customFormat="1" x14ac:dyDescent="0.25">
      <c r="AC1515" s="4"/>
      <c r="AD1515" s="4"/>
      <c r="AE1515" s="4"/>
      <c r="AF1515" s="4"/>
      <c r="AG1515" s="4"/>
      <c r="AH1515" s="4"/>
      <c r="AI1515" s="4"/>
      <c r="AJ1515" s="4"/>
      <c r="AK1515" s="4"/>
      <c r="AL1515" s="4"/>
      <c r="AM1515" s="4"/>
      <c r="AN1515" s="4"/>
      <c r="AO1515" s="4"/>
      <c r="AP1515" s="4"/>
      <c r="AQ1515" s="4"/>
      <c r="AR1515" s="4"/>
      <c r="AS1515" s="4"/>
      <c r="AT1515" s="4"/>
      <c r="AU1515" s="4"/>
      <c r="AV1515" s="4"/>
      <c r="AW1515" s="4"/>
      <c r="AX1515" s="4"/>
      <c r="AY1515" s="4"/>
      <c r="AZ1515" s="4"/>
      <c r="BA1515" s="4"/>
      <c r="BB1515" s="4"/>
      <c r="BC1515" s="4"/>
      <c r="BD1515" s="4"/>
      <c r="BE1515" s="4"/>
      <c r="BF1515" s="4"/>
      <c r="BG1515" s="4"/>
      <c r="BH1515" s="4"/>
      <c r="BI1515" s="4"/>
      <c r="BJ1515" s="4"/>
      <c r="BK1515" s="4"/>
      <c r="BL1515" s="4"/>
      <c r="BM1515" s="4"/>
      <c r="BN1515" s="4"/>
      <c r="BO1515" s="4"/>
      <c r="BP1515" s="4"/>
      <c r="BQ1515" s="4"/>
      <c r="BR1515" s="4"/>
      <c r="BS1515" s="4"/>
      <c r="BT1515" s="4"/>
      <c r="BU1515" s="4"/>
    </row>
    <row r="1516" spans="29:73" s="1" customFormat="1" x14ac:dyDescent="0.25">
      <c r="AC1516" s="4"/>
      <c r="AD1516" s="4"/>
      <c r="AE1516" s="4"/>
      <c r="AF1516" s="4"/>
      <c r="AG1516" s="4"/>
      <c r="AH1516" s="4"/>
      <c r="AI1516" s="4"/>
      <c r="AJ1516" s="4"/>
      <c r="AK1516" s="4"/>
      <c r="AL1516" s="4"/>
      <c r="AM1516" s="4"/>
      <c r="AN1516" s="4"/>
      <c r="AO1516" s="4"/>
      <c r="AP1516" s="4"/>
      <c r="AQ1516" s="4"/>
      <c r="AR1516" s="4"/>
      <c r="AS1516" s="4"/>
      <c r="AT1516" s="4"/>
      <c r="AU1516" s="4"/>
      <c r="AV1516" s="4"/>
      <c r="AW1516" s="4"/>
      <c r="AX1516" s="4"/>
      <c r="AY1516" s="4"/>
      <c r="AZ1516" s="4"/>
      <c r="BA1516" s="4"/>
      <c r="BB1516" s="4"/>
      <c r="BC1516" s="4"/>
      <c r="BD1516" s="4"/>
      <c r="BE1516" s="4"/>
      <c r="BF1516" s="4"/>
      <c r="BG1516" s="4"/>
      <c r="BH1516" s="4"/>
      <c r="BI1516" s="4"/>
      <c r="BJ1516" s="4"/>
      <c r="BK1516" s="4"/>
      <c r="BL1516" s="4"/>
      <c r="BM1516" s="4"/>
      <c r="BN1516" s="4"/>
      <c r="BO1516" s="4"/>
      <c r="BP1516" s="4"/>
      <c r="BQ1516" s="4"/>
      <c r="BR1516" s="4"/>
      <c r="BS1516" s="4"/>
      <c r="BT1516" s="4"/>
      <c r="BU1516" s="4"/>
    </row>
    <row r="1517" spans="29:73" s="1" customFormat="1" x14ac:dyDescent="0.25">
      <c r="AC1517" s="4"/>
      <c r="AD1517" s="4"/>
      <c r="AE1517" s="4"/>
      <c r="AF1517" s="4"/>
      <c r="AG1517" s="4"/>
      <c r="AH1517" s="4"/>
      <c r="AI1517" s="4"/>
      <c r="AJ1517" s="4"/>
      <c r="AK1517" s="4"/>
      <c r="AL1517" s="4"/>
      <c r="AM1517" s="4"/>
      <c r="AN1517" s="4"/>
      <c r="AO1517" s="4"/>
      <c r="AP1517" s="4"/>
      <c r="AQ1517" s="4"/>
      <c r="AR1517" s="4"/>
      <c r="AS1517" s="4"/>
      <c r="AT1517" s="4"/>
      <c r="AU1517" s="4"/>
      <c r="AV1517" s="4"/>
      <c r="AW1517" s="4"/>
      <c r="AX1517" s="4"/>
      <c r="AY1517" s="4"/>
      <c r="AZ1517" s="4"/>
      <c r="BA1517" s="4"/>
      <c r="BB1517" s="4"/>
      <c r="BC1517" s="4"/>
      <c r="BD1517" s="4"/>
      <c r="BE1517" s="4"/>
      <c r="BF1517" s="4"/>
      <c r="BG1517" s="4"/>
      <c r="BH1517" s="4"/>
      <c r="BI1517" s="4"/>
      <c r="BJ1517" s="4"/>
      <c r="BK1517" s="4"/>
      <c r="BL1517" s="4"/>
      <c r="BM1517" s="4"/>
      <c r="BN1517" s="4"/>
      <c r="BO1517" s="4"/>
      <c r="BP1517" s="4"/>
      <c r="BQ1517" s="4"/>
      <c r="BR1517" s="4"/>
      <c r="BS1517" s="4"/>
      <c r="BT1517" s="4"/>
      <c r="BU1517" s="4"/>
    </row>
    <row r="1518" spans="29:73" s="1" customFormat="1" x14ac:dyDescent="0.25">
      <c r="AC1518" s="4"/>
      <c r="AD1518" s="4"/>
      <c r="AE1518" s="4"/>
      <c r="AF1518" s="4"/>
      <c r="AG1518" s="4"/>
      <c r="AH1518" s="4"/>
      <c r="AI1518" s="4"/>
      <c r="AJ1518" s="4"/>
      <c r="AK1518" s="4"/>
      <c r="AL1518" s="4"/>
      <c r="AM1518" s="4"/>
      <c r="AN1518" s="4"/>
      <c r="AO1518" s="4"/>
      <c r="AP1518" s="4"/>
      <c r="AQ1518" s="4"/>
      <c r="AR1518" s="4"/>
      <c r="AS1518" s="4"/>
      <c r="AT1518" s="4"/>
      <c r="AU1518" s="4"/>
      <c r="AV1518" s="4"/>
      <c r="AW1518" s="4"/>
      <c r="AX1518" s="4"/>
      <c r="AY1518" s="4"/>
      <c r="AZ1518" s="4"/>
      <c r="BA1518" s="4"/>
      <c r="BB1518" s="4"/>
      <c r="BC1518" s="4"/>
      <c r="BD1518" s="4"/>
      <c r="BE1518" s="4"/>
      <c r="BF1518" s="4"/>
      <c r="BG1518" s="4"/>
      <c r="BH1518" s="4"/>
      <c r="BI1518" s="4"/>
      <c r="BJ1518" s="4"/>
      <c r="BK1518" s="4"/>
      <c r="BL1518" s="4"/>
      <c r="BM1518" s="4"/>
      <c r="BN1518" s="4"/>
      <c r="BO1518" s="4"/>
      <c r="BP1518" s="4"/>
      <c r="BQ1518" s="4"/>
      <c r="BR1518" s="4"/>
      <c r="BS1518" s="4"/>
      <c r="BT1518" s="4"/>
      <c r="BU1518" s="4"/>
    </row>
    <row r="1519" spans="29:73" s="1" customFormat="1" x14ac:dyDescent="0.25">
      <c r="AC1519" s="4"/>
      <c r="AD1519" s="4"/>
      <c r="AE1519" s="4"/>
      <c r="AF1519" s="4"/>
      <c r="AG1519" s="4"/>
      <c r="AH1519" s="4"/>
      <c r="AI1519" s="4"/>
      <c r="AJ1519" s="4"/>
      <c r="AK1519" s="4"/>
      <c r="AL1519" s="4"/>
      <c r="AM1519" s="4"/>
      <c r="AN1519" s="4"/>
      <c r="AO1519" s="4"/>
      <c r="AP1519" s="4"/>
      <c r="AQ1519" s="4"/>
      <c r="AR1519" s="4"/>
      <c r="AS1519" s="4"/>
      <c r="AT1519" s="4"/>
      <c r="AU1519" s="4"/>
      <c r="AV1519" s="4"/>
      <c r="AW1519" s="4"/>
      <c r="AX1519" s="4"/>
      <c r="AY1519" s="4"/>
      <c r="AZ1519" s="4"/>
      <c r="BA1519" s="4"/>
      <c r="BB1519" s="4"/>
      <c r="BC1519" s="4"/>
      <c r="BD1519" s="4"/>
      <c r="BE1519" s="4"/>
      <c r="BF1519" s="4"/>
      <c r="BG1519" s="4"/>
      <c r="BH1519" s="4"/>
      <c r="BI1519" s="4"/>
      <c r="BJ1519" s="4"/>
      <c r="BK1519" s="4"/>
      <c r="BL1519" s="4"/>
      <c r="BM1519" s="4"/>
      <c r="BN1519" s="4"/>
      <c r="BO1519" s="4"/>
      <c r="BP1519" s="4"/>
      <c r="BQ1519" s="4"/>
      <c r="BR1519" s="4"/>
      <c r="BS1519" s="4"/>
      <c r="BT1519" s="4"/>
      <c r="BU1519" s="4"/>
    </row>
    <row r="1520" spans="29:73" s="1" customFormat="1" x14ac:dyDescent="0.25">
      <c r="AC1520" s="4"/>
      <c r="AD1520" s="4"/>
      <c r="AE1520" s="4"/>
      <c r="AF1520" s="4"/>
      <c r="AG1520" s="4"/>
      <c r="AH1520" s="4"/>
      <c r="AI1520" s="4"/>
      <c r="AJ1520" s="4"/>
      <c r="AK1520" s="4"/>
      <c r="AL1520" s="4"/>
      <c r="AM1520" s="4"/>
      <c r="AN1520" s="4"/>
      <c r="AO1520" s="4"/>
      <c r="AP1520" s="4"/>
      <c r="AQ1520" s="4"/>
      <c r="AR1520" s="4"/>
      <c r="AS1520" s="4"/>
      <c r="AT1520" s="4"/>
      <c r="AU1520" s="4"/>
      <c r="AV1520" s="4"/>
      <c r="AW1520" s="4"/>
      <c r="AX1520" s="4"/>
      <c r="AY1520" s="4"/>
      <c r="AZ1520" s="4"/>
      <c r="BA1520" s="4"/>
      <c r="BB1520" s="4"/>
      <c r="BC1520" s="4"/>
      <c r="BD1520" s="4"/>
      <c r="BE1520" s="4"/>
      <c r="BF1520" s="4"/>
      <c r="BG1520" s="4"/>
      <c r="BH1520" s="4"/>
      <c r="BI1520" s="4"/>
      <c r="BJ1520" s="4"/>
      <c r="BK1520" s="4"/>
      <c r="BL1520" s="4"/>
      <c r="BM1520" s="4"/>
      <c r="BN1520" s="4"/>
      <c r="BO1520" s="4"/>
      <c r="BP1520" s="4"/>
      <c r="BQ1520" s="4"/>
      <c r="BR1520" s="4"/>
      <c r="BS1520" s="4"/>
      <c r="BT1520" s="4"/>
      <c r="BU1520" s="4"/>
    </row>
    <row r="1521" spans="29:73" s="1" customFormat="1" x14ac:dyDescent="0.25">
      <c r="AC1521" s="4"/>
      <c r="AD1521" s="4"/>
      <c r="AE1521" s="4"/>
      <c r="AF1521" s="4"/>
      <c r="AG1521" s="4"/>
      <c r="AH1521" s="4"/>
      <c r="AI1521" s="4"/>
      <c r="AJ1521" s="4"/>
      <c r="AK1521" s="4"/>
      <c r="AL1521" s="4"/>
      <c r="AM1521" s="4"/>
      <c r="AN1521" s="4"/>
      <c r="AO1521" s="4"/>
      <c r="AP1521" s="4"/>
      <c r="AQ1521" s="4"/>
      <c r="AR1521" s="4"/>
      <c r="AS1521" s="4"/>
      <c r="AT1521" s="4"/>
      <c r="AU1521" s="4"/>
      <c r="AV1521" s="4"/>
      <c r="AW1521" s="4"/>
      <c r="AX1521" s="4"/>
      <c r="AY1521" s="4"/>
      <c r="AZ1521" s="4"/>
      <c r="BA1521" s="4"/>
      <c r="BB1521" s="4"/>
      <c r="BC1521" s="4"/>
      <c r="BD1521" s="4"/>
      <c r="BE1521" s="4"/>
      <c r="BF1521" s="4"/>
      <c r="BG1521" s="4"/>
      <c r="BH1521" s="4"/>
      <c r="BI1521" s="4"/>
      <c r="BJ1521" s="4"/>
      <c r="BK1521" s="4"/>
      <c r="BL1521" s="4"/>
      <c r="BM1521" s="4"/>
      <c r="BN1521" s="4"/>
      <c r="BO1521" s="4"/>
      <c r="BP1521" s="4"/>
      <c r="BQ1521" s="4"/>
      <c r="BR1521" s="4"/>
      <c r="BS1521" s="4"/>
      <c r="BT1521" s="4"/>
      <c r="BU1521" s="4"/>
    </row>
    <row r="1522" spans="29:73" s="1" customFormat="1" x14ac:dyDescent="0.25">
      <c r="AC1522" s="4"/>
      <c r="AD1522" s="4"/>
      <c r="AE1522" s="4"/>
      <c r="AF1522" s="4"/>
      <c r="AG1522" s="4"/>
      <c r="AH1522" s="4"/>
      <c r="AI1522" s="4"/>
      <c r="AJ1522" s="4"/>
      <c r="AK1522" s="4"/>
      <c r="AL1522" s="4"/>
      <c r="AM1522" s="4"/>
      <c r="AN1522" s="4"/>
      <c r="AO1522" s="4"/>
      <c r="AP1522" s="4"/>
      <c r="AQ1522" s="4"/>
      <c r="AR1522" s="4"/>
      <c r="AS1522" s="4"/>
      <c r="AT1522" s="4"/>
      <c r="AU1522" s="4"/>
      <c r="AV1522" s="4"/>
      <c r="AW1522" s="4"/>
      <c r="AX1522" s="4"/>
      <c r="AY1522" s="4"/>
      <c r="AZ1522" s="4"/>
      <c r="BA1522" s="4"/>
      <c r="BB1522" s="4"/>
      <c r="BC1522" s="4"/>
      <c r="BD1522" s="4"/>
      <c r="BE1522" s="4"/>
      <c r="BF1522" s="4"/>
      <c r="BG1522" s="4"/>
      <c r="BH1522" s="4"/>
      <c r="BI1522" s="4"/>
      <c r="BJ1522" s="4"/>
      <c r="BK1522" s="4"/>
      <c r="BL1522" s="4"/>
      <c r="BM1522" s="4"/>
      <c r="BN1522" s="4"/>
      <c r="BO1522" s="4"/>
      <c r="BP1522" s="4"/>
      <c r="BQ1522" s="4"/>
      <c r="BR1522" s="4"/>
      <c r="BS1522" s="4"/>
      <c r="BT1522" s="4"/>
      <c r="BU1522" s="4"/>
    </row>
    <row r="1523" spans="29:73" s="1" customFormat="1" x14ac:dyDescent="0.25">
      <c r="AC1523" s="4"/>
      <c r="AD1523" s="4"/>
      <c r="AE1523" s="4"/>
      <c r="AF1523" s="4"/>
      <c r="AG1523" s="4"/>
      <c r="AH1523" s="4"/>
      <c r="AI1523" s="4"/>
      <c r="AJ1523" s="4"/>
      <c r="AK1523" s="4"/>
      <c r="AL1523" s="4"/>
      <c r="AM1523" s="4"/>
      <c r="AN1523" s="4"/>
      <c r="AO1523" s="4"/>
      <c r="AP1523" s="4"/>
      <c r="AQ1523" s="4"/>
      <c r="AR1523" s="4"/>
      <c r="AS1523" s="4"/>
      <c r="AT1523" s="4"/>
      <c r="AU1523" s="4"/>
      <c r="AV1523" s="4"/>
      <c r="AW1523" s="4"/>
      <c r="AX1523" s="4"/>
      <c r="AY1523" s="4"/>
      <c r="AZ1523" s="4"/>
      <c r="BA1523" s="4"/>
      <c r="BB1523" s="4"/>
      <c r="BC1523" s="4"/>
      <c r="BD1523" s="4"/>
      <c r="BE1523" s="4"/>
      <c r="BF1523" s="4"/>
      <c r="BG1523" s="4"/>
      <c r="BH1523" s="4"/>
      <c r="BI1523" s="4"/>
      <c r="BJ1523" s="4"/>
      <c r="BK1523" s="4"/>
      <c r="BL1523" s="4"/>
      <c r="BM1523" s="4"/>
      <c r="BN1523" s="4"/>
      <c r="BO1523" s="4"/>
      <c r="BP1523" s="4"/>
      <c r="BQ1523" s="4"/>
      <c r="BR1523" s="4"/>
      <c r="BS1523" s="4"/>
      <c r="BT1523" s="4"/>
      <c r="BU1523" s="4"/>
    </row>
    <row r="1524" spans="29:73" s="1" customFormat="1" x14ac:dyDescent="0.25">
      <c r="AC1524" s="4"/>
      <c r="AD1524" s="4"/>
      <c r="AE1524" s="4"/>
      <c r="AF1524" s="4"/>
      <c r="AG1524" s="4"/>
      <c r="AH1524" s="4"/>
      <c r="AI1524" s="4"/>
      <c r="AJ1524" s="4"/>
      <c r="AK1524" s="4"/>
      <c r="AL1524" s="4"/>
      <c r="AM1524" s="4"/>
      <c r="AN1524" s="4"/>
      <c r="AO1524" s="4"/>
      <c r="AP1524" s="4"/>
      <c r="AQ1524" s="4"/>
      <c r="AR1524" s="4"/>
      <c r="AS1524" s="4"/>
      <c r="AT1524" s="4"/>
      <c r="AU1524" s="4"/>
      <c r="AV1524" s="4"/>
      <c r="AW1524" s="4"/>
      <c r="AX1524" s="4"/>
      <c r="AY1524" s="4"/>
      <c r="AZ1524" s="4"/>
      <c r="BA1524" s="4"/>
      <c r="BB1524" s="4"/>
      <c r="BC1524" s="4"/>
      <c r="BD1524" s="4"/>
      <c r="BE1524" s="4"/>
      <c r="BF1524" s="4"/>
      <c r="BG1524" s="4"/>
      <c r="BH1524" s="4"/>
      <c r="BI1524" s="4"/>
      <c r="BJ1524" s="4"/>
      <c r="BK1524" s="4"/>
      <c r="BL1524" s="4"/>
      <c r="BM1524" s="4"/>
      <c r="BN1524" s="4"/>
      <c r="BO1524" s="4"/>
      <c r="BP1524" s="4"/>
      <c r="BQ1524" s="4"/>
      <c r="BR1524" s="4"/>
      <c r="BS1524" s="4"/>
      <c r="BT1524" s="4"/>
      <c r="BU1524" s="4"/>
    </row>
    <row r="1525" spans="29:73" s="1" customFormat="1" x14ac:dyDescent="0.25">
      <c r="AC1525" s="4"/>
      <c r="AD1525" s="4"/>
      <c r="AE1525" s="4"/>
      <c r="AF1525" s="4"/>
      <c r="AG1525" s="4"/>
      <c r="AH1525" s="4"/>
      <c r="AI1525" s="4"/>
      <c r="AJ1525" s="4"/>
      <c r="AK1525" s="4"/>
      <c r="AL1525" s="4"/>
      <c r="AM1525" s="4"/>
      <c r="AN1525" s="4"/>
      <c r="AO1525" s="4"/>
      <c r="AP1525" s="4"/>
      <c r="AQ1525" s="4"/>
      <c r="AR1525" s="4"/>
      <c r="AS1525" s="4"/>
      <c r="AT1525" s="4"/>
      <c r="AU1525" s="4"/>
      <c r="AV1525" s="4"/>
      <c r="AW1525" s="4"/>
      <c r="AX1525" s="4"/>
      <c r="AY1525" s="4"/>
      <c r="AZ1525" s="4"/>
      <c r="BA1525" s="4"/>
      <c r="BB1525" s="4"/>
      <c r="BC1525" s="4"/>
      <c r="BD1525" s="4"/>
      <c r="BE1525" s="4"/>
      <c r="BF1525" s="4"/>
      <c r="BG1525" s="4"/>
      <c r="BH1525" s="4"/>
      <c r="BI1525" s="4"/>
      <c r="BJ1525" s="4"/>
      <c r="BK1525" s="4"/>
      <c r="BL1525" s="4"/>
      <c r="BM1525" s="4"/>
      <c r="BN1525" s="4"/>
      <c r="BO1525" s="4"/>
      <c r="BP1525" s="4"/>
      <c r="BQ1525" s="4"/>
      <c r="BR1525" s="4"/>
      <c r="BS1525" s="4"/>
      <c r="BT1525" s="4"/>
      <c r="BU1525" s="4"/>
    </row>
    <row r="1526" spans="29:73" s="1" customFormat="1" x14ac:dyDescent="0.25">
      <c r="AC1526" s="4"/>
      <c r="AD1526" s="4"/>
      <c r="AE1526" s="4"/>
      <c r="AF1526" s="4"/>
      <c r="AG1526" s="4"/>
      <c r="AH1526" s="4"/>
      <c r="AI1526" s="4"/>
      <c r="AJ1526" s="4"/>
      <c r="AK1526" s="4"/>
      <c r="AL1526" s="4"/>
      <c r="AM1526" s="4"/>
      <c r="AN1526" s="4"/>
      <c r="AO1526" s="4"/>
      <c r="AP1526" s="4"/>
      <c r="AQ1526" s="4"/>
      <c r="AR1526" s="4"/>
      <c r="AS1526" s="4"/>
      <c r="AT1526" s="4"/>
      <c r="AU1526" s="4"/>
      <c r="AV1526" s="4"/>
      <c r="AW1526" s="4"/>
      <c r="AX1526" s="4"/>
      <c r="AY1526" s="4"/>
      <c r="AZ1526" s="4"/>
      <c r="BA1526" s="4"/>
      <c r="BB1526" s="4"/>
      <c r="BC1526" s="4"/>
      <c r="BD1526" s="4"/>
      <c r="BE1526" s="4"/>
      <c r="BF1526" s="4"/>
      <c r="BG1526" s="4"/>
      <c r="BH1526" s="4"/>
      <c r="BI1526" s="4"/>
      <c r="BJ1526" s="4"/>
      <c r="BK1526" s="4"/>
      <c r="BL1526" s="4"/>
      <c r="BM1526" s="4"/>
      <c r="BN1526" s="4"/>
      <c r="BO1526" s="4"/>
      <c r="BP1526" s="4"/>
      <c r="BQ1526" s="4"/>
      <c r="BR1526" s="4"/>
      <c r="BS1526" s="4"/>
      <c r="BT1526" s="4"/>
      <c r="BU1526" s="4"/>
    </row>
    <row r="1527" spans="29:73" s="1" customFormat="1" x14ac:dyDescent="0.25">
      <c r="AC1527" s="4"/>
      <c r="AD1527" s="4"/>
      <c r="AE1527" s="4"/>
      <c r="AF1527" s="4"/>
      <c r="AG1527" s="4"/>
      <c r="AH1527" s="4"/>
      <c r="AI1527" s="4"/>
      <c r="AJ1527" s="4"/>
      <c r="AK1527" s="4"/>
      <c r="AL1527" s="4"/>
      <c r="AM1527" s="4"/>
      <c r="AN1527" s="4"/>
      <c r="AO1527" s="4"/>
      <c r="AP1527" s="4"/>
      <c r="AQ1527" s="4"/>
      <c r="AR1527" s="4"/>
      <c r="AS1527" s="4"/>
      <c r="AT1527" s="4"/>
      <c r="AU1527" s="4"/>
      <c r="AV1527" s="4"/>
      <c r="AW1527" s="4"/>
      <c r="AX1527" s="4"/>
      <c r="AY1527" s="4"/>
      <c r="AZ1527" s="4"/>
      <c r="BA1527" s="4"/>
      <c r="BB1527" s="4"/>
      <c r="BC1527" s="4"/>
      <c r="BD1527" s="4"/>
      <c r="BE1527" s="4"/>
      <c r="BF1527" s="4"/>
      <c r="BG1527" s="4"/>
      <c r="BH1527" s="4"/>
      <c r="BI1527" s="4"/>
      <c r="BJ1527" s="4"/>
      <c r="BK1527" s="4"/>
      <c r="BL1527" s="4"/>
      <c r="BM1527" s="4"/>
      <c r="BN1527" s="4"/>
      <c r="BO1527" s="4"/>
      <c r="BP1527" s="4"/>
      <c r="BQ1527" s="4"/>
      <c r="BR1527" s="4"/>
      <c r="BS1527" s="4"/>
      <c r="BT1527" s="4"/>
      <c r="BU1527" s="4"/>
    </row>
    <row r="1528" spans="29:73" s="1" customFormat="1" x14ac:dyDescent="0.25">
      <c r="AC1528" s="4"/>
      <c r="AD1528" s="4"/>
      <c r="AE1528" s="4"/>
      <c r="AF1528" s="4"/>
      <c r="AG1528" s="4"/>
      <c r="AH1528" s="4"/>
      <c r="AI1528" s="4"/>
      <c r="AJ1528" s="4"/>
      <c r="AK1528" s="4"/>
      <c r="AL1528" s="4"/>
      <c r="AM1528" s="4"/>
      <c r="AN1528" s="4"/>
      <c r="AO1528" s="4"/>
      <c r="AP1528" s="4"/>
      <c r="AQ1528" s="4"/>
      <c r="AR1528" s="4"/>
      <c r="AS1528" s="4"/>
      <c r="AT1528" s="4"/>
      <c r="AU1528" s="4"/>
      <c r="AV1528" s="4"/>
      <c r="AW1528" s="4"/>
      <c r="AX1528" s="4"/>
      <c r="AY1528" s="4"/>
      <c r="AZ1528" s="4"/>
      <c r="BA1528" s="4"/>
      <c r="BB1528" s="4"/>
      <c r="BC1528" s="4"/>
      <c r="BD1528" s="4"/>
      <c r="BE1528" s="4"/>
      <c r="BF1528" s="4"/>
      <c r="BG1528" s="4"/>
      <c r="BH1528" s="4"/>
      <c r="BI1528" s="4"/>
      <c r="BJ1528" s="4"/>
      <c r="BK1528" s="4"/>
      <c r="BL1528" s="4"/>
      <c r="BM1528" s="4"/>
      <c r="BN1528" s="4"/>
      <c r="BO1528" s="4"/>
      <c r="BP1528" s="4"/>
      <c r="BQ1528" s="4"/>
      <c r="BR1528" s="4"/>
      <c r="BS1528" s="4"/>
      <c r="BT1528" s="4"/>
      <c r="BU1528" s="4"/>
    </row>
    <row r="1529" spans="29:73" s="1" customFormat="1" x14ac:dyDescent="0.25">
      <c r="AC1529" s="4"/>
      <c r="AD1529" s="4"/>
      <c r="AE1529" s="4"/>
      <c r="AF1529" s="4"/>
      <c r="AG1529" s="4"/>
      <c r="AH1529" s="4"/>
      <c r="AI1529" s="4"/>
      <c r="AJ1529" s="4"/>
      <c r="AK1529" s="4"/>
      <c r="AL1529" s="4"/>
      <c r="AM1529" s="4"/>
      <c r="AN1529" s="4"/>
      <c r="AO1529" s="4"/>
      <c r="AP1529" s="4"/>
      <c r="AQ1529" s="4"/>
      <c r="AR1529" s="4"/>
      <c r="AS1529" s="4"/>
      <c r="AT1529" s="4"/>
      <c r="AU1529" s="4"/>
      <c r="AV1529" s="4"/>
      <c r="AW1529" s="4"/>
      <c r="AX1529" s="4"/>
      <c r="AY1529" s="4"/>
      <c r="AZ1529" s="4"/>
      <c r="BA1529" s="4"/>
      <c r="BB1529" s="4"/>
      <c r="BC1529" s="4"/>
      <c r="BD1529" s="4"/>
      <c r="BE1529" s="4"/>
      <c r="BF1529" s="4"/>
      <c r="BG1529" s="4"/>
      <c r="BH1529" s="4"/>
      <c r="BI1529" s="4"/>
      <c r="BJ1529" s="4"/>
      <c r="BK1529" s="4"/>
      <c r="BL1529" s="4"/>
      <c r="BM1529" s="4"/>
      <c r="BN1529" s="4"/>
      <c r="BO1529" s="4"/>
      <c r="BP1529" s="4"/>
      <c r="BQ1529" s="4"/>
      <c r="BR1529" s="4"/>
      <c r="BS1529" s="4"/>
      <c r="BT1529" s="4"/>
      <c r="BU1529" s="4"/>
    </row>
    <row r="1530" spans="29:73" s="1" customFormat="1" x14ac:dyDescent="0.25">
      <c r="AC1530" s="4"/>
      <c r="AD1530" s="4"/>
      <c r="AE1530" s="4"/>
      <c r="AF1530" s="4"/>
      <c r="AG1530" s="4"/>
      <c r="AH1530" s="4"/>
      <c r="AI1530" s="4"/>
      <c r="AJ1530" s="4"/>
      <c r="AK1530" s="4"/>
      <c r="AL1530" s="4"/>
      <c r="AM1530" s="4"/>
      <c r="AN1530" s="4"/>
      <c r="AO1530" s="4"/>
      <c r="AP1530" s="4"/>
      <c r="AQ1530" s="4"/>
      <c r="AR1530" s="4"/>
      <c r="AS1530" s="4"/>
      <c r="AT1530" s="4"/>
      <c r="AU1530" s="4"/>
      <c r="AV1530" s="4"/>
      <c r="AW1530" s="4"/>
      <c r="AX1530" s="4"/>
      <c r="AY1530" s="4"/>
      <c r="AZ1530" s="4"/>
      <c r="BA1530" s="4"/>
      <c r="BB1530" s="4"/>
      <c r="BC1530" s="4"/>
      <c r="BD1530" s="4"/>
      <c r="BE1530" s="4"/>
      <c r="BF1530" s="4"/>
      <c r="BG1530" s="4"/>
      <c r="BH1530" s="4"/>
      <c r="BI1530" s="4"/>
      <c r="BJ1530" s="4"/>
      <c r="BK1530" s="4"/>
      <c r="BL1530" s="4"/>
      <c r="BM1530" s="4"/>
      <c r="BN1530" s="4"/>
      <c r="BO1530" s="4"/>
      <c r="BP1530" s="4"/>
      <c r="BQ1530" s="4"/>
      <c r="BR1530" s="4"/>
      <c r="BS1530" s="4"/>
      <c r="BT1530" s="4"/>
      <c r="BU1530" s="4"/>
    </row>
    <row r="1531" spans="29:73" s="1" customFormat="1" x14ac:dyDescent="0.25">
      <c r="AC1531" s="4"/>
      <c r="AD1531" s="4"/>
      <c r="AE1531" s="4"/>
      <c r="AF1531" s="4"/>
      <c r="AG1531" s="4"/>
      <c r="AH1531" s="4"/>
      <c r="AI1531" s="4"/>
      <c r="AJ1531" s="4"/>
      <c r="AK1531" s="4"/>
      <c r="AL1531" s="4"/>
      <c r="AM1531" s="4"/>
      <c r="AN1531" s="4"/>
      <c r="AO1531" s="4"/>
      <c r="AP1531" s="4"/>
      <c r="AQ1531" s="4"/>
      <c r="AR1531" s="4"/>
      <c r="AS1531" s="4"/>
      <c r="AT1531" s="4"/>
      <c r="AU1531" s="4"/>
      <c r="AV1531" s="4"/>
      <c r="AW1531" s="4"/>
      <c r="AX1531" s="4"/>
      <c r="AY1531" s="4"/>
      <c r="AZ1531" s="4"/>
      <c r="BA1531" s="4"/>
      <c r="BB1531" s="4"/>
      <c r="BC1531" s="4"/>
      <c r="BD1531" s="4"/>
      <c r="BE1531" s="4"/>
      <c r="BF1531" s="4"/>
      <c r="BG1531" s="4"/>
      <c r="BH1531" s="4"/>
      <c r="BI1531" s="4"/>
      <c r="BJ1531" s="4"/>
      <c r="BK1531" s="4"/>
      <c r="BL1531" s="4"/>
      <c r="BM1531" s="4"/>
      <c r="BN1531" s="4"/>
      <c r="BO1531" s="4"/>
      <c r="BP1531" s="4"/>
      <c r="BQ1531" s="4"/>
      <c r="BR1531" s="4"/>
      <c r="BS1531" s="4"/>
      <c r="BT1531" s="4"/>
      <c r="BU1531" s="4"/>
    </row>
    <row r="1532" spans="29:73" s="1" customFormat="1" x14ac:dyDescent="0.25">
      <c r="AC1532" s="4"/>
      <c r="AD1532" s="4"/>
      <c r="AE1532" s="4"/>
      <c r="AF1532" s="4"/>
      <c r="AG1532" s="4"/>
      <c r="AH1532" s="4"/>
      <c r="AI1532" s="4"/>
      <c r="AJ1532" s="4"/>
      <c r="AK1532" s="4"/>
      <c r="AL1532" s="4"/>
      <c r="AM1532" s="4"/>
      <c r="AN1532" s="4"/>
      <c r="AO1532" s="4"/>
      <c r="AP1532" s="4"/>
      <c r="AQ1532" s="4"/>
      <c r="AR1532" s="4"/>
      <c r="AS1532" s="4"/>
      <c r="AT1532" s="4"/>
      <c r="AU1532" s="4"/>
      <c r="AV1532" s="4"/>
      <c r="AW1532" s="4"/>
      <c r="AX1532" s="4"/>
      <c r="AY1532" s="4"/>
      <c r="AZ1532" s="4"/>
      <c r="BA1532" s="4"/>
      <c r="BB1532" s="4"/>
      <c r="BC1532" s="4"/>
      <c r="BD1532" s="4"/>
      <c r="BE1532" s="4"/>
      <c r="BF1532" s="4"/>
      <c r="BG1532" s="4"/>
      <c r="BH1532" s="4"/>
      <c r="BI1532" s="4"/>
      <c r="BJ1532" s="4"/>
      <c r="BK1532" s="4"/>
      <c r="BL1532" s="4"/>
      <c r="BM1532" s="4"/>
      <c r="BN1532" s="4"/>
      <c r="BO1532" s="4"/>
      <c r="BP1532" s="4"/>
      <c r="BQ1532" s="4"/>
      <c r="BR1532" s="4"/>
      <c r="BS1532" s="4"/>
      <c r="BT1532" s="4"/>
      <c r="BU1532" s="4"/>
    </row>
    <row r="1533" spans="29:73" s="1" customFormat="1" x14ac:dyDescent="0.25">
      <c r="AC1533" s="4"/>
      <c r="AD1533" s="4"/>
      <c r="AE1533" s="4"/>
      <c r="AF1533" s="4"/>
      <c r="AG1533" s="4"/>
      <c r="AH1533" s="4"/>
      <c r="AI1533" s="4"/>
      <c r="AJ1533" s="4"/>
      <c r="AK1533" s="4"/>
      <c r="AL1533" s="4"/>
      <c r="AM1533" s="4"/>
      <c r="AN1533" s="4"/>
      <c r="AO1533" s="4"/>
      <c r="AP1533" s="4"/>
      <c r="AQ1533" s="4"/>
      <c r="AR1533" s="4"/>
      <c r="AS1533" s="4"/>
      <c r="AT1533" s="4"/>
      <c r="AU1533" s="4"/>
      <c r="AV1533" s="4"/>
      <c r="AW1533" s="4"/>
      <c r="AX1533" s="4"/>
      <c r="AY1533" s="4"/>
      <c r="AZ1533" s="4"/>
      <c r="BA1533" s="4"/>
      <c r="BB1533" s="4"/>
      <c r="BC1533" s="4"/>
      <c r="BD1533" s="4"/>
      <c r="BE1533" s="4"/>
      <c r="BF1533" s="4"/>
      <c r="BG1533" s="4"/>
      <c r="BH1533" s="4"/>
      <c r="BI1533" s="4"/>
      <c r="BJ1533" s="4"/>
      <c r="BK1533" s="4"/>
      <c r="BL1533" s="4"/>
      <c r="BM1533" s="4"/>
      <c r="BN1533" s="4"/>
      <c r="BO1533" s="4"/>
      <c r="BP1533" s="4"/>
      <c r="BQ1533" s="4"/>
      <c r="BR1533" s="4"/>
      <c r="BS1533" s="4"/>
      <c r="BT1533" s="4"/>
      <c r="BU1533" s="4"/>
    </row>
    <row r="1534" spans="29:73" s="1" customFormat="1" x14ac:dyDescent="0.25">
      <c r="AC1534" s="4"/>
      <c r="AD1534" s="4"/>
      <c r="AE1534" s="4"/>
      <c r="AF1534" s="4"/>
      <c r="AG1534" s="4"/>
      <c r="AH1534" s="4"/>
      <c r="AI1534" s="4"/>
      <c r="AJ1534" s="4"/>
      <c r="AK1534" s="4"/>
      <c r="AL1534" s="4"/>
      <c r="AM1534" s="4"/>
      <c r="AN1534" s="4"/>
      <c r="AO1534" s="4"/>
      <c r="AP1534" s="4"/>
      <c r="AQ1534" s="4"/>
      <c r="AR1534" s="4"/>
      <c r="AS1534" s="4"/>
      <c r="AT1534" s="4"/>
      <c r="AU1534" s="4"/>
      <c r="AV1534" s="4"/>
      <c r="AW1534" s="4"/>
      <c r="AX1534" s="4"/>
      <c r="AY1534" s="4"/>
      <c r="AZ1534" s="4"/>
      <c r="BA1534" s="4"/>
      <c r="BB1534" s="4"/>
      <c r="BC1534" s="4"/>
      <c r="BD1534" s="4"/>
      <c r="BE1534" s="4"/>
      <c r="BF1534" s="4"/>
      <c r="BG1534" s="4"/>
      <c r="BH1534" s="4"/>
      <c r="BI1534" s="4"/>
      <c r="BJ1534" s="4"/>
      <c r="BK1534" s="4"/>
      <c r="BL1534" s="4"/>
      <c r="BM1534" s="4"/>
      <c r="BN1534" s="4"/>
      <c r="BO1534" s="4"/>
      <c r="BP1534" s="4"/>
      <c r="BQ1534" s="4"/>
      <c r="BR1534" s="4"/>
      <c r="BS1534" s="4"/>
      <c r="BT1534" s="4"/>
      <c r="BU1534" s="4"/>
    </row>
    <row r="1535" spans="29:73" s="1" customFormat="1" x14ac:dyDescent="0.25">
      <c r="AC1535" s="4"/>
      <c r="AD1535" s="4"/>
      <c r="AE1535" s="4"/>
      <c r="AF1535" s="4"/>
      <c r="AG1535" s="4"/>
      <c r="AH1535" s="4"/>
      <c r="AI1535" s="4"/>
      <c r="AJ1535" s="4"/>
      <c r="AK1535" s="4"/>
      <c r="AL1535" s="4"/>
      <c r="AM1535" s="4"/>
      <c r="AN1535" s="4"/>
      <c r="AO1535" s="4"/>
      <c r="AP1535" s="4"/>
      <c r="AQ1535" s="4"/>
      <c r="AR1535" s="4"/>
      <c r="AS1535" s="4"/>
      <c r="AT1535" s="4"/>
      <c r="AU1535" s="4"/>
      <c r="AV1535" s="4"/>
      <c r="AW1535" s="4"/>
      <c r="AX1535" s="4"/>
      <c r="AY1535" s="4"/>
      <c r="AZ1535" s="4"/>
      <c r="BA1535" s="4"/>
      <c r="BB1535" s="4"/>
      <c r="BC1535" s="4"/>
      <c r="BD1535" s="4"/>
      <c r="BE1535" s="4"/>
      <c r="BF1535" s="4"/>
      <c r="BG1535" s="4"/>
      <c r="BH1535" s="4"/>
      <c r="BI1535" s="4"/>
      <c r="BJ1535" s="4"/>
      <c r="BK1535" s="4"/>
      <c r="BL1535" s="4"/>
      <c r="BM1535" s="4"/>
      <c r="BN1535" s="4"/>
      <c r="BO1535" s="4"/>
      <c r="BP1535" s="4"/>
      <c r="BQ1535" s="4"/>
      <c r="BR1535" s="4"/>
      <c r="BS1535" s="4"/>
      <c r="BT1535" s="4"/>
      <c r="BU1535" s="4"/>
    </row>
    <row r="1536" spans="29:73" s="1" customFormat="1" x14ac:dyDescent="0.25">
      <c r="AC1536" s="4"/>
      <c r="AD1536" s="4"/>
      <c r="AE1536" s="4"/>
      <c r="AF1536" s="4"/>
      <c r="AG1536" s="4"/>
      <c r="AH1536" s="4"/>
      <c r="AI1536" s="4"/>
      <c r="AJ1536" s="4"/>
      <c r="AK1536" s="4"/>
      <c r="AL1536" s="4"/>
      <c r="AM1536" s="4"/>
      <c r="AN1536" s="4"/>
      <c r="AO1536" s="4"/>
      <c r="AP1536" s="4"/>
      <c r="AQ1536" s="4"/>
      <c r="AR1536" s="4"/>
      <c r="AS1536" s="4"/>
      <c r="AT1536" s="4"/>
      <c r="AU1536" s="4"/>
      <c r="AV1536" s="4"/>
      <c r="AW1536" s="4"/>
      <c r="AX1536" s="4"/>
      <c r="AY1536" s="4"/>
      <c r="AZ1536" s="4"/>
      <c r="BA1536" s="4"/>
      <c r="BB1536" s="4"/>
      <c r="BC1536" s="4"/>
      <c r="BD1536" s="4"/>
      <c r="BE1536" s="4"/>
      <c r="BF1536" s="4"/>
      <c r="BG1536" s="4"/>
      <c r="BH1536" s="4"/>
      <c r="BI1536" s="4"/>
      <c r="BJ1536" s="4"/>
      <c r="BK1536" s="4"/>
      <c r="BL1536" s="4"/>
      <c r="BM1536" s="4"/>
      <c r="BN1536" s="4"/>
      <c r="BO1536" s="4"/>
      <c r="BP1536" s="4"/>
      <c r="BQ1536" s="4"/>
      <c r="BR1536" s="4"/>
      <c r="BS1536" s="4"/>
      <c r="BT1536" s="4"/>
      <c r="BU1536" s="4"/>
    </row>
    <row r="1537" spans="29:73" s="1" customFormat="1" x14ac:dyDescent="0.25">
      <c r="AC1537" s="4"/>
      <c r="AD1537" s="4"/>
      <c r="AE1537" s="4"/>
      <c r="AF1537" s="4"/>
      <c r="AG1537" s="4"/>
      <c r="AH1537" s="4"/>
      <c r="AI1537" s="4"/>
      <c r="AJ1537" s="4"/>
      <c r="AK1537" s="4"/>
      <c r="AL1537" s="4"/>
      <c r="AM1537" s="4"/>
      <c r="AN1537" s="4"/>
      <c r="AO1537" s="4"/>
      <c r="AP1537" s="4"/>
      <c r="AQ1537" s="4"/>
      <c r="AR1537" s="4"/>
      <c r="AS1537" s="4"/>
      <c r="AT1537" s="4"/>
      <c r="AU1537" s="4"/>
      <c r="AV1537" s="4"/>
      <c r="AW1537" s="4"/>
      <c r="AX1537" s="4"/>
      <c r="AY1537" s="4"/>
      <c r="AZ1537" s="4"/>
      <c r="BA1537" s="4"/>
      <c r="BB1537" s="4"/>
      <c r="BC1537" s="4"/>
      <c r="BD1537" s="4"/>
      <c r="BE1537" s="4"/>
      <c r="BF1537" s="4"/>
      <c r="BG1537" s="4"/>
      <c r="BH1537" s="4"/>
      <c r="BI1537" s="4"/>
      <c r="BJ1537" s="4"/>
      <c r="BK1537" s="4"/>
      <c r="BL1537" s="4"/>
      <c r="BM1537" s="4"/>
      <c r="BN1537" s="4"/>
      <c r="BO1537" s="4"/>
      <c r="BP1537" s="4"/>
      <c r="BQ1537" s="4"/>
      <c r="BR1537" s="4"/>
      <c r="BS1537" s="4"/>
      <c r="BT1537" s="4"/>
      <c r="BU1537" s="4"/>
    </row>
    <row r="1538" spans="29:73" s="1" customFormat="1" x14ac:dyDescent="0.25">
      <c r="AC1538" s="4"/>
      <c r="AD1538" s="4"/>
      <c r="AE1538" s="4"/>
      <c r="AF1538" s="4"/>
      <c r="AG1538" s="4"/>
      <c r="AH1538" s="4"/>
      <c r="AI1538" s="4"/>
      <c r="AJ1538" s="4"/>
      <c r="AK1538" s="4"/>
      <c r="AL1538" s="4"/>
      <c r="AM1538" s="4"/>
      <c r="AN1538" s="4"/>
      <c r="AO1538" s="4"/>
      <c r="AP1538" s="4"/>
      <c r="AQ1538" s="4"/>
      <c r="AR1538" s="4"/>
      <c r="AS1538" s="4"/>
      <c r="AT1538" s="4"/>
      <c r="AU1538" s="4"/>
      <c r="AV1538" s="4"/>
      <c r="AW1538" s="4"/>
      <c r="AX1538" s="4"/>
      <c r="AY1538" s="4"/>
      <c r="AZ1538" s="4"/>
      <c r="BA1538" s="4"/>
      <c r="BB1538" s="4"/>
      <c r="BC1538" s="4"/>
      <c r="BD1538" s="4"/>
      <c r="BE1538" s="4"/>
      <c r="BF1538" s="4"/>
      <c r="BG1538" s="4"/>
      <c r="BH1538" s="4"/>
      <c r="BI1538" s="4"/>
      <c r="BJ1538" s="4"/>
      <c r="BK1538" s="4"/>
      <c r="BL1538" s="4"/>
      <c r="BM1538" s="4"/>
      <c r="BN1538" s="4"/>
      <c r="BO1538" s="4"/>
      <c r="BP1538" s="4"/>
      <c r="BQ1538" s="4"/>
      <c r="BR1538" s="4"/>
      <c r="BS1538" s="4"/>
      <c r="BT1538" s="4"/>
      <c r="BU1538" s="4"/>
    </row>
    <row r="1539" spans="29:73" s="1" customFormat="1" x14ac:dyDescent="0.25">
      <c r="AC1539" s="4"/>
      <c r="AD1539" s="4"/>
      <c r="AE1539" s="4"/>
      <c r="AF1539" s="4"/>
      <c r="AG1539" s="4"/>
      <c r="AH1539" s="4"/>
      <c r="AI1539" s="4"/>
      <c r="AJ1539" s="4"/>
      <c r="AK1539" s="4"/>
      <c r="AL1539" s="4"/>
      <c r="AM1539" s="4"/>
      <c r="AN1539" s="4"/>
      <c r="AO1539" s="4"/>
      <c r="AP1539" s="4"/>
      <c r="AQ1539" s="4"/>
      <c r="AR1539" s="4"/>
      <c r="AS1539" s="4"/>
      <c r="AT1539" s="4"/>
      <c r="AU1539" s="4"/>
      <c r="AV1539" s="4"/>
      <c r="AW1539" s="4"/>
      <c r="AX1539" s="4"/>
      <c r="AY1539" s="4"/>
      <c r="AZ1539" s="4"/>
      <c r="BA1539" s="4"/>
      <c r="BB1539" s="4"/>
      <c r="BC1539" s="4"/>
      <c r="BD1539" s="4"/>
      <c r="BE1539" s="4"/>
      <c r="BF1539" s="4"/>
      <c r="BG1539" s="4"/>
      <c r="BH1539" s="4"/>
      <c r="BI1539" s="4"/>
      <c r="BJ1539" s="4"/>
      <c r="BK1539" s="4"/>
      <c r="BL1539" s="4"/>
      <c r="BM1539" s="4"/>
      <c r="BN1539" s="4"/>
      <c r="BO1539" s="4"/>
      <c r="BP1539" s="4"/>
      <c r="BQ1539" s="4"/>
      <c r="BR1539" s="4"/>
      <c r="BS1539" s="4"/>
      <c r="BT1539" s="4"/>
      <c r="BU1539" s="4"/>
    </row>
    <row r="1540" spans="29:73" s="1" customFormat="1" x14ac:dyDescent="0.25">
      <c r="AC1540" s="4"/>
      <c r="AD1540" s="4"/>
      <c r="AE1540" s="4"/>
      <c r="AF1540" s="4"/>
      <c r="AG1540" s="4"/>
      <c r="AH1540" s="4"/>
      <c r="AI1540" s="4"/>
      <c r="AJ1540" s="4"/>
      <c r="AK1540" s="4"/>
      <c r="AL1540" s="4"/>
      <c r="AM1540" s="4"/>
      <c r="AN1540" s="4"/>
      <c r="AO1540" s="4"/>
      <c r="AP1540" s="4"/>
      <c r="AQ1540" s="4"/>
      <c r="AR1540" s="4"/>
      <c r="AS1540" s="4"/>
      <c r="AT1540" s="4"/>
      <c r="AU1540" s="4"/>
      <c r="AV1540" s="4"/>
      <c r="AW1540" s="4"/>
      <c r="AX1540" s="4"/>
      <c r="AY1540" s="4"/>
      <c r="AZ1540" s="4"/>
      <c r="BA1540" s="4"/>
      <c r="BB1540" s="4"/>
      <c r="BC1540" s="4"/>
      <c r="BD1540" s="4"/>
      <c r="BE1540" s="4"/>
      <c r="BF1540" s="4"/>
      <c r="BG1540" s="4"/>
      <c r="BH1540" s="4"/>
      <c r="BI1540" s="4"/>
      <c r="BJ1540" s="4"/>
      <c r="BK1540" s="4"/>
      <c r="BL1540" s="4"/>
      <c r="BM1540" s="4"/>
      <c r="BN1540" s="4"/>
      <c r="BO1540" s="4"/>
      <c r="BP1540" s="4"/>
      <c r="BQ1540" s="4"/>
      <c r="BR1540" s="4"/>
      <c r="BS1540" s="4"/>
      <c r="BT1540" s="4"/>
      <c r="BU1540" s="4"/>
    </row>
    <row r="1541" spans="29:73" s="1" customFormat="1" x14ac:dyDescent="0.25">
      <c r="AC1541" s="4"/>
      <c r="AD1541" s="4"/>
      <c r="AE1541" s="4"/>
      <c r="AF1541" s="4"/>
      <c r="AG1541" s="4"/>
      <c r="AH1541" s="4"/>
      <c r="AI1541" s="4"/>
      <c r="AJ1541" s="4"/>
      <c r="AK1541" s="4"/>
      <c r="AL1541" s="4"/>
      <c r="AM1541" s="4"/>
      <c r="AN1541" s="4"/>
      <c r="AO1541" s="4"/>
      <c r="AP1541" s="4"/>
      <c r="AQ1541" s="4"/>
      <c r="AR1541" s="4"/>
      <c r="AS1541" s="4"/>
      <c r="AT1541" s="4"/>
      <c r="AU1541" s="4"/>
      <c r="AV1541" s="4"/>
      <c r="AW1541" s="4"/>
      <c r="AX1541" s="4"/>
      <c r="AY1541" s="4"/>
      <c r="AZ1541" s="4"/>
      <c r="BA1541" s="4"/>
      <c r="BB1541" s="4"/>
      <c r="BC1541" s="4"/>
      <c r="BD1541" s="4"/>
      <c r="BE1541" s="4"/>
      <c r="BF1541" s="4"/>
      <c r="BG1541" s="4"/>
      <c r="BH1541" s="4"/>
      <c r="BI1541" s="4"/>
      <c r="BJ1541" s="4"/>
      <c r="BK1541" s="4"/>
      <c r="BL1541" s="4"/>
      <c r="BM1541" s="4"/>
      <c r="BN1541" s="4"/>
      <c r="BO1541" s="4"/>
      <c r="BP1541" s="4"/>
      <c r="BQ1541" s="4"/>
      <c r="BR1541" s="4"/>
      <c r="BS1541" s="4"/>
      <c r="BT1541" s="4"/>
      <c r="BU1541" s="4"/>
    </row>
    <row r="1542" spans="29:73" s="1" customFormat="1" x14ac:dyDescent="0.25">
      <c r="AC1542" s="4"/>
      <c r="AD1542" s="4"/>
      <c r="AE1542" s="4"/>
      <c r="AF1542" s="4"/>
      <c r="AG1542" s="4"/>
      <c r="AH1542" s="4"/>
      <c r="AI1542" s="4"/>
      <c r="AJ1542" s="4"/>
      <c r="AK1542" s="4"/>
      <c r="AL1542" s="4"/>
      <c r="AM1542" s="4"/>
      <c r="AN1542" s="4"/>
      <c r="AO1542" s="4"/>
      <c r="AP1542" s="4"/>
      <c r="AQ1542" s="4"/>
      <c r="AR1542" s="4"/>
      <c r="AS1542" s="4"/>
      <c r="AT1542" s="4"/>
      <c r="AU1542" s="4"/>
      <c r="AV1542" s="4"/>
      <c r="AW1542" s="4"/>
      <c r="AX1542" s="4"/>
      <c r="AY1542" s="4"/>
      <c r="AZ1542" s="4"/>
      <c r="BA1542" s="4"/>
      <c r="BB1542" s="4"/>
      <c r="BC1542" s="4"/>
      <c r="BD1542" s="4"/>
      <c r="BE1542" s="4"/>
      <c r="BF1542" s="4"/>
      <c r="BG1542" s="4"/>
      <c r="BH1542" s="4"/>
      <c r="BI1542" s="4"/>
      <c r="BJ1542" s="4"/>
      <c r="BK1542" s="4"/>
      <c r="BL1542" s="4"/>
      <c r="BM1542" s="4"/>
      <c r="BN1542" s="4"/>
      <c r="BO1542" s="4"/>
      <c r="BP1542" s="4"/>
      <c r="BQ1542" s="4"/>
      <c r="BR1542" s="4"/>
      <c r="BS1542" s="4"/>
      <c r="BT1542" s="4"/>
      <c r="BU1542" s="4"/>
    </row>
    <row r="1543" spans="29:73" s="1" customFormat="1" x14ac:dyDescent="0.25">
      <c r="AC1543" s="4"/>
      <c r="AD1543" s="4"/>
      <c r="AE1543" s="4"/>
      <c r="AF1543" s="4"/>
      <c r="AG1543" s="4"/>
      <c r="AH1543" s="4"/>
      <c r="AI1543" s="4"/>
      <c r="AJ1543" s="4"/>
      <c r="AK1543" s="4"/>
      <c r="AL1543" s="4"/>
      <c r="AM1543" s="4"/>
      <c r="AN1543" s="4"/>
      <c r="AO1543" s="4"/>
      <c r="AP1543" s="4"/>
      <c r="AQ1543" s="4"/>
      <c r="AR1543" s="4"/>
      <c r="AS1543" s="4"/>
      <c r="AT1543" s="4"/>
      <c r="AU1543" s="4"/>
      <c r="AV1543" s="4"/>
      <c r="AW1543" s="4"/>
      <c r="AX1543" s="4"/>
      <c r="AY1543" s="4"/>
      <c r="AZ1543" s="4"/>
      <c r="BA1543" s="4"/>
      <c r="BB1543" s="4"/>
      <c r="BC1543" s="4"/>
      <c r="BD1543" s="4"/>
      <c r="BE1543" s="4"/>
      <c r="BF1543" s="4"/>
      <c r="BG1543" s="4"/>
      <c r="BH1543" s="4"/>
      <c r="BI1543" s="4"/>
      <c r="BJ1543" s="4"/>
      <c r="BK1543" s="4"/>
      <c r="BL1543" s="4"/>
      <c r="BM1543" s="4"/>
      <c r="BN1543" s="4"/>
      <c r="BO1543" s="4"/>
      <c r="BP1543" s="4"/>
      <c r="BQ1543" s="4"/>
      <c r="BR1543" s="4"/>
      <c r="BS1543" s="4"/>
      <c r="BT1543" s="4"/>
      <c r="BU1543" s="4"/>
    </row>
    <row r="1544" spans="29:73" s="1" customFormat="1" x14ac:dyDescent="0.25">
      <c r="AC1544" s="4"/>
      <c r="AD1544" s="4"/>
      <c r="AE1544" s="4"/>
      <c r="AF1544" s="4"/>
      <c r="AG1544" s="4"/>
      <c r="AH1544" s="4"/>
      <c r="AI1544" s="4"/>
      <c r="AJ1544" s="4"/>
      <c r="AK1544" s="4"/>
      <c r="AL1544" s="4"/>
      <c r="AM1544" s="4"/>
      <c r="AN1544" s="4"/>
      <c r="AO1544" s="4"/>
      <c r="AP1544" s="4"/>
      <c r="AQ1544" s="4"/>
      <c r="AR1544" s="4"/>
      <c r="AS1544" s="4"/>
      <c r="AT1544" s="4"/>
      <c r="AU1544" s="4"/>
      <c r="AV1544" s="4"/>
      <c r="AW1544" s="4"/>
      <c r="AX1544" s="4"/>
      <c r="AY1544" s="4"/>
      <c r="AZ1544" s="4"/>
      <c r="BA1544" s="4"/>
      <c r="BB1544" s="4"/>
      <c r="BC1544" s="4"/>
      <c r="BD1544" s="4"/>
      <c r="BE1544" s="4"/>
      <c r="BF1544" s="4"/>
      <c r="BG1544" s="4"/>
      <c r="BH1544" s="4"/>
      <c r="BI1544" s="4"/>
      <c r="BJ1544" s="4"/>
      <c r="BK1544" s="4"/>
      <c r="BL1544" s="4"/>
      <c r="BM1544" s="4"/>
      <c r="BN1544" s="4"/>
      <c r="BO1544" s="4"/>
      <c r="BP1544" s="4"/>
      <c r="BQ1544" s="4"/>
      <c r="BR1544" s="4"/>
      <c r="BS1544" s="4"/>
      <c r="BT1544" s="4"/>
      <c r="BU1544" s="4"/>
    </row>
    <row r="1545" spans="29:73" s="1" customFormat="1" x14ac:dyDescent="0.25">
      <c r="AC1545" s="4"/>
      <c r="AD1545" s="4"/>
      <c r="AE1545" s="4"/>
      <c r="AF1545" s="4"/>
      <c r="AG1545" s="4"/>
      <c r="AH1545" s="4"/>
      <c r="AI1545" s="4"/>
      <c r="AJ1545" s="4"/>
      <c r="AK1545" s="4"/>
      <c r="AL1545" s="4"/>
      <c r="AM1545" s="4"/>
      <c r="AN1545" s="4"/>
      <c r="AO1545" s="4"/>
      <c r="AP1545" s="4"/>
      <c r="AQ1545" s="4"/>
      <c r="AR1545" s="4"/>
      <c r="AS1545" s="4"/>
      <c r="AT1545" s="4"/>
      <c r="AU1545" s="4"/>
      <c r="AV1545" s="4"/>
      <c r="AW1545" s="4"/>
      <c r="AX1545" s="4"/>
      <c r="AY1545" s="4"/>
      <c r="AZ1545" s="4"/>
      <c r="BA1545" s="4"/>
      <c r="BB1545" s="4"/>
      <c r="BC1545" s="4"/>
      <c r="BD1545" s="4"/>
      <c r="BE1545" s="4"/>
      <c r="BF1545" s="4"/>
      <c r="BG1545" s="4"/>
      <c r="BH1545" s="4"/>
      <c r="BI1545" s="4"/>
      <c r="BJ1545" s="4"/>
      <c r="BK1545" s="4"/>
      <c r="BL1545" s="4"/>
      <c r="BM1545" s="4"/>
      <c r="BN1545" s="4"/>
      <c r="BO1545" s="4"/>
      <c r="BP1545" s="4"/>
      <c r="BQ1545" s="4"/>
      <c r="BR1545" s="4"/>
      <c r="BS1545" s="4"/>
      <c r="BT1545" s="4"/>
      <c r="BU1545" s="4"/>
    </row>
    <row r="1546" spans="29:73" s="1" customFormat="1" x14ac:dyDescent="0.25">
      <c r="AC1546" s="4"/>
      <c r="AD1546" s="4"/>
      <c r="AE1546" s="4"/>
      <c r="AF1546" s="4"/>
      <c r="AG1546" s="4"/>
      <c r="AH1546" s="4"/>
      <c r="AI1546" s="4"/>
      <c r="AJ1546" s="4"/>
      <c r="AK1546" s="4"/>
      <c r="AL1546" s="4"/>
      <c r="AM1546" s="4"/>
      <c r="AN1546" s="4"/>
      <c r="AO1546" s="4"/>
      <c r="AP1546" s="4"/>
      <c r="AQ1546" s="4"/>
      <c r="AR1546" s="4"/>
      <c r="AS1546" s="4"/>
      <c r="AT1546" s="4"/>
      <c r="AU1546" s="4"/>
      <c r="AV1546" s="4"/>
      <c r="AW1546" s="4"/>
      <c r="AX1546" s="4"/>
      <c r="AY1546" s="4"/>
      <c r="AZ1546" s="4"/>
      <c r="BA1546" s="4"/>
      <c r="BB1546" s="4"/>
      <c r="BC1546" s="4"/>
      <c r="BD1546" s="4"/>
      <c r="BE1546" s="4"/>
      <c r="BF1546" s="4"/>
      <c r="BG1546" s="4"/>
      <c r="BH1546" s="4"/>
      <c r="BI1546" s="4"/>
      <c r="BJ1546" s="4"/>
      <c r="BK1546" s="4"/>
      <c r="BL1546" s="4"/>
      <c r="BM1546" s="4"/>
      <c r="BN1546" s="4"/>
      <c r="BO1546" s="4"/>
      <c r="BP1546" s="4"/>
      <c r="BQ1546" s="4"/>
      <c r="BR1546" s="4"/>
      <c r="BS1546" s="4"/>
      <c r="BT1546" s="4"/>
      <c r="BU1546" s="4"/>
    </row>
    <row r="1547" spans="29:73" s="1" customFormat="1" x14ac:dyDescent="0.25">
      <c r="AC1547" s="4"/>
      <c r="AD1547" s="4"/>
      <c r="AE1547" s="4"/>
      <c r="AF1547" s="4"/>
      <c r="AG1547" s="4"/>
      <c r="AH1547" s="4"/>
      <c r="AI1547" s="4"/>
      <c r="AJ1547" s="4"/>
      <c r="AK1547" s="4"/>
      <c r="AL1547" s="4"/>
      <c r="AM1547" s="4"/>
      <c r="AN1547" s="4"/>
      <c r="AO1547" s="4"/>
      <c r="AP1547" s="4"/>
      <c r="AQ1547" s="4"/>
      <c r="AR1547" s="4"/>
      <c r="AS1547" s="4"/>
      <c r="AT1547" s="4"/>
      <c r="AU1547" s="4"/>
      <c r="AV1547" s="4"/>
      <c r="AW1547" s="4"/>
      <c r="AX1547" s="4"/>
      <c r="AY1547" s="4"/>
      <c r="AZ1547" s="4"/>
      <c r="BA1547" s="4"/>
      <c r="BB1547" s="4"/>
      <c r="BC1547" s="4"/>
      <c r="BD1547" s="4"/>
      <c r="BE1547" s="4"/>
      <c r="BF1547" s="4"/>
      <c r="BG1547" s="4"/>
      <c r="BH1547" s="4"/>
      <c r="BI1547" s="4"/>
      <c r="BJ1547" s="4"/>
      <c r="BK1547" s="4"/>
      <c r="BL1547" s="4"/>
      <c r="BM1547" s="4"/>
      <c r="BN1547" s="4"/>
      <c r="BO1547" s="4"/>
      <c r="BP1547" s="4"/>
      <c r="BQ1547" s="4"/>
      <c r="BR1547" s="4"/>
      <c r="BS1547" s="4"/>
      <c r="BT1547" s="4"/>
      <c r="BU1547" s="4"/>
    </row>
    <row r="1548" spans="29:73" s="1" customFormat="1" x14ac:dyDescent="0.25">
      <c r="AC1548" s="4"/>
      <c r="AD1548" s="4"/>
      <c r="AE1548" s="4"/>
      <c r="AF1548" s="4"/>
      <c r="AG1548" s="4"/>
      <c r="AH1548" s="4"/>
      <c r="AI1548" s="4"/>
      <c r="AJ1548" s="4"/>
      <c r="AK1548" s="4"/>
      <c r="AL1548" s="4"/>
      <c r="AM1548" s="4"/>
      <c r="AN1548" s="4"/>
      <c r="AO1548" s="4"/>
      <c r="AP1548" s="4"/>
      <c r="AQ1548" s="4"/>
      <c r="AR1548" s="4"/>
      <c r="AS1548" s="4"/>
      <c r="AT1548" s="4"/>
      <c r="AU1548" s="4"/>
      <c r="AV1548" s="4"/>
      <c r="AW1548" s="4"/>
      <c r="AX1548" s="4"/>
      <c r="AY1548" s="4"/>
      <c r="AZ1548" s="4"/>
      <c r="BA1548" s="4"/>
      <c r="BB1548" s="4"/>
      <c r="BC1548" s="4"/>
      <c r="BD1548" s="4"/>
      <c r="BE1548" s="4"/>
      <c r="BF1548" s="4"/>
      <c r="BG1548" s="4"/>
      <c r="BH1548" s="4"/>
      <c r="BI1548" s="4"/>
      <c r="BJ1548" s="4"/>
      <c r="BK1548" s="4"/>
      <c r="BL1548" s="4"/>
      <c r="BM1548" s="4"/>
      <c r="BN1548" s="4"/>
      <c r="BO1548" s="4"/>
      <c r="BP1548" s="4"/>
      <c r="BQ1548" s="4"/>
      <c r="BR1548" s="4"/>
      <c r="BS1548" s="4"/>
      <c r="BT1548" s="4"/>
      <c r="BU1548" s="4"/>
    </row>
    <row r="1549" spans="29:73" s="1" customFormat="1" x14ac:dyDescent="0.25">
      <c r="AC1549" s="4"/>
      <c r="AD1549" s="4"/>
      <c r="AE1549" s="4"/>
      <c r="AF1549" s="4"/>
      <c r="AG1549" s="4"/>
      <c r="AH1549" s="4"/>
      <c r="AI1549" s="4"/>
      <c r="AJ1549" s="4"/>
      <c r="AK1549" s="4"/>
      <c r="AL1549" s="4"/>
      <c r="AM1549" s="4"/>
      <c r="AN1549" s="4"/>
      <c r="AO1549" s="4"/>
      <c r="AP1549" s="4"/>
      <c r="AQ1549" s="4"/>
      <c r="AR1549" s="4"/>
      <c r="AS1549" s="4"/>
      <c r="AT1549" s="4"/>
      <c r="AU1549" s="4"/>
      <c r="AV1549" s="4"/>
      <c r="AW1549" s="4"/>
      <c r="AX1549" s="4"/>
      <c r="AY1549" s="4"/>
      <c r="AZ1549" s="4"/>
      <c r="BA1549" s="4"/>
      <c r="BB1549" s="4"/>
      <c r="BC1549" s="4"/>
      <c r="BD1549" s="4"/>
      <c r="BE1549" s="4"/>
      <c r="BF1549" s="4"/>
      <c r="BG1549" s="4"/>
      <c r="BH1549" s="4"/>
      <c r="BI1549" s="4"/>
      <c r="BJ1549" s="4"/>
      <c r="BK1549" s="4"/>
      <c r="BL1549" s="4"/>
      <c r="BM1549" s="4"/>
      <c r="BN1549" s="4"/>
      <c r="BO1549" s="4"/>
      <c r="BP1549" s="4"/>
      <c r="BQ1549" s="4"/>
      <c r="BR1549" s="4"/>
      <c r="BS1549" s="4"/>
      <c r="BT1549" s="4"/>
      <c r="BU1549" s="4"/>
    </row>
    <row r="1550" spans="29:73" s="1" customFormat="1" x14ac:dyDescent="0.25">
      <c r="AC1550" s="4"/>
      <c r="AD1550" s="4"/>
      <c r="AE1550" s="4"/>
      <c r="AF1550" s="4"/>
      <c r="AG1550" s="4"/>
      <c r="AH1550" s="4"/>
      <c r="AI1550" s="4"/>
      <c r="AJ1550" s="4"/>
      <c r="AK1550" s="4"/>
      <c r="AL1550" s="4"/>
      <c r="AM1550" s="4"/>
      <c r="AN1550" s="4"/>
      <c r="AO1550" s="4"/>
      <c r="AP1550" s="4"/>
      <c r="AQ1550" s="4"/>
      <c r="AR1550" s="4"/>
      <c r="AS1550" s="4"/>
      <c r="AT1550" s="4"/>
      <c r="AU1550" s="4"/>
      <c r="AV1550" s="4"/>
      <c r="AW1550" s="4"/>
      <c r="AX1550" s="4"/>
      <c r="AY1550" s="4"/>
      <c r="AZ1550" s="4"/>
      <c r="BA1550" s="4"/>
      <c r="BB1550" s="4"/>
      <c r="BC1550" s="4"/>
      <c r="BD1550" s="4"/>
      <c r="BE1550" s="4"/>
      <c r="BF1550" s="4"/>
      <c r="BG1550" s="4"/>
      <c r="BH1550" s="4"/>
      <c r="BI1550" s="4"/>
      <c r="BJ1550" s="4"/>
      <c r="BK1550" s="4"/>
      <c r="BL1550" s="4"/>
      <c r="BM1550" s="4"/>
      <c r="BN1550" s="4"/>
      <c r="BO1550" s="4"/>
      <c r="BP1550" s="4"/>
      <c r="BQ1550" s="4"/>
      <c r="BR1550" s="4"/>
      <c r="BS1550" s="4"/>
      <c r="BT1550" s="4"/>
      <c r="BU1550" s="4"/>
    </row>
    <row r="1551" spans="29:73" s="1" customFormat="1" x14ac:dyDescent="0.25">
      <c r="AC1551" s="4"/>
      <c r="AD1551" s="4"/>
      <c r="AE1551" s="4"/>
      <c r="AF1551" s="4"/>
      <c r="AG1551" s="4"/>
      <c r="AH1551" s="4"/>
      <c r="AI1551" s="4"/>
      <c r="AJ1551" s="4"/>
      <c r="AK1551" s="4"/>
      <c r="AL1551" s="4"/>
      <c r="AM1551" s="4"/>
      <c r="AN1551" s="4"/>
      <c r="AO1551" s="4"/>
      <c r="AP1551" s="4"/>
      <c r="AQ1551" s="4"/>
      <c r="AR1551" s="4"/>
      <c r="AS1551" s="4"/>
      <c r="AT1551" s="4"/>
      <c r="AU1551" s="4"/>
      <c r="AV1551" s="4"/>
      <c r="AW1551" s="4"/>
      <c r="AX1551" s="4"/>
      <c r="AY1551" s="4"/>
      <c r="AZ1551" s="4"/>
      <c r="BA1551" s="4"/>
      <c r="BB1551" s="4"/>
      <c r="BC1551" s="4"/>
      <c r="BD1551" s="4"/>
      <c r="BE1551" s="4"/>
      <c r="BF1551" s="4"/>
      <c r="BG1551" s="4"/>
      <c r="BH1551" s="4"/>
      <c r="BI1551" s="4"/>
      <c r="BJ1551" s="4"/>
      <c r="BK1551" s="4"/>
      <c r="BL1551" s="4"/>
      <c r="BM1551" s="4"/>
      <c r="BN1551" s="4"/>
      <c r="BO1551" s="4"/>
      <c r="BP1551" s="4"/>
      <c r="BQ1551" s="4"/>
      <c r="BR1551" s="4"/>
      <c r="BS1551" s="4"/>
      <c r="BT1551" s="4"/>
      <c r="BU1551" s="4"/>
    </row>
    <row r="1552" spans="29:73" s="1" customFormat="1" x14ac:dyDescent="0.25">
      <c r="AC1552" s="4"/>
      <c r="AD1552" s="4"/>
      <c r="AE1552" s="4"/>
      <c r="AF1552" s="4"/>
      <c r="AG1552" s="4"/>
      <c r="AH1552" s="4"/>
      <c r="AI1552" s="4"/>
      <c r="AJ1552" s="4"/>
      <c r="AK1552" s="4"/>
      <c r="AL1552" s="4"/>
      <c r="AM1552" s="4"/>
      <c r="AN1552" s="4"/>
      <c r="AO1552" s="4"/>
      <c r="AP1552" s="4"/>
      <c r="AQ1552" s="4"/>
      <c r="AR1552" s="4"/>
      <c r="AS1552" s="4"/>
      <c r="AT1552" s="4"/>
      <c r="AU1552" s="4"/>
      <c r="AV1552" s="4"/>
      <c r="AW1552" s="4"/>
      <c r="AX1552" s="4"/>
      <c r="AY1552" s="4"/>
      <c r="AZ1552" s="4"/>
      <c r="BA1552" s="4"/>
      <c r="BB1552" s="4"/>
      <c r="BC1552" s="4"/>
      <c r="BD1552" s="4"/>
      <c r="BE1552" s="4"/>
      <c r="BF1552" s="4"/>
      <c r="BG1552" s="4"/>
      <c r="BH1552" s="4"/>
      <c r="BI1552" s="4"/>
      <c r="BJ1552" s="4"/>
      <c r="BK1552" s="4"/>
      <c r="BL1552" s="4"/>
      <c r="BM1552" s="4"/>
      <c r="BN1552" s="4"/>
      <c r="BO1552" s="4"/>
      <c r="BP1552" s="4"/>
      <c r="BQ1552" s="4"/>
      <c r="BR1552" s="4"/>
      <c r="BS1552" s="4"/>
      <c r="BT1552" s="4"/>
      <c r="BU1552" s="4"/>
    </row>
    <row r="1553" spans="29:73" s="1" customFormat="1" x14ac:dyDescent="0.25">
      <c r="AC1553" s="4"/>
      <c r="AD1553" s="4"/>
      <c r="AE1553" s="4"/>
      <c r="AF1553" s="4"/>
      <c r="AG1553" s="4"/>
      <c r="AH1553" s="4"/>
      <c r="AI1553" s="4"/>
      <c r="AJ1553" s="4"/>
      <c r="AK1553" s="4"/>
      <c r="AL1553" s="4"/>
      <c r="AM1553" s="4"/>
      <c r="AN1553" s="4"/>
      <c r="AO1553" s="4"/>
      <c r="AP1553" s="4"/>
      <c r="AQ1553" s="4"/>
      <c r="AR1553" s="4"/>
      <c r="AS1553" s="4"/>
      <c r="AT1553" s="4"/>
      <c r="AU1553" s="4"/>
      <c r="AV1553" s="4"/>
      <c r="AW1553" s="4"/>
      <c r="AX1553" s="4"/>
      <c r="AY1553" s="4"/>
      <c r="AZ1553" s="4"/>
      <c r="BA1553" s="4"/>
      <c r="BB1553" s="4"/>
      <c r="BC1553" s="4"/>
      <c r="BD1553" s="4"/>
      <c r="BE1553" s="4"/>
      <c r="BF1553" s="4"/>
      <c r="BG1553" s="4"/>
      <c r="BH1553" s="4"/>
      <c r="BI1553" s="4"/>
      <c r="BJ1553" s="4"/>
      <c r="BK1553" s="4"/>
      <c r="BL1553" s="4"/>
      <c r="BM1553" s="4"/>
      <c r="BN1553" s="4"/>
      <c r="BO1553" s="4"/>
      <c r="BP1553" s="4"/>
      <c r="BQ1553" s="4"/>
      <c r="BR1553" s="4"/>
      <c r="BS1553" s="4"/>
      <c r="BT1553" s="4"/>
      <c r="BU1553" s="4"/>
    </row>
    <row r="1554" spans="29:73" s="1" customFormat="1" x14ac:dyDescent="0.25">
      <c r="AC1554" s="4"/>
      <c r="AD1554" s="4"/>
      <c r="AE1554" s="4"/>
      <c r="AF1554" s="4"/>
      <c r="AG1554" s="4"/>
      <c r="AH1554" s="4"/>
      <c r="AI1554" s="4"/>
      <c r="AJ1554" s="4"/>
      <c r="AK1554" s="4"/>
      <c r="AL1554" s="4"/>
      <c r="AM1554" s="4"/>
      <c r="AN1554" s="4"/>
      <c r="AO1554" s="4"/>
      <c r="AP1554" s="4"/>
      <c r="AQ1554" s="4"/>
      <c r="AR1554" s="4"/>
      <c r="AS1554" s="4"/>
      <c r="AT1554" s="4"/>
      <c r="AU1554" s="4"/>
      <c r="AV1554" s="4"/>
      <c r="AW1554" s="4"/>
      <c r="AX1554" s="4"/>
      <c r="AY1554" s="4"/>
      <c r="AZ1554" s="4"/>
      <c r="BA1554" s="4"/>
      <c r="BB1554" s="4"/>
      <c r="BC1554" s="4"/>
      <c r="BD1554" s="4"/>
      <c r="BE1554" s="4"/>
      <c r="BF1554" s="4"/>
      <c r="BG1554" s="4"/>
      <c r="BH1554" s="4"/>
      <c r="BI1554" s="4"/>
      <c r="BJ1554" s="4"/>
      <c r="BK1554" s="4"/>
      <c r="BL1554" s="4"/>
      <c r="BM1554" s="4"/>
      <c r="BN1554" s="4"/>
      <c r="BO1554" s="4"/>
      <c r="BP1554" s="4"/>
      <c r="BQ1554" s="4"/>
      <c r="BR1554" s="4"/>
      <c r="BS1554" s="4"/>
      <c r="BT1554" s="4"/>
      <c r="BU1554" s="4"/>
    </row>
    <row r="1555" spans="29:73" s="1" customFormat="1" x14ac:dyDescent="0.25">
      <c r="AC1555" s="4"/>
      <c r="AD1555" s="4"/>
      <c r="AE1555" s="4"/>
      <c r="AF1555" s="4"/>
      <c r="AG1555" s="4"/>
      <c r="AH1555" s="4"/>
      <c r="AI1555" s="4"/>
      <c r="AJ1555" s="4"/>
      <c r="AK1555" s="4"/>
      <c r="AL1555" s="4"/>
      <c r="AM1555" s="4"/>
      <c r="AN1555" s="4"/>
      <c r="AO1555" s="4"/>
      <c r="AP1555" s="4"/>
      <c r="AQ1555" s="4"/>
      <c r="AR1555" s="4"/>
      <c r="AS1555" s="4"/>
      <c r="AT1555" s="4"/>
      <c r="AU1555" s="4"/>
      <c r="AV1555" s="4"/>
      <c r="AW1555" s="4"/>
      <c r="AX1555" s="4"/>
      <c r="AY1555" s="4"/>
      <c r="AZ1555" s="4"/>
      <c r="BA1555" s="4"/>
      <c r="BB1555" s="4"/>
      <c r="BC1555" s="4"/>
      <c r="BD1555" s="4"/>
      <c r="BE1555" s="4"/>
      <c r="BF1555" s="4"/>
      <c r="BG1555" s="4"/>
      <c r="BH1555" s="4"/>
      <c r="BI1555" s="4"/>
      <c r="BJ1555" s="4"/>
      <c r="BK1555" s="4"/>
      <c r="BL1555" s="4"/>
      <c r="BM1555" s="4"/>
      <c r="BN1555" s="4"/>
      <c r="BO1555" s="4"/>
      <c r="BP1555" s="4"/>
      <c r="BQ1555" s="4"/>
      <c r="BR1555" s="4"/>
      <c r="BS1555" s="4"/>
      <c r="BT1555" s="4"/>
      <c r="BU1555" s="4"/>
    </row>
    <row r="1556" spans="29:73" s="1" customFormat="1" x14ac:dyDescent="0.25">
      <c r="AC1556" s="4"/>
      <c r="AD1556" s="4"/>
      <c r="AE1556" s="4"/>
      <c r="AF1556" s="4"/>
      <c r="AG1556" s="4"/>
      <c r="AH1556" s="4"/>
      <c r="AI1556" s="4"/>
      <c r="AJ1556" s="4"/>
      <c r="AK1556" s="4"/>
      <c r="AL1556" s="4"/>
      <c r="AM1556" s="4"/>
      <c r="AN1556" s="4"/>
      <c r="AO1556" s="4"/>
      <c r="AP1556" s="4"/>
      <c r="AQ1556" s="4"/>
      <c r="AR1556" s="4"/>
      <c r="AS1556" s="4"/>
      <c r="AT1556" s="4"/>
      <c r="AU1556" s="4"/>
      <c r="AV1556" s="4"/>
      <c r="AW1556" s="4"/>
      <c r="AX1556" s="4"/>
      <c r="AY1556" s="4"/>
      <c r="AZ1556" s="4"/>
      <c r="BA1556" s="4"/>
      <c r="BB1556" s="4"/>
      <c r="BC1556" s="4"/>
      <c r="BD1556" s="4"/>
      <c r="BE1556" s="4"/>
      <c r="BF1556" s="4"/>
      <c r="BG1556" s="4"/>
      <c r="BH1556" s="4"/>
      <c r="BI1556" s="4"/>
      <c r="BJ1556" s="4"/>
      <c r="BK1556" s="4"/>
      <c r="BL1556" s="4"/>
      <c r="BM1556" s="4"/>
      <c r="BN1556" s="4"/>
      <c r="BO1556" s="4"/>
      <c r="BP1556" s="4"/>
      <c r="BQ1556" s="4"/>
      <c r="BR1556" s="4"/>
      <c r="BS1556" s="4"/>
      <c r="BT1556" s="4"/>
      <c r="BU1556" s="4"/>
    </row>
    <row r="1557" spans="29:73" s="1" customFormat="1" x14ac:dyDescent="0.25">
      <c r="AC1557" s="4"/>
      <c r="AD1557" s="4"/>
      <c r="AE1557" s="4"/>
      <c r="AF1557" s="4"/>
      <c r="AG1557" s="4"/>
      <c r="AH1557" s="4"/>
      <c r="AI1557" s="4"/>
      <c r="AJ1557" s="4"/>
      <c r="AK1557" s="4"/>
      <c r="AL1557" s="4"/>
      <c r="AM1557" s="4"/>
      <c r="AN1557" s="4"/>
      <c r="AO1557" s="4"/>
      <c r="AP1557" s="4"/>
      <c r="AQ1557" s="4"/>
      <c r="AR1557" s="4"/>
      <c r="AS1557" s="4"/>
      <c r="AT1557" s="4"/>
      <c r="AU1557" s="4"/>
      <c r="AV1557" s="4"/>
      <c r="AW1557" s="4"/>
      <c r="AX1557" s="4"/>
      <c r="AY1557" s="4"/>
      <c r="AZ1557" s="4"/>
      <c r="BA1557" s="4"/>
      <c r="BB1557" s="4"/>
      <c r="BC1557" s="4"/>
      <c r="BD1557" s="4"/>
      <c r="BE1557" s="4"/>
      <c r="BF1557" s="4"/>
      <c r="BG1557" s="4"/>
      <c r="BH1557" s="4"/>
      <c r="BI1557" s="4"/>
      <c r="BJ1557" s="4"/>
      <c r="BK1557" s="4"/>
      <c r="BL1557" s="4"/>
      <c r="BM1557" s="4"/>
      <c r="BN1557" s="4"/>
      <c r="BO1557" s="4"/>
      <c r="BP1557" s="4"/>
      <c r="BQ1557" s="4"/>
      <c r="BR1557" s="4"/>
      <c r="BS1557" s="4"/>
      <c r="BT1557" s="4"/>
      <c r="BU1557" s="4"/>
    </row>
    <row r="1558" spans="29:73" s="1" customFormat="1" x14ac:dyDescent="0.25">
      <c r="AC1558" s="4"/>
      <c r="AD1558" s="4"/>
      <c r="AE1558" s="4"/>
      <c r="AF1558" s="4"/>
      <c r="AG1558" s="4"/>
      <c r="AH1558" s="4"/>
      <c r="AI1558" s="4"/>
      <c r="AJ1558" s="4"/>
      <c r="AK1558" s="4"/>
      <c r="AL1558" s="4"/>
      <c r="AM1558" s="4"/>
      <c r="AN1558" s="4"/>
      <c r="AO1558" s="4"/>
      <c r="AP1558" s="4"/>
      <c r="AQ1558" s="4"/>
      <c r="AR1558" s="4"/>
      <c r="AS1558" s="4"/>
      <c r="AT1558" s="4"/>
      <c r="AU1558" s="4"/>
      <c r="AV1558" s="4"/>
      <c r="AW1558" s="4"/>
      <c r="AX1558" s="4"/>
      <c r="AY1558" s="4"/>
      <c r="AZ1558" s="4"/>
      <c r="BA1558" s="4"/>
      <c r="BB1558" s="4"/>
      <c r="BC1558" s="4"/>
      <c r="BD1558" s="4"/>
      <c r="BE1558" s="4"/>
      <c r="BF1558" s="4"/>
      <c r="BG1558" s="4"/>
      <c r="BH1558" s="4"/>
      <c r="BI1558" s="4"/>
      <c r="BJ1558" s="4"/>
      <c r="BK1558" s="4"/>
      <c r="BL1558" s="4"/>
      <c r="BM1558" s="4"/>
      <c r="BN1558" s="4"/>
      <c r="BO1558" s="4"/>
      <c r="BP1558" s="4"/>
      <c r="BQ1558" s="4"/>
      <c r="BR1558" s="4"/>
      <c r="BS1558" s="4"/>
      <c r="BT1558" s="4"/>
      <c r="BU1558" s="4"/>
    </row>
    <row r="1559" spans="29:73" s="1" customFormat="1" x14ac:dyDescent="0.25">
      <c r="AC1559" s="4"/>
      <c r="AD1559" s="4"/>
      <c r="AE1559" s="4"/>
      <c r="AF1559" s="4"/>
      <c r="AG1559" s="4"/>
      <c r="AH1559" s="4"/>
      <c r="AI1559" s="4"/>
      <c r="AJ1559" s="4"/>
      <c r="AK1559" s="4"/>
      <c r="AL1559" s="4"/>
      <c r="AM1559" s="4"/>
      <c r="AN1559" s="4"/>
      <c r="AO1559" s="4"/>
      <c r="AP1559" s="4"/>
      <c r="AQ1559" s="4"/>
      <c r="AR1559" s="4"/>
      <c r="AS1559" s="4"/>
      <c r="AT1559" s="4"/>
      <c r="AU1559" s="4"/>
      <c r="AV1559" s="4"/>
      <c r="AW1559" s="4"/>
      <c r="AX1559" s="4"/>
      <c r="AY1559" s="4"/>
      <c r="AZ1559" s="4"/>
      <c r="BA1559" s="4"/>
      <c r="BB1559" s="4"/>
      <c r="BC1559" s="4"/>
      <c r="BD1559" s="4"/>
      <c r="BE1559" s="4"/>
      <c r="BF1559" s="4"/>
      <c r="BG1559" s="4"/>
      <c r="BH1559" s="4"/>
      <c r="BI1559" s="4"/>
      <c r="BJ1559" s="4"/>
      <c r="BK1559" s="4"/>
      <c r="BL1559" s="4"/>
      <c r="BM1559" s="4"/>
      <c r="BN1559" s="4"/>
      <c r="BO1559" s="4"/>
      <c r="BP1559" s="4"/>
      <c r="BQ1559" s="4"/>
      <c r="BR1559" s="4"/>
      <c r="BS1559" s="4"/>
      <c r="BT1559" s="4"/>
      <c r="BU1559" s="4"/>
    </row>
    <row r="1560" spans="29:73" s="1" customFormat="1" x14ac:dyDescent="0.25">
      <c r="AC1560" s="4"/>
      <c r="AD1560" s="4"/>
      <c r="AE1560" s="4"/>
      <c r="AF1560" s="4"/>
      <c r="AG1560" s="4"/>
      <c r="AH1560" s="4"/>
      <c r="AI1560" s="4"/>
      <c r="AJ1560" s="4"/>
      <c r="AK1560" s="4"/>
      <c r="AL1560" s="4"/>
      <c r="AM1560" s="4"/>
      <c r="AN1560" s="4"/>
      <c r="AO1560" s="4"/>
      <c r="AP1560" s="4"/>
      <c r="AQ1560" s="4"/>
      <c r="AR1560" s="4"/>
      <c r="AS1560" s="4"/>
      <c r="AT1560" s="4"/>
      <c r="AU1560" s="4"/>
      <c r="AV1560" s="4"/>
      <c r="AW1560" s="4"/>
      <c r="AX1560" s="4"/>
      <c r="AY1560" s="4"/>
      <c r="AZ1560" s="4"/>
      <c r="BA1560" s="4"/>
      <c r="BB1560" s="4"/>
      <c r="BC1560" s="4"/>
      <c r="BD1560" s="4"/>
      <c r="BE1560" s="4"/>
      <c r="BF1560" s="4"/>
      <c r="BG1560" s="4"/>
      <c r="BH1560" s="4"/>
      <c r="BI1560" s="4"/>
      <c r="BJ1560" s="4"/>
      <c r="BK1560" s="4"/>
      <c r="BL1560" s="4"/>
      <c r="BM1560" s="4"/>
      <c r="BN1560" s="4"/>
      <c r="BO1560" s="4"/>
      <c r="BP1560" s="4"/>
      <c r="BQ1560" s="4"/>
      <c r="BR1560" s="4"/>
      <c r="BS1560" s="4"/>
      <c r="BT1560" s="4"/>
      <c r="BU1560" s="4"/>
    </row>
    <row r="1561" spans="29:73" s="1" customFormat="1" x14ac:dyDescent="0.25">
      <c r="AC1561" s="4"/>
      <c r="AD1561" s="4"/>
      <c r="AE1561" s="4"/>
      <c r="AF1561" s="4"/>
      <c r="AG1561" s="4"/>
      <c r="AH1561" s="4"/>
      <c r="AI1561" s="4"/>
      <c r="AJ1561" s="4"/>
      <c r="AK1561" s="4"/>
      <c r="AL1561" s="4"/>
      <c r="AM1561" s="4"/>
      <c r="AN1561" s="4"/>
      <c r="AO1561" s="4"/>
      <c r="AP1561" s="4"/>
      <c r="AQ1561" s="4"/>
      <c r="AR1561" s="4"/>
      <c r="AS1561" s="4"/>
      <c r="AT1561" s="4"/>
      <c r="AU1561" s="4"/>
      <c r="AV1561" s="4"/>
      <c r="AW1561" s="4"/>
      <c r="AX1561" s="4"/>
      <c r="AY1561" s="4"/>
      <c r="AZ1561" s="4"/>
      <c r="BA1561" s="4"/>
      <c r="BB1561" s="4"/>
      <c r="BC1561" s="4"/>
      <c r="BD1561" s="4"/>
      <c r="BE1561" s="4"/>
      <c r="BF1561" s="4"/>
      <c r="BG1561" s="4"/>
      <c r="BH1561" s="4"/>
      <c r="BI1561" s="4"/>
      <c r="BJ1561" s="4"/>
      <c r="BK1561" s="4"/>
      <c r="BL1561" s="4"/>
      <c r="BM1561" s="4"/>
      <c r="BN1561" s="4"/>
      <c r="BO1561" s="4"/>
      <c r="BP1561" s="4"/>
      <c r="BQ1561" s="4"/>
      <c r="BR1561" s="4"/>
      <c r="BS1561" s="4"/>
      <c r="BT1561" s="4"/>
      <c r="BU1561" s="4"/>
    </row>
    <row r="1562" spans="29:73" s="1" customFormat="1" x14ac:dyDescent="0.25">
      <c r="AC1562" s="4"/>
      <c r="AD1562" s="4"/>
      <c r="AE1562" s="4"/>
      <c r="AF1562" s="4"/>
      <c r="AG1562" s="4"/>
      <c r="AH1562" s="4"/>
      <c r="AI1562" s="4"/>
      <c r="AJ1562" s="4"/>
      <c r="AK1562" s="4"/>
      <c r="AL1562" s="4"/>
      <c r="AM1562" s="4"/>
      <c r="AN1562" s="4"/>
      <c r="AO1562" s="4"/>
      <c r="AP1562" s="4"/>
      <c r="AQ1562" s="4"/>
      <c r="AR1562" s="4"/>
      <c r="AS1562" s="4"/>
      <c r="AT1562" s="4"/>
      <c r="AU1562" s="4"/>
      <c r="AV1562" s="4"/>
      <c r="AW1562" s="4"/>
      <c r="AX1562" s="4"/>
      <c r="AY1562" s="4"/>
      <c r="AZ1562" s="4"/>
      <c r="BA1562" s="4"/>
      <c r="BB1562" s="4"/>
      <c r="BC1562" s="4"/>
      <c r="BD1562" s="4"/>
      <c r="BE1562" s="4"/>
      <c r="BF1562" s="4"/>
      <c r="BG1562" s="4"/>
      <c r="BH1562" s="4"/>
      <c r="BI1562" s="4"/>
      <c r="BJ1562" s="4"/>
      <c r="BK1562" s="4"/>
      <c r="BL1562" s="4"/>
      <c r="BM1562" s="4"/>
      <c r="BN1562" s="4"/>
      <c r="BO1562" s="4"/>
      <c r="BP1562" s="4"/>
      <c r="BQ1562" s="4"/>
      <c r="BR1562" s="4"/>
      <c r="BS1562" s="4"/>
      <c r="BT1562" s="4"/>
      <c r="BU1562" s="4"/>
    </row>
    <row r="1563" spans="29:73" s="1" customFormat="1" x14ac:dyDescent="0.25">
      <c r="AC1563" s="4"/>
      <c r="AD1563" s="4"/>
      <c r="AE1563" s="4"/>
      <c r="AF1563" s="4"/>
      <c r="AG1563" s="4"/>
      <c r="AH1563" s="4"/>
      <c r="AI1563" s="4"/>
      <c r="AJ1563" s="4"/>
      <c r="AK1563" s="4"/>
      <c r="AL1563" s="4"/>
      <c r="AM1563" s="4"/>
      <c r="AN1563" s="4"/>
      <c r="AO1563" s="4"/>
      <c r="AP1563" s="4"/>
      <c r="AQ1563" s="4"/>
      <c r="AR1563" s="4"/>
      <c r="AS1563" s="4"/>
      <c r="AT1563" s="4"/>
      <c r="AU1563" s="4"/>
      <c r="AV1563" s="4"/>
      <c r="AW1563" s="4"/>
      <c r="AX1563" s="4"/>
      <c r="AY1563" s="4"/>
      <c r="AZ1563" s="4"/>
      <c r="BA1563" s="4"/>
      <c r="BB1563" s="4"/>
      <c r="BC1563" s="4"/>
      <c r="BD1563" s="4"/>
      <c r="BE1563" s="4"/>
      <c r="BF1563" s="4"/>
      <c r="BG1563" s="4"/>
      <c r="BH1563" s="4"/>
      <c r="BI1563" s="4"/>
      <c r="BJ1563" s="4"/>
      <c r="BK1563" s="4"/>
      <c r="BL1563" s="4"/>
      <c r="BM1563" s="4"/>
      <c r="BN1563" s="4"/>
      <c r="BO1563" s="4"/>
      <c r="BP1563" s="4"/>
      <c r="BQ1563" s="4"/>
      <c r="BR1563" s="4"/>
      <c r="BS1563" s="4"/>
      <c r="BT1563" s="4"/>
      <c r="BU1563" s="4"/>
    </row>
    <row r="1564" spans="29:73" s="1" customFormat="1" x14ac:dyDescent="0.25">
      <c r="AC1564" s="4"/>
      <c r="AD1564" s="4"/>
      <c r="AE1564" s="4"/>
      <c r="AF1564" s="4"/>
      <c r="AG1564" s="4"/>
      <c r="AH1564" s="4"/>
      <c r="AI1564" s="4"/>
      <c r="AJ1564" s="4"/>
      <c r="AK1564" s="4"/>
      <c r="AL1564" s="4"/>
      <c r="AM1564" s="4"/>
      <c r="AN1564" s="4"/>
      <c r="AO1564" s="4"/>
      <c r="AP1564" s="4"/>
      <c r="AQ1564" s="4"/>
      <c r="AR1564" s="4"/>
      <c r="AS1564" s="4"/>
      <c r="AT1564" s="4"/>
      <c r="AU1564" s="4"/>
      <c r="AV1564" s="4"/>
      <c r="AW1564" s="4"/>
      <c r="AX1564" s="4"/>
      <c r="AY1564" s="4"/>
      <c r="AZ1564" s="4"/>
      <c r="BA1564" s="4"/>
      <c r="BB1564" s="4"/>
      <c r="BC1564" s="4"/>
      <c r="BD1564" s="4"/>
      <c r="BE1564" s="4"/>
      <c r="BF1564" s="4"/>
      <c r="BG1564" s="4"/>
      <c r="BH1564" s="4"/>
      <c r="BI1564" s="4"/>
      <c r="BJ1564" s="4"/>
      <c r="BK1564" s="4"/>
      <c r="BL1564" s="4"/>
      <c r="BM1564" s="4"/>
      <c r="BN1564" s="4"/>
      <c r="BO1564" s="4"/>
      <c r="BP1564" s="4"/>
      <c r="BQ1564" s="4"/>
      <c r="BR1564" s="4"/>
      <c r="BS1564" s="4"/>
      <c r="BT1564" s="4"/>
      <c r="BU1564" s="4"/>
    </row>
    <row r="1565" spans="29:73" s="1" customFormat="1" x14ac:dyDescent="0.25">
      <c r="AC1565" s="4"/>
      <c r="AD1565" s="4"/>
      <c r="AE1565" s="4"/>
      <c r="AF1565" s="4"/>
      <c r="AG1565" s="4"/>
      <c r="AH1565" s="4"/>
      <c r="AI1565" s="4"/>
      <c r="AJ1565" s="4"/>
      <c r="AK1565" s="4"/>
      <c r="AL1565" s="4"/>
      <c r="AM1565" s="4"/>
      <c r="AN1565" s="4"/>
      <c r="AO1565" s="4"/>
      <c r="AP1565" s="4"/>
      <c r="AQ1565" s="4"/>
      <c r="AR1565" s="4"/>
      <c r="AS1565" s="4"/>
      <c r="AT1565" s="4"/>
      <c r="AU1565" s="4"/>
      <c r="AV1565" s="4"/>
      <c r="AW1565" s="4"/>
      <c r="AX1565" s="4"/>
      <c r="AY1565" s="4"/>
      <c r="AZ1565" s="4"/>
      <c r="BA1565" s="4"/>
      <c r="BB1565" s="4"/>
      <c r="BC1565" s="4"/>
      <c r="BD1565" s="4"/>
      <c r="BE1565" s="4"/>
      <c r="BF1565" s="4"/>
      <c r="BG1565" s="4"/>
      <c r="BH1565" s="4"/>
      <c r="BI1565" s="4"/>
      <c r="BJ1565" s="4"/>
      <c r="BK1565" s="4"/>
      <c r="BL1565" s="4"/>
      <c r="BM1565" s="4"/>
      <c r="BN1565" s="4"/>
      <c r="BO1565" s="4"/>
      <c r="BP1565" s="4"/>
      <c r="BQ1565" s="4"/>
      <c r="BR1565" s="4"/>
      <c r="BS1565" s="4"/>
      <c r="BT1565" s="4"/>
      <c r="BU1565" s="4"/>
    </row>
    <row r="1566" spans="29:73" s="1" customFormat="1" x14ac:dyDescent="0.25">
      <c r="AC1566" s="4"/>
      <c r="AD1566" s="4"/>
      <c r="AE1566" s="4"/>
      <c r="AF1566" s="4"/>
      <c r="AG1566" s="4"/>
      <c r="AH1566" s="4"/>
      <c r="AI1566" s="4"/>
      <c r="AJ1566" s="4"/>
      <c r="AK1566" s="4"/>
      <c r="AL1566" s="4"/>
      <c r="AM1566" s="4"/>
      <c r="AN1566" s="4"/>
      <c r="AO1566" s="4"/>
      <c r="AP1566" s="4"/>
      <c r="AQ1566" s="4"/>
      <c r="AR1566" s="4"/>
      <c r="AS1566" s="4"/>
      <c r="AT1566" s="4"/>
      <c r="AU1566" s="4"/>
      <c r="AV1566" s="4"/>
      <c r="AW1566" s="4"/>
      <c r="AX1566" s="4"/>
      <c r="AY1566" s="4"/>
      <c r="AZ1566" s="4"/>
      <c r="BA1566" s="4"/>
      <c r="BB1566" s="4"/>
      <c r="BC1566" s="4"/>
      <c r="BD1566" s="4"/>
      <c r="BE1566" s="4"/>
      <c r="BF1566" s="4"/>
      <c r="BG1566" s="4"/>
      <c r="BH1566" s="4"/>
      <c r="BI1566" s="4"/>
      <c r="BJ1566" s="4"/>
      <c r="BK1566" s="4"/>
      <c r="BL1566" s="4"/>
      <c r="BM1566" s="4"/>
      <c r="BN1566" s="4"/>
      <c r="BO1566" s="4"/>
      <c r="BP1566" s="4"/>
      <c r="BQ1566" s="4"/>
      <c r="BR1566" s="4"/>
      <c r="BS1566" s="4"/>
      <c r="BT1566" s="4"/>
      <c r="BU1566" s="4"/>
    </row>
    <row r="1567" spans="29:73" s="1" customFormat="1" x14ac:dyDescent="0.25">
      <c r="AC1567" s="4"/>
      <c r="AD1567" s="4"/>
      <c r="AE1567" s="4"/>
      <c r="AF1567" s="4"/>
      <c r="AG1567" s="4"/>
      <c r="AH1567" s="4"/>
      <c r="AI1567" s="4"/>
      <c r="AJ1567" s="4"/>
      <c r="AK1567" s="4"/>
      <c r="AL1567" s="4"/>
      <c r="AM1567" s="4"/>
      <c r="AN1567" s="4"/>
      <c r="AO1567" s="4"/>
      <c r="AP1567" s="4"/>
      <c r="AQ1567" s="4"/>
      <c r="AR1567" s="4"/>
      <c r="AS1567" s="4"/>
      <c r="AT1567" s="4"/>
      <c r="AU1567" s="4"/>
      <c r="AV1567" s="4"/>
      <c r="AW1567" s="4"/>
      <c r="AX1567" s="4"/>
      <c r="AY1567" s="4"/>
      <c r="AZ1567" s="4"/>
      <c r="BA1567" s="4"/>
      <c r="BB1567" s="4"/>
      <c r="BC1567" s="4"/>
      <c r="BD1567" s="4"/>
      <c r="BE1567" s="4"/>
      <c r="BF1567" s="4"/>
      <c r="BG1567" s="4"/>
      <c r="BH1567" s="4"/>
      <c r="BI1567" s="4"/>
      <c r="BJ1567" s="4"/>
      <c r="BK1567" s="4"/>
      <c r="BL1567" s="4"/>
      <c r="BM1567" s="4"/>
      <c r="BN1567" s="4"/>
      <c r="BO1567" s="4"/>
      <c r="BP1567" s="4"/>
      <c r="BQ1567" s="4"/>
      <c r="BR1567" s="4"/>
      <c r="BS1567" s="4"/>
      <c r="BT1567" s="4"/>
      <c r="BU1567" s="4"/>
    </row>
    <row r="1568" spans="29:73" s="1" customFormat="1" x14ac:dyDescent="0.25">
      <c r="AC1568" s="4"/>
      <c r="AD1568" s="4"/>
      <c r="AE1568" s="4"/>
      <c r="AF1568" s="4"/>
      <c r="AG1568" s="4"/>
      <c r="AH1568" s="4"/>
      <c r="AI1568" s="4"/>
      <c r="AJ1568" s="4"/>
      <c r="AK1568" s="4"/>
      <c r="AL1568" s="4"/>
      <c r="AM1568" s="4"/>
      <c r="AN1568" s="4"/>
      <c r="AO1568" s="4"/>
      <c r="AP1568" s="4"/>
      <c r="AQ1568" s="4"/>
      <c r="AR1568" s="4"/>
      <c r="AS1568" s="4"/>
      <c r="AT1568" s="4"/>
      <c r="AU1568" s="4"/>
      <c r="AV1568" s="4"/>
      <c r="AW1568" s="4"/>
      <c r="AX1568" s="4"/>
      <c r="AY1568" s="4"/>
      <c r="AZ1568" s="4"/>
      <c r="BA1568" s="4"/>
      <c r="BB1568" s="4"/>
      <c r="BC1568" s="4"/>
      <c r="BD1568" s="4"/>
      <c r="BE1568" s="4"/>
      <c r="BF1568" s="4"/>
      <c r="BG1568" s="4"/>
      <c r="BH1568" s="4"/>
      <c r="BI1568" s="4"/>
      <c r="BJ1568" s="4"/>
      <c r="BK1568" s="4"/>
      <c r="BL1568" s="4"/>
      <c r="BM1568" s="4"/>
      <c r="BN1568" s="4"/>
      <c r="BO1568" s="4"/>
      <c r="BP1568" s="4"/>
      <c r="BQ1568" s="4"/>
      <c r="BR1568" s="4"/>
      <c r="BS1568" s="4"/>
      <c r="BT1568" s="4"/>
      <c r="BU1568" s="4"/>
    </row>
    <row r="1569" spans="29:73" s="1" customFormat="1" x14ac:dyDescent="0.25">
      <c r="AC1569" s="4"/>
      <c r="AD1569" s="4"/>
      <c r="AE1569" s="4"/>
      <c r="AF1569" s="4"/>
      <c r="AG1569" s="4"/>
      <c r="AH1569" s="4"/>
      <c r="AI1569" s="4"/>
      <c r="AJ1569" s="4"/>
      <c r="AK1569" s="4"/>
      <c r="AL1569" s="4"/>
      <c r="AM1569" s="4"/>
      <c r="AN1569" s="4"/>
      <c r="AO1569" s="4"/>
      <c r="AP1569" s="4"/>
      <c r="AQ1569" s="4"/>
      <c r="AR1569" s="4"/>
      <c r="AS1569" s="4"/>
      <c r="AT1569" s="4"/>
      <c r="AU1569" s="4"/>
      <c r="AV1569" s="4"/>
      <c r="AW1569" s="4"/>
      <c r="AX1569" s="4"/>
      <c r="AY1569" s="4"/>
      <c r="AZ1569" s="4"/>
      <c r="BA1569" s="4"/>
      <c r="BB1569" s="4"/>
      <c r="BC1569" s="4"/>
      <c r="BD1569" s="4"/>
      <c r="BE1569" s="4"/>
      <c r="BF1569" s="4"/>
      <c r="BG1569" s="4"/>
      <c r="BH1569" s="4"/>
      <c r="BI1569" s="4"/>
      <c r="BJ1569" s="4"/>
      <c r="BK1569" s="4"/>
      <c r="BL1569" s="4"/>
      <c r="BM1569" s="4"/>
      <c r="BN1569" s="4"/>
      <c r="BO1569" s="4"/>
      <c r="BP1569" s="4"/>
      <c r="BQ1569" s="4"/>
      <c r="BR1569" s="4"/>
      <c r="BS1569" s="4"/>
      <c r="BT1569" s="4"/>
      <c r="BU1569" s="4"/>
    </row>
    <row r="1570" spans="29:73" s="1" customFormat="1" x14ac:dyDescent="0.25">
      <c r="AC1570" s="4"/>
      <c r="AD1570" s="4"/>
      <c r="AE1570" s="4"/>
      <c r="AF1570" s="4"/>
      <c r="AG1570" s="4"/>
      <c r="AH1570" s="4"/>
      <c r="AI1570" s="4"/>
      <c r="AJ1570" s="4"/>
      <c r="AK1570" s="4"/>
      <c r="AL1570" s="4"/>
      <c r="AM1570" s="4"/>
      <c r="AN1570" s="4"/>
      <c r="AO1570" s="4"/>
      <c r="AP1570" s="4"/>
      <c r="AQ1570" s="4"/>
      <c r="AR1570" s="4"/>
      <c r="AS1570" s="4"/>
      <c r="AT1570" s="4"/>
      <c r="AU1570" s="4"/>
      <c r="AV1570" s="4"/>
      <c r="AW1570" s="4"/>
      <c r="AX1570" s="4"/>
      <c r="AY1570" s="4"/>
      <c r="AZ1570" s="4"/>
      <c r="BA1570" s="4"/>
      <c r="BB1570" s="4"/>
      <c r="BC1570" s="4"/>
      <c r="BD1570" s="4"/>
      <c r="BE1570" s="4"/>
      <c r="BF1570" s="4"/>
      <c r="BG1570" s="4"/>
      <c r="BH1570" s="4"/>
      <c r="BI1570" s="4"/>
      <c r="BJ1570" s="4"/>
      <c r="BK1570" s="4"/>
      <c r="BL1570" s="4"/>
      <c r="BM1570" s="4"/>
      <c r="BN1570" s="4"/>
      <c r="BO1570" s="4"/>
      <c r="BP1570" s="4"/>
      <c r="BQ1570" s="4"/>
      <c r="BR1570" s="4"/>
      <c r="BS1570" s="4"/>
      <c r="BT1570" s="4"/>
      <c r="BU1570" s="4"/>
    </row>
    <row r="1571" spans="29:73" s="1" customFormat="1" x14ac:dyDescent="0.25">
      <c r="AC1571" s="4"/>
      <c r="AD1571" s="4"/>
      <c r="AE1571" s="4"/>
      <c r="AF1571" s="4"/>
      <c r="AG1571" s="4"/>
      <c r="AH1571" s="4"/>
      <c r="AI1571" s="4"/>
      <c r="AJ1571" s="4"/>
      <c r="AK1571" s="4"/>
      <c r="AL1571" s="4"/>
      <c r="AM1571" s="4"/>
      <c r="AN1571" s="4"/>
      <c r="AO1571" s="4"/>
      <c r="AP1571" s="4"/>
      <c r="AQ1571" s="4"/>
      <c r="AR1571" s="4"/>
      <c r="AS1571" s="4"/>
      <c r="AT1571" s="4"/>
      <c r="AU1571" s="4"/>
      <c r="AV1571" s="4"/>
      <c r="AW1571" s="4"/>
      <c r="AX1571" s="4"/>
      <c r="AY1571" s="4"/>
      <c r="AZ1571" s="4"/>
      <c r="BA1571" s="4"/>
      <c r="BB1571" s="4"/>
      <c r="BC1571" s="4"/>
      <c r="BD1571" s="4"/>
      <c r="BE1571" s="4"/>
      <c r="BF1571" s="4"/>
      <c r="BG1571" s="4"/>
      <c r="BH1571" s="4"/>
      <c r="BI1571" s="4"/>
      <c r="BJ1571" s="4"/>
      <c r="BK1571" s="4"/>
      <c r="BL1571" s="4"/>
      <c r="BM1571" s="4"/>
      <c r="BN1571" s="4"/>
      <c r="BO1571" s="4"/>
      <c r="BP1571" s="4"/>
      <c r="BQ1571" s="4"/>
      <c r="BR1571" s="4"/>
      <c r="BS1571" s="4"/>
      <c r="BT1571" s="4"/>
      <c r="BU1571" s="4"/>
    </row>
    <row r="1572" spans="29:73" s="1" customFormat="1" x14ac:dyDescent="0.25">
      <c r="AC1572" s="4"/>
      <c r="AD1572" s="4"/>
      <c r="AE1572" s="4"/>
      <c r="AF1572" s="4"/>
      <c r="AG1572" s="4"/>
      <c r="AH1572" s="4"/>
      <c r="AI1572" s="4"/>
      <c r="AJ1572" s="4"/>
      <c r="AK1572" s="4"/>
      <c r="AL1572" s="4"/>
      <c r="AM1572" s="4"/>
      <c r="AN1572" s="4"/>
      <c r="AO1572" s="4"/>
      <c r="AP1572" s="4"/>
      <c r="AQ1572" s="4"/>
      <c r="AR1572" s="4"/>
      <c r="AS1572" s="4"/>
      <c r="AT1572" s="4"/>
      <c r="AU1572" s="4"/>
      <c r="AV1572" s="4"/>
      <c r="AW1572" s="4"/>
      <c r="AX1572" s="4"/>
      <c r="AY1572" s="4"/>
      <c r="AZ1572" s="4"/>
      <c r="BA1572" s="4"/>
      <c r="BB1572" s="4"/>
      <c r="BC1572" s="4"/>
      <c r="BD1572" s="4"/>
      <c r="BE1572" s="4"/>
      <c r="BF1572" s="4"/>
      <c r="BG1572" s="4"/>
      <c r="BH1572" s="4"/>
      <c r="BI1572" s="4"/>
      <c r="BJ1572" s="4"/>
      <c r="BK1572" s="4"/>
      <c r="BL1572" s="4"/>
      <c r="BM1572" s="4"/>
      <c r="BN1572" s="4"/>
      <c r="BO1572" s="4"/>
      <c r="BP1572" s="4"/>
      <c r="BQ1572" s="4"/>
      <c r="BR1572" s="4"/>
      <c r="BS1572" s="4"/>
      <c r="BT1572" s="4"/>
      <c r="BU1572" s="4"/>
    </row>
    <row r="1573" spans="29:73" s="1" customFormat="1" x14ac:dyDescent="0.25">
      <c r="AC1573" s="4"/>
      <c r="AD1573" s="4"/>
      <c r="AE1573" s="4"/>
      <c r="AF1573" s="4"/>
      <c r="AG1573" s="4"/>
      <c r="AH1573" s="4"/>
      <c r="AI1573" s="4"/>
      <c r="AJ1573" s="4"/>
      <c r="AK1573" s="4"/>
      <c r="AL1573" s="4"/>
      <c r="AM1573" s="4"/>
      <c r="AN1573" s="4"/>
      <c r="AO1573" s="4"/>
      <c r="AP1573" s="4"/>
      <c r="AQ1573" s="4"/>
      <c r="AR1573" s="4"/>
      <c r="AS1573" s="4"/>
      <c r="AT1573" s="4"/>
      <c r="AU1573" s="4"/>
      <c r="AV1573" s="4"/>
      <c r="AW1573" s="4"/>
      <c r="AX1573" s="4"/>
      <c r="AY1573" s="4"/>
      <c r="AZ1573" s="4"/>
      <c r="BA1573" s="4"/>
      <c r="BB1573" s="4"/>
      <c r="BC1573" s="4"/>
      <c r="BD1573" s="4"/>
      <c r="BE1573" s="4"/>
      <c r="BF1573" s="4"/>
      <c r="BG1573" s="4"/>
      <c r="BH1573" s="4"/>
      <c r="BI1573" s="4"/>
      <c r="BJ1573" s="4"/>
      <c r="BK1573" s="4"/>
      <c r="BL1573" s="4"/>
      <c r="BM1573" s="4"/>
      <c r="BN1573" s="4"/>
      <c r="BO1573" s="4"/>
      <c r="BP1573" s="4"/>
      <c r="BQ1573" s="4"/>
      <c r="BR1573" s="4"/>
      <c r="BS1573" s="4"/>
      <c r="BT1573" s="4"/>
      <c r="BU1573" s="4"/>
    </row>
    <row r="1574" spans="29:73" s="1" customFormat="1" x14ac:dyDescent="0.25">
      <c r="AC1574" s="4"/>
      <c r="AD1574" s="4"/>
      <c r="AE1574" s="4"/>
      <c r="AF1574" s="4"/>
      <c r="AG1574" s="4"/>
      <c r="AH1574" s="4"/>
      <c r="AI1574" s="4"/>
      <c r="AJ1574" s="4"/>
      <c r="AK1574" s="4"/>
      <c r="AL1574" s="4"/>
      <c r="AM1574" s="4"/>
      <c r="AN1574" s="4"/>
      <c r="AO1574" s="4"/>
      <c r="AP1574" s="4"/>
      <c r="AQ1574" s="4"/>
      <c r="AR1574" s="4"/>
      <c r="AS1574" s="4"/>
      <c r="AT1574" s="4"/>
      <c r="AU1574" s="4"/>
      <c r="AV1574" s="4"/>
      <c r="AW1574" s="4"/>
      <c r="AX1574" s="4"/>
      <c r="AY1574" s="4"/>
      <c r="AZ1574" s="4"/>
      <c r="BA1574" s="4"/>
      <c r="BB1574" s="4"/>
      <c r="BC1574" s="4"/>
      <c r="BD1574" s="4"/>
      <c r="BE1574" s="4"/>
      <c r="BF1574" s="4"/>
      <c r="BG1574" s="4"/>
      <c r="BH1574" s="4"/>
      <c r="BI1574" s="4"/>
      <c r="BJ1574" s="4"/>
      <c r="BK1574" s="4"/>
      <c r="BL1574" s="4"/>
      <c r="BM1574" s="4"/>
      <c r="BN1574" s="4"/>
      <c r="BO1574" s="4"/>
      <c r="BP1574" s="4"/>
      <c r="BQ1574" s="4"/>
      <c r="BR1574" s="4"/>
      <c r="BS1574" s="4"/>
      <c r="BT1574" s="4"/>
      <c r="BU1574" s="4"/>
    </row>
    <row r="1575" spans="29:73" s="1" customFormat="1" x14ac:dyDescent="0.25">
      <c r="AC1575" s="4"/>
      <c r="AD1575" s="4"/>
      <c r="AE1575" s="4"/>
      <c r="AF1575" s="4"/>
      <c r="AG1575" s="4"/>
      <c r="AH1575" s="4"/>
      <c r="AI1575" s="4"/>
      <c r="AJ1575" s="4"/>
      <c r="AK1575" s="4"/>
      <c r="AL1575" s="4"/>
      <c r="AM1575" s="4"/>
      <c r="AN1575" s="4"/>
      <c r="AO1575" s="4"/>
      <c r="AP1575" s="4"/>
      <c r="AQ1575" s="4"/>
      <c r="AR1575" s="4"/>
      <c r="AS1575" s="4"/>
      <c r="AT1575" s="4"/>
      <c r="AU1575" s="4"/>
      <c r="AV1575" s="4"/>
      <c r="AW1575" s="4"/>
      <c r="AX1575" s="4"/>
      <c r="AY1575" s="4"/>
      <c r="AZ1575" s="4"/>
      <c r="BA1575" s="4"/>
      <c r="BB1575" s="4"/>
      <c r="BC1575" s="4"/>
      <c r="BD1575" s="4"/>
      <c r="BE1575" s="4"/>
      <c r="BF1575" s="4"/>
      <c r="BG1575" s="4"/>
      <c r="BH1575" s="4"/>
      <c r="BI1575" s="4"/>
      <c r="BJ1575" s="4"/>
      <c r="BK1575" s="4"/>
      <c r="BL1575" s="4"/>
      <c r="BM1575" s="4"/>
      <c r="BN1575" s="4"/>
      <c r="BO1575" s="4"/>
      <c r="BP1575" s="4"/>
      <c r="BQ1575" s="4"/>
      <c r="BR1575" s="4"/>
      <c r="BS1575" s="4"/>
      <c r="BT1575" s="4"/>
      <c r="BU1575" s="4"/>
    </row>
    <row r="1576" spans="29:73" s="1" customFormat="1" x14ac:dyDescent="0.25">
      <c r="AC1576" s="4"/>
      <c r="AD1576" s="4"/>
      <c r="AE1576" s="4"/>
      <c r="AF1576" s="4"/>
      <c r="AG1576" s="4"/>
      <c r="AH1576" s="4"/>
      <c r="AI1576" s="4"/>
      <c r="AJ1576" s="4"/>
      <c r="AK1576" s="4"/>
      <c r="AL1576" s="4"/>
      <c r="AM1576" s="4"/>
      <c r="AN1576" s="4"/>
      <c r="AO1576" s="4"/>
      <c r="AP1576" s="4"/>
      <c r="AQ1576" s="4"/>
      <c r="AR1576" s="4"/>
      <c r="AS1576" s="4"/>
      <c r="AT1576" s="4"/>
      <c r="AU1576" s="4"/>
      <c r="AV1576" s="4"/>
      <c r="AW1576" s="4"/>
      <c r="AX1576" s="4"/>
      <c r="AY1576" s="4"/>
      <c r="AZ1576" s="4"/>
      <c r="BA1576" s="4"/>
      <c r="BB1576" s="4"/>
      <c r="BC1576" s="4"/>
      <c r="BD1576" s="4"/>
      <c r="BE1576" s="4"/>
      <c r="BF1576" s="4"/>
      <c r="BG1576" s="4"/>
      <c r="BH1576" s="4"/>
      <c r="BI1576" s="4"/>
      <c r="BJ1576" s="4"/>
      <c r="BK1576" s="4"/>
      <c r="BL1576" s="4"/>
      <c r="BM1576" s="4"/>
      <c r="BN1576" s="4"/>
      <c r="BO1576" s="4"/>
      <c r="BP1576" s="4"/>
      <c r="BQ1576" s="4"/>
      <c r="BR1576" s="4"/>
      <c r="BS1576" s="4"/>
      <c r="BT1576" s="4"/>
      <c r="BU1576" s="4"/>
    </row>
    <row r="1577" spans="29:73" s="1" customFormat="1" x14ac:dyDescent="0.25">
      <c r="AC1577" s="4"/>
      <c r="AD1577" s="4"/>
      <c r="AE1577" s="4"/>
      <c r="AF1577" s="4"/>
      <c r="AG1577" s="4"/>
      <c r="AH1577" s="4"/>
      <c r="AI1577" s="4"/>
      <c r="AJ1577" s="4"/>
      <c r="AK1577" s="4"/>
      <c r="AL1577" s="4"/>
      <c r="AM1577" s="4"/>
      <c r="AN1577" s="4"/>
      <c r="AO1577" s="4"/>
      <c r="AP1577" s="4"/>
      <c r="AQ1577" s="4"/>
      <c r="AR1577" s="4"/>
      <c r="AS1577" s="4"/>
      <c r="AT1577" s="4"/>
      <c r="AU1577" s="4"/>
      <c r="AV1577" s="4"/>
      <c r="AW1577" s="4"/>
      <c r="AX1577" s="4"/>
      <c r="AY1577" s="4"/>
      <c r="AZ1577" s="4"/>
      <c r="BA1577" s="4"/>
      <c r="BB1577" s="4"/>
      <c r="BC1577" s="4"/>
      <c r="BD1577" s="4"/>
      <c r="BE1577" s="4"/>
      <c r="BF1577" s="4"/>
      <c r="BG1577" s="4"/>
      <c r="BH1577" s="4"/>
      <c r="BI1577" s="4"/>
      <c r="BJ1577" s="4"/>
      <c r="BK1577" s="4"/>
      <c r="BL1577" s="4"/>
      <c r="BM1577" s="4"/>
      <c r="BN1577" s="4"/>
      <c r="BO1577" s="4"/>
      <c r="BP1577" s="4"/>
      <c r="BQ1577" s="4"/>
      <c r="BR1577" s="4"/>
      <c r="BS1577" s="4"/>
      <c r="BT1577" s="4"/>
      <c r="BU1577" s="4"/>
    </row>
    <row r="1578" spans="29:73" s="1" customFormat="1" x14ac:dyDescent="0.25">
      <c r="AC1578" s="4"/>
      <c r="AD1578" s="4"/>
      <c r="AE1578" s="4"/>
      <c r="AF1578" s="4"/>
      <c r="AG1578" s="4"/>
      <c r="AH1578" s="4"/>
      <c r="AI1578" s="4"/>
      <c r="AJ1578" s="4"/>
      <c r="AK1578" s="4"/>
      <c r="AL1578" s="4"/>
      <c r="AM1578" s="4"/>
      <c r="AN1578" s="4"/>
      <c r="AO1578" s="4"/>
      <c r="AP1578" s="4"/>
      <c r="AQ1578" s="4"/>
      <c r="AR1578" s="4"/>
      <c r="AS1578" s="4"/>
      <c r="AT1578" s="4"/>
      <c r="AU1578" s="4"/>
      <c r="AV1578" s="4"/>
      <c r="AW1578" s="4"/>
      <c r="AX1578" s="4"/>
      <c r="AY1578" s="4"/>
      <c r="AZ1578" s="4"/>
      <c r="BA1578" s="4"/>
      <c r="BB1578" s="4"/>
      <c r="BC1578" s="4"/>
      <c r="BD1578" s="4"/>
      <c r="BE1578" s="4"/>
      <c r="BF1578" s="4"/>
      <c r="BG1578" s="4"/>
      <c r="BH1578" s="4"/>
      <c r="BI1578" s="4"/>
      <c r="BJ1578" s="4"/>
      <c r="BK1578" s="4"/>
      <c r="BL1578" s="4"/>
      <c r="BM1578" s="4"/>
      <c r="BN1578" s="4"/>
      <c r="BO1578" s="4"/>
      <c r="BP1578" s="4"/>
      <c r="BQ1578" s="4"/>
      <c r="BR1578" s="4"/>
      <c r="BS1578" s="4"/>
      <c r="BT1578" s="4"/>
      <c r="BU1578" s="4"/>
    </row>
    <row r="1579" spans="29:73" s="1" customFormat="1" x14ac:dyDescent="0.25">
      <c r="AC1579" s="4"/>
      <c r="AD1579" s="4"/>
      <c r="AE1579" s="4"/>
      <c r="AF1579" s="4"/>
      <c r="AG1579" s="4"/>
      <c r="AH1579" s="4"/>
      <c r="AI1579" s="4"/>
      <c r="AJ1579" s="4"/>
      <c r="AK1579" s="4"/>
      <c r="AL1579" s="4"/>
      <c r="AM1579" s="4"/>
      <c r="AN1579" s="4"/>
      <c r="AO1579" s="4"/>
      <c r="AP1579" s="4"/>
      <c r="AQ1579" s="4"/>
      <c r="AR1579" s="4"/>
      <c r="AS1579" s="4"/>
      <c r="AT1579" s="4"/>
      <c r="AU1579" s="4"/>
      <c r="AV1579" s="4"/>
      <c r="AW1579" s="4"/>
      <c r="AX1579" s="4"/>
      <c r="AY1579" s="4"/>
      <c r="AZ1579" s="4"/>
      <c r="BA1579" s="4"/>
      <c r="BB1579" s="4"/>
      <c r="BC1579" s="4"/>
      <c r="BD1579" s="4"/>
      <c r="BE1579" s="4"/>
      <c r="BF1579" s="4"/>
      <c r="BG1579" s="4"/>
      <c r="BH1579" s="4"/>
      <c r="BI1579" s="4"/>
      <c r="BJ1579" s="4"/>
      <c r="BK1579" s="4"/>
      <c r="BL1579" s="4"/>
      <c r="BM1579" s="4"/>
      <c r="BN1579" s="4"/>
      <c r="BO1579" s="4"/>
      <c r="BP1579" s="4"/>
      <c r="BQ1579" s="4"/>
      <c r="BR1579" s="4"/>
      <c r="BS1579" s="4"/>
      <c r="BT1579" s="4"/>
      <c r="BU1579" s="4"/>
    </row>
    <row r="1580" spans="29:73" s="1" customFormat="1" x14ac:dyDescent="0.25">
      <c r="AC1580" s="4"/>
      <c r="AD1580" s="4"/>
      <c r="AE1580" s="4"/>
      <c r="AF1580" s="4"/>
      <c r="AG1580" s="4"/>
      <c r="AH1580" s="4"/>
      <c r="AI1580" s="4"/>
      <c r="AJ1580" s="4"/>
      <c r="AK1580" s="4"/>
      <c r="AL1580" s="4"/>
      <c r="AM1580" s="4"/>
      <c r="AN1580" s="4"/>
      <c r="AO1580" s="4"/>
      <c r="AP1580" s="4"/>
      <c r="AQ1580" s="4"/>
      <c r="AR1580" s="4"/>
      <c r="AS1580" s="4"/>
      <c r="AT1580" s="4"/>
      <c r="AU1580" s="4"/>
      <c r="AV1580" s="4"/>
      <c r="AW1580" s="4"/>
      <c r="AX1580" s="4"/>
      <c r="AY1580" s="4"/>
      <c r="AZ1580" s="4"/>
      <c r="BA1580" s="4"/>
      <c r="BB1580" s="4"/>
      <c r="BC1580" s="4"/>
      <c r="BD1580" s="4"/>
      <c r="BE1580" s="4"/>
      <c r="BF1580" s="4"/>
      <c r="BG1580" s="4"/>
      <c r="BH1580" s="4"/>
      <c r="BI1580" s="4"/>
      <c r="BJ1580" s="4"/>
      <c r="BK1580" s="4"/>
      <c r="BL1580" s="4"/>
      <c r="BM1580" s="4"/>
      <c r="BN1580" s="4"/>
      <c r="BO1580" s="4"/>
      <c r="BP1580" s="4"/>
      <c r="BQ1580" s="4"/>
      <c r="BR1580" s="4"/>
      <c r="BS1580" s="4"/>
      <c r="BT1580" s="4"/>
      <c r="BU1580" s="4"/>
    </row>
    <row r="1581" spans="29:73" s="1" customFormat="1" x14ac:dyDescent="0.25">
      <c r="AC1581" s="4"/>
      <c r="AD1581" s="4"/>
      <c r="AE1581" s="4"/>
      <c r="AF1581" s="4"/>
      <c r="AG1581" s="4"/>
      <c r="AH1581" s="4"/>
      <c r="AI1581" s="4"/>
      <c r="AJ1581" s="4"/>
      <c r="AK1581" s="4"/>
      <c r="AL1581" s="4"/>
      <c r="AM1581" s="4"/>
      <c r="AN1581" s="4"/>
      <c r="AO1581" s="4"/>
      <c r="AP1581" s="4"/>
      <c r="AQ1581" s="4"/>
      <c r="AR1581" s="4"/>
      <c r="AS1581" s="4"/>
      <c r="AT1581" s="4"/>
      <c r="AU1581" s="4"/>
      <c r="AV1581" s="4"/>
      <c r="AW1581" s="4"/>
      <c r="AX1581" s="4"/>
      <c r="AY1581" s="4"/>
      <c r="AZ1581" s="4"/>
      <c r="BA1581" s="4"/>
      <c r="BB1581" s="4"/>
      <c r="BC1581" s="4"/>
      <c r="BD1581" s="4"/>
      <c r="BE1581" s="4"/>
      <c r="BF1581" s="4"/>
      <c r="BG1581" s="4"/>
      <c r="BH1581" s="4"/>
      <c r="BI1581" s="4"/>
      <c r="BJ1581" s="4"/>
      <c r="BK1581" s="4"/>
      <c r="BL1581" s="4"/>
      <c r="BM1581" s="4"/>
      <c r="BN1581" s="4"/>
      <c r="BO1581" s="4"/>
      <c r="BP1581" s="4"/>
      <c r="BQ1581" s="4"/>
      <c r="BR1581" s="4"/>
      <c r="BS1581" s="4"/>
      <c r="BT1581" s="4"/>
      <c r="BU1581" s="4"/>
    </row>
    <row r="1582" spans="29:73" s="1" customFormat="1" x14ac:dyDescent="0.25">
      <c r="AC1582" s="4"/>
      <c r="AD1582" s="4"/>
      <c r="AE1582" s="4"/>
      <c r="AF1582" s="4"/>
      <c r="AG1582" s="4"/>
      <c r="AH1582" s="4"/>
      <c r="AI1582" s="4"/>
      <c r="AJ1582" s="4"/>
      <c r="AK1582" s="4"/>
      <c r="AL1582" s="4"/>
      <c r="AM1582" s="4"/>
      <c r="AN1582" s="4"/>
      <c r="AO1582" s="4"/>
      <c r="AP1582" s="4"/>
      <c r="AQ1582" s="4"/>
      <c r="AR1582" s="4"/>
      <c r="AS1582" s="4"/>
      <c r="AT1582" s="4"/>
      <c r="AU1582" s="4"/>
      <c r="AV1582" s="4"/>
      <c r="AW1582" s="4"/>
      <c r="AX1582" s="4"/>
      <c r="AY1582" s="4"/>
      <c r="AZ1582" s="4"/>
      <c r="BA1582" s="4"/>
      <c r="BB1582" s="4"/>
      <c r="BC1582" s="4"/>
      <c r="BD1582" s="4"/>
      <c r="BE1582" s="4"/>
      <c r="BF1582" s="4"/>
      <c r="BG1582" s="4"/>
      <c r="BH1582" s="4"/>
      <c r="BI1582" s="4"/>
      <c r="BJ1582" s="4"/>
      <c r="BK1582" s="4"/>
      <c r="BL1582" s="4"/>
      <c r="BM1582" s="4"/>
      <c r="BN1582" s="4"/>
      <c r="BO1582" s="4"/>
      <c r="BP1582" s="4"/>
      <c r="BQ1582" s="4"/>
      <c r="BR1582" s="4"/>
      <c r="BS1582" s="4"/>
      <c r="BT1582" s="4"/>
      <c r="BU1582" s="4"/>
    </row>
    <row r="1583" spans="29:73" s="1" customFormat="1" x14ac:dyDescent="0.25">
      <c r="AC1583" s="4"/>
      <c r="AD1583" s="4"/>
      <c r="AE1583" s="4"/>
      <c r="AF1583" s="4"/>
      <c r="AG1583" s="4"/>
      <c r="AH1583" s="4"/>
      <c r="AI1583" s="4"/>
      <c r="AJ1583" s="4"/>
      <c r="AK1583" s="4"/>
      <c r="AL1583" s="4"/>
      <c r="AM1583" s="4"/>
      <c r="AN1583" s="4"/>
      <c r="AO1583" s="4"/>
      <c r="AP1583" s="4"/>
      <c r="AQ1583" s="4"/>
      <c r="AR1583" s="4"/>
      <c r="AS1583" s="4"/>
      <c r="AT1583" s="4"/>
      <c r="AU1583" s="4"/>
      <c r="AV1583" s="4"/>
      <c r="AW1583" s="4"/>
      <c r="AX1583" s="4"/>
      <c r="AY1583" s="4"/>
      <c r="AZ1583" s="4"/>
      <c r="BA1583" s="4"/>
      <c r="BB1583" s="4"/>
      <c r="BC1583" s="4"/>
      <c r="BD1583" s="4"/>
      <c r="BE1583" s="4"/>
      <c r="BF1583" s="4"/>
      <c r="BG1583" s="4"/>
      <c r="BH1583" s="4"/>
      <c r="BI1583" s="4"/>
      <c r="BJ1583" s="4"/>
      <c r="BK1583" s="4"/>
      <c r="BL1583" s="4"/>
      <c r="BM1583" s="4"/>
      <c r="BN1583" s="4"/>
      <c r="BO1583" s="4"/>
      <c r="BP1583" s="4"/>
      <c r="BQ1583" s="4"/>
      <c r="BR1583" s="4"/>
      <c r="BS1583" s="4"/>
      <c r="BT1583" s="4"/>
      <c r="BU1583" s="4"/>
    </row>
    <row r="1584" spans="29:73" s="1" customFormat="1" x14ac:dyDescent="0.25">
      <c r="AC1584" s="4"/>
      <c r="AD1584" s="4"/>
      <c r="AE1584" s="4"/>
      <c r="AF1584" s="4"/>
      <c r="AG1584" s="4"/>
      <c r="AH1584" s="4"/>
      <c r="AI1584" s="4"/>
      <c r="AJ1584" s="4"/>
      <c r="AK1584" s="4"/>
      <c r="AL1584" s="4"/>
      <c r="AM1584" s="4"/>
      <c r="AN1584" s="4"/>
      <c r="AO1584" s="4"/>
      <c r="AP1584" s="4"/>
      <c r="AQ1584" s="4"/>
      <c r="AR1584" s="4"/>
      <c r="AS1584" s="4"/>
      <c r="AT1584" s="4"/>
      <c r="AU1584" s="4"/>
      <c r="AV1584" s="4"/>
      <c r="AW1584" s="4"/>
      <c r="AX1584" s="4"/>
      <c r="AY1584" s="4"/>
      <c r="AZ1584" s="4"/>
      <c r="BA1584" s="4"/>
      <c r="BB1584" s="4"/>
      <c r="BC1584" s="4"/>
      <c r="BD1584" s="4"/>
      <c r="BE1584" s="4"/>
      <c r="BF1584" s="4"/>
      <c r="BG1584" s="4"/>
      <c r="BH1584" s="4"/>
      <c r="BI1584" s="4"/>
      <c r="BJ1584" s="4"/>
      <c r="BK1584" s="4"/>
      <c r="BL1584" s="4"/>
      <c r="BM1584" s="4"/>
      <c r="BN1584" s="4"/>
      <c r="BO1584" s="4"/>
      <c r="BP1584" s="4"/>
      <c r="BQ1584" s="4"/>
      <c r="BR1584" s="4"/>
      <c r="BS1584" s="4"/>
      <c r="BT1584" s="4"/>
      <c r="BU1584" s="4"/>
    </row>
    <row r="1585" spans="29:73" s="1" customFormat="1" x14ac:dyDescent="0.25">
      <c r="AC1585" s="4"/>
      <c r="AD1585" s="4"/>
      <c r="AE1585" s="4"/>
      <c r="AF1585" s="4"/>
      <c r="AG1585" s="4"/>
      <c r="AH1585" s="4"/>
      <c r="AI1585" s="4"/>
      <c r="AJ1585" s="4"/>
      <c r="AK1585" s="4"/>
      <c r="AL1585" s="4"/>
      <c r="AM1585" s="4"/>
      <c r="AN1585" s="4"/>
      <c r="AO1585" s="4"/>
      <c r="AP1585" s="4"/>
      <c r="AQ1585" s="4"/>
      <c r="AR1585" s="4"/>
      <c r="AS1585" s="4"/>
      <c r="AT1585" s="4"/>
      <c r="AU1585" s="4"/>
      <c r="AV1585" s="4"/>
      <c r="AW1585" s="4"/>
      <c r="AX1585" s="4"/>
      <c r="AY1585" s="4"/>
      <c r="AZ1585" s="4"/>
      <c r="BA1585" s="4"/>
      <c r="BB1585" s="4"/>
      <c r="BC1585" s="4"/>
      <c r="BD1585" s="4"/>
      <c r="BE1585" s="4"/>
      <c r="BF1585" s="4"/>
      <c r="BG1585" s="4"/>
      <c r="BH1585" s="4"/>
      <c r="BI1585" s="4"/>
      <c r="BJ1585" s="4"/>
      <c r="BK1585" s="4"/>
      <c r="BL1585" s="4"/>
      <c r="BM1585" s="4"/>
      <c r="BN1585" s="4"/>
      <c r="BO1585" s="4"/>
      <c r="BP1585" s="4"/>
      <c r="BQ1585" s="4"/>
      <c r="BR1585" s="4"/>
      <c r="BS1585" s="4"/>
      <c r="BT1585" s="4"/>
      <c r="BU1585" s="4"/>
    </row>
    <row r="1586" spans="29:73" s="1" customFormat="1" x14ac:dyDescent="0.25">
      <c r="AC1586" s="4"/>
      <c r="AD1586" s="4"/>
      <c r="AE1586" s="4"/>
      <c r="AF1586" s="4"/>
      <c r="AG1586" s="4"/>
      <c r="AH1586" s="4"/>
      <c r="AI1586" s="4"/>
      <c r="AJ1586" s="4"/>
      <c r="AK1586" s="4"/>
      <c r="AL1586" s="4"/>
      <c r="AM1586" s="4"/>
      <c r="AN1586" s="4"/>
      <c r="AO1586" s="4"/>
      <c r="AP1586" s="4"/>
      <c r="AQ1586" s="4"/>
      <c r="AR1586" s="4"/>
      <c r="AS1586" s="4"/>
      <c r="AT1586" s="4"/>
      <c r="AU1586" s="4"/>
      <c r="AV1586" s="4"/>
      <c r="AW1586" s="4"/>
      <c r="AX1586" s="4"/>
      <c r="AY1586" s="4"/>
      <c r="AZ1586" s="4"/>
      <c r="BA1586" s="4"/>
      <c r="BB1586" s="4"/>
      <c r="BC1586" s="4"/>
      <c r="BD1586" s="4"/>
      <c r="BE1586" s="4"/>
      <c r="BF1586" s="4"/>
      <c r="BG1586" s="4"/>
      <c r="BH1586" s="4"/>
      <c r="BI1586" s="4"/>
      <c r="BJ1586" s="4"/>
      <c r="BK1586" s="4"/>
      <c r="BL1586" s="4"/>
      <c r="BM1586" s="4"/>
      <c r="BN1586" s="4"/>
      <c r="BO1586" s="4"/>
      <c r="BP1586" s="4"/>
      <c r="BQ1586" s="4"/>
      <c r="BR1586" s="4"/>
      <c r="BS1586" s="4"/>
      <c r="BT1586" s="4"/>
      <c r="BU1586" s="4"/>
    </row>
    <row r="1587" spans="29:73" s="1" customFormat="1" x14ac:dyDescent="0.25">
      <c r="AC1587" s="4"/>
      <c r="AD1587" s="4"/>
      <c r="AE1587" s="4"/>
      <c r="AF1587" s="4"/>
      <c r="AG1587" s="4"/>
      <c r="AH1587" s="4"/>
      <c r="AI1587" s="4"/>
      <c r="AJ1587" s="4"/>
      <c r="AK1587" s="4"/>
      <c r="AL1587" s="4"/>
      <c r="AM1587" s="4"/>
      <c r="AN1587" s="4"/>
      <c r="AO1587" s="4"/>
      <c r="AP1587" s="4"/>
      <c r="AQ1587" s="4"/>
      <c r="AR1587" s="4"/>
      <c r="AS1587" s="4"/>
      <c r="AT1587" s="4"/>
      <c r="AU1587" s="4"/>
      <c r="AV1587" s="4"/>
      <c r="AW1587" s="4"/>
      <c r="AX1587" s="4"/>
      <c r="AY1587" s="4"/>
      <c r="AZ1587" s="4"/>
      <c r="BA1587" s="4"/>
      <c r="BB1587" s="4"/>
      <c r="BC1587" s="4"/>
      <c r="BD1587" s="4"/>
      <c r="BE1587" s="4"/>
      <c r="BF1587" s="4"/>
      <c r="BG1587" s="4"/>
      <c r="BH1587" s="4"/>
      <c r="BI1587" s="4"/>
      <c r="BJ1587" s="4"/>
      <c r="BK1587" s="4"/>
      <c r="BL1587" s="4"/>
      <c r="BM1587" s="4"/>
      <c r="BN1587" s="4"/>
      <c r="BO1587" s="4"/>
      <c r="BP1587" s="4"/>
      <c r="BQ1587" s="4"/>
      <c r="BR1587" s="4"/>
      <c r="BS1587" s="4"/>
      <c r="BT1587" s="4"/>
      <c r="BU1587" s="4"/>
    </row>
    <row r="1588" spans="29:73" s="1" customFormat="1" x14ac:dyDescent="0.25">
      <c r="AC1588" s="4"/>
      <c r="AD1588" s="4"/>
      <c r="AE1588" s="4"/>
      <c r="AF1588" s="4"/>
      <c r="AG1588" s="4"/>
      <c r="AH1588" s="4"/>
      <c r="AI1588" s="4"/>
      <c r="AJ1588" s="4"/>
      <c r="AK1588" s="4"/>
      <c r="AL1588" s="4"/>
      <c r="AM1588" s="4"/>
      <c r="AN1588" s="4"/>
      <c r="AO1588" s="4"/>
      <c r="AP1588" s="4"/>
      <c r="AQ1588" s="4"/>
      <c r="AR1588" s="4"/>
      <c r="AS1588" s="4"/>
      <c r="AT1588" s="4"/>
      <c r="AU1588" s="4"/>
      <c r="AV1588" s="4"/>
      <c r="AW1588" s="4"/>
      <c r="AX1588" s="4"/>
      <c r="AY1588" s="4"/>
      <c r="AZ1588" s="4"/>
      <c r="BA1588" s="4"/>
      <c r="BB1588" s="4"/>
      <c r="BC1588" s="4"/>
      <c r="BD1588" s="4"/>
      <c r="BE1588" s="4"/>
      <c r="BF1588" s="4"/>
      <c r="BG1588" s="4"/>
      <c r="BH1588" s="4"/>
      <c r="BI1588" s="4"/>
      <c r="BJ1588" s="4"/>
      <c r="BK1588" s="4"/>
      <c r="BL1588" s="4"/>
      <c r="BM1588" s="4"/>
      <c r="BN1588" s="4"/>
      <c r="BO1588" s="4"/>
      <c r="BP1588" s="4"/>
      <c r="BQ1588" s="4"/>
      <c r="BR1588" s="4"/>
      <c r="BS1588" s="4"/>
      <c r="BT1588" s="4"/>
      <c r="BU1588" s="4"/>
    </row>
    <row r="1589" spans="29:73" s="1" customFormat="1" x14ac:dyDescent="0.25">
      <c r="AC1589" s="4"/>
      <c r="AD1589" s="4"/>
      <c r="AE1589" s="4"/>
      <c r="AF1589" s="4"/>
      <c r="AG1589" s="4"/>
      <c r="AH1589" s="4"/>
      <c r="AI1589" s="4"/>
      <c r="AJ1589" s="4"/>
      <c r="AK1589" s="4"/>
      <c r="AL1589" s="4"/>
      <c r="AM1589" s="4"/>
      <c r="AN1589" s="4"/>
      <c r="AO1589" s="4"/>
      <c r="AP1589" s="4"/>
      <c r="AQ1589" s="4"/>
      <c r="AR1589" s="4"/>
      <c r="AS1589" s="4"/>
      <c r="AT1589" s="4"/>
      <c r="AU1589" s="4"/>
      <c r="AV1589" s="4"/>
      <c r="AW1589" s="4"/>
      <c r="AX1589" s="4"/>
      <c r="AY1589" s="4"/>
      <c r="AZ1589" s="4"/>
      <c r="BA1589" s="4"/>
      <c r="BB1589" s="4"/>
      <c r="BC1589" s="4"/>
      <c r="BD1589" s="4"/>
      <c r="BE1589" s="4"/>
      <c r="BF1589" s="4"/>
      <c r="BG1589" s="4"/>
      <c r="BH1589" s="4"/>
      <c r="BI1589" s="4"/>
      <c r="BJ1589" s="4"/>
      <c r="BK1589" s="4"/>
      <c r="BL1589" s="4"/>
      <c r="BM1589" s="4"/>
      <c r="BN1589" s="4"/>
      <c r="BO1589" s="4"/>
      <c r="BP1589" s="4"/>
      <c r="BQ1589" s="4"/>
      <c r="BR1589" s="4"/>
      <c r="BS1589" s="4"/>
      <c r="BT1589" s="4"/>
      <c r="BU1589" s="4"/>
    </row>
    <row r="1590" spans="29:73" s="1" customFormat="1" x14ac:dyDescent="0.25">
      <c r="AC1590" s="4"/>
      <c r="AD1590" s="4"/>
      <c r="AE1590" s="4"/>
      <c r="AF1590" s="4"/>
      <c r="AG1590" s="4"/>
      <c r="AH1590" s="4"/>
      <c r="AI1590" s="4"/>
      <c r="AJ1590" s="4"/>
      <c r="AK1590" s="4"/>
      <c r="AL1590" s="4"/>
      <c r="AM1590" s="4"/>
      <c r="AN1590" s="4"/>
      <c r="AO1590" s="4"/>
      <c r="AP1590" s="4"/>
      <c r="AQ1590" s="4"/>
      <c r="AR1590" s="4"/>
      <c r="AS1590" s="4"/>
      <c r="AT1590" s="4"/>
      <c r="AU1590" s="4"/>
      <c r="AV1590" s="4"/>
      <c r="AW1590" s="4"/>
      <c r="AX1590" s="4"/>
      <c r="AY1590" s="4"/>
      <c r="AZ1590" s="4"/>
      <c r="BA1590" s="4"/>
      <c r="BB1590" s="4"/>
      <c r="BC1590" s="4"/>
      <c r="BD1590" s="4"/>
      <c r="BE1590" s="4"/>
      <c r="BF1590" s="4"/>
      <c r="BG1590" s="4"/>
      <c r="BH1590" s="4"/>
      <c r="BI1590" s="4"/>
      <c r="BJ1590" s="4"/>
      <c r="BK1590" s="4"/>
      <c r="BL1590" s="4"/>
      <c r="BM1590" s="4"/>
      <c r="BN1590" s="4"/>
      <c r="BO1590" s="4"/>
      <c r="BP1590" s="4"/>
      <c r="BQ1590" s="4"/>
      <c r="BR1590" s="4"/>
      <c r="BS1590" s="4"/>
      <c r="BT1590" s="4"/>
      <c r="BU1590" s="4"/>
    </row>
    <row r="1591" spans="29:73" s="1" customFormat="1" x14ac:dyDescent="0.25">
      <c r="AC1591" s="4"/>
      <c r="AD1591" s="4"/>
      <c r="AE1591" s="4"/>
      <c r="AF1591" s="4"/>
      <c r="AG1591" s="4"/>
      <c r="AH1591" s="4"/>
      <c r="AI1591" s="4"/>
      <c r="AJ1591" s="4"/>
      <c r="AK1591" s="4"/>
      <c r="AL1591" s="4"/>
      <c r="AM1591" s="4"/>
      <c r="AN1591" s="4"/>
      <c r="AO1591" s="4"/>
      <c r="AP1591" s="4"/>
      <c r="AQ1591" s="4"/>
      <c r="AR1591" s="4"/>
      <c r="AS1591" s="4"/>
      <c r="AT1591" s="4"/>
      <c r="AU1591" s="4"/>
      <c r="AV1591" s="4"/>
      <c r="AW1591" s="4"/>
      <c r="AX1591" s="4"/>
      <c r="AY1591" s="4"/>
      <c r="AZ1591" s="4"/>
      <c r="BA1591" s="4"/>
      <c r="BB1591" s="4"/>
      <c r="BC1591" s="4"/>
      <c r="BD1591" s="4"/>
      <c r="BE1591" s="4"/>
      <c r="BF1591" s="4"/>
      <c r="BG1591" s="4"/>
      <c r="BH1591" s="4"/>
      <c r="BI1591" s="4"/>
      <c r="BJ1591" s="4"/>
      <c r="BK1591" s="4"/>
      <c r="BL1591" s="4"/>
      <c r="BM1591" s="4"/>
      <c r="BN1591" s="4"/>
      <c r="BO1591" s="4"/>
      <c r="BP1591" s="4"/>
      <c r="BQ1591" s="4"/>
      <c r="BR1591" s="4"/>
      <c r="BS1591" s="4"/>
      <c r="BT1591" s="4"/>
      <c r="BU1591" s="4"/>
    </row>
    <row r="1592" spans="29:73" s="1" customFormat="1" x14ac:dyDescent="0.25">
      <c r="AC1592" s="4"/>
      <c r="AD1592" s="4"/>
      <c r="AE1592" s="4"/>
      <c r="AF1592" s="4"/>
      <c r="AG1592" s="4"/>
      <c r="AH1592" s="4"/>
      <c r="AI1592" s="4"/>
      <c r="AJ1592" s="4"/>
      <c r="AK1592" s="4"/>
      <c r="AL1592" s="4"/>
      <c r="AM1592" s="4"/>
      <c r="AN1592" s="4"/>
      <c r="AO1592" s="4"/>
      <c r="AP1592" s="4"/>
      <c r="AQ1592" s="4"/>
      <c r="AR1592" s="4"/>
      <c r="AS1592" s="4"/>
      <c r="AT1592" s="4"/>
      <c r="AU1592" s="4"/>
      <c r="AV1592" s="4"/>
      <c r="AW1592" s="4"/>
      <c r="AX1592" s="4"/>
      <c r="AY1592" s="4"/>
      <c r="AZ1592" s="4"/>
      <c r="BA1592" s="4"/>
      <c r="BB1592" s="4"/>
      <c r="BC1592" s="4"/>
      <c r="BD1592" s="4"/>
      <c r="BE1592" s="4"/>
      <c r="BF1592" s="4"/>
      <c r="BG1592" s="4"/>
      <c r="BH1592" s="4"/>
      <c r="BI1592" s="4"/>
      <c r="BJ1592" s="4"/>
      <c r="BK1592" s="4"/>
      <c r="BL1592" s="4"/>
      <c r="BM1592" s="4"/>
      <c r="BN1592" s="4"/>
      <c r="BO1592" s="4"/>
      <c r="BP1592" s="4"/>
      <c r="BQ1592" s="4"/>
      <c r="BR1592" s="4"/>
      <c r="BS1592" s="4"/>
      <c r="BT1592" s="4"/>
      <c r="BU1592" s="4"/>
    </row>
    <row r="1593" spans="29:73" s="1" customFormat="1" x14ac:dyDescent="0.25">
      <c r="AC1593" s="4"/>
      <c r="AD1593" s="4"/>
      <c r="AE1593" s="4"/>
      <c r="AF1593" s="4"/>
      <c r="AG1593" s="4"/>
      <c r="AH1593" s="4"/>
      <c r="AI1593" s="4"/>
      <c r="AJ1593" s="4"/>
      <c r="AK1593" s="4"/>
      <c r="AL1593" s="4"/>
      <c r="AM1593" s="4"/>
      <c r="AN1593" s="4"/>
      <c r="AO1593" s="4"/>
      <c r="AP1593" s="4"/>
      <c r="AQ1593" s="4"/>
      <c r="AR1593" s="4"/>
      <c r="AS1593" s="4"/>
      <c r="AT1593" s="4"/>
      <c r="AU1593" s="4"/>
      <c r="AV1593" s="4"/>
      <c r="AW1593" s="4"/>
      <c r="AX1593" s="4"/>
      <c r="AY1593" s="4"/>
      <c r="AZ1593" s="4"/>
      <c r="BA1593" s="4"/>
      <c r="BB1593" s="4"/>
      <c r="BC1593" s="4"/>
      <c r="BD1593" s="4"/>
      <c r="BE1593" s="4"/>
      <c r="BF1593" s="4"/>
      <c r="BG1593" s="4"/>
      <c r="BH1593" s="4"/>
      <c r="BI1593" s="4"/>
      <c r="BJ1593" s="4"/>
      <c r="BK1593" s="4"/>
      <c r="BL1593" s="4"/>
      <c r="BM1593" s="4"/>
      <c r="BN1593" s="4"/>
      <c r="BO1593" s="4"/>
      <c r="BP1593" s="4"/>
      <c r="BQ1593" s="4"/>
      <c r="BR1593" s="4"/>
      <c r="BS1593" s="4"/>
      <c r="BT1593" s="4"/>
      <c r="BU1593" s="4"/>
    </row>
    <row r="1594" spans="29:73" s="1" customFormat="1" x14ac:dyDescent="0.25">
      <c r="AC1594" s="4"/>
      <c r="AD1594" s="4"/>
      <c r="AE1594" s="4"/>
      <c r="AF1594" s="4"/>
      <c r="AG1594" s="4"/>
      <c r="AH1594" s="4"/>
      <c r="AI1594" s="4"/>
      <c r="AJ1594" s="4"/>
      <c r="AK1594" s="4"/>
      <c r="AL1594" s="4"/>
      <c r="AM1594" s="4"/>
      <c r="AN1594" s="4"/>
      <c r="AO1594" s="4"/>
      <c r="AP1594" s="4"/>
      <c r="AQ1594" s="4"/>
      <c r="AR1594" s="4"/>
      <c r="AS1594" s="4"/>
      <c r="AT1594" s="4"/>
      <c r="AU1594" s="4"/>
      <c r="AV1594" s="4"/>
      <c r="AW1594" s="4"/>
      <c r="AX1594" s="4"/>
      <c r="AY1594" s="4"/>
      <c r="AZ1594" s="4"/>
      <c r="BA1594" s="4"/>
      <c r="BB1594" s="4"/>
      <c r="BC1594" s="4"/>
      <c r="BD1594" s="4"/>
      <c r="BE1594" s="4"/>
      <c r="BF1594" s="4"/>
      <c r="BG1594" s="4"/>
      <c r="BH1594" s="4"/>
      <c r="BI1594" s="4"/>
      <c r="BJ1594" s="4"/>
      <c r="BK1594" s="4"/>
      <c r="BL1594" s="4"/>
      <c r="BM1594" s="4"/>
      <c r="BN1594" s="4"/>
      <c r="BO1594" s="4"/>
      <c r="BP1594" s="4"/>
      <c r="BQ1594" s="4"/>
      <c r="BR1594" s="4"/>
      <c r="BS1594" s="4"/>
      <c r="BT1594" s="4"/>
      <c r="BU1594" s="4"/>
    </row>
    <row r="1595" spans="29:73" s="1" customFormat="1" x14ac:dyDescent="0.25">
      <c r="AC1595" s="4"/>
      <c r="AD1595" s="4"/>
      <c r="AE1595" s="4"/>
      <c r="AF1595" s="4"/>
      <c r="AG1595" s="4"/>
      <c r="AH1595" s="4"/>
      <c r="AI1595" s="4"/>
      <c r="AJ1595" s="4"/>
      <c r="AK1595" s="4"/>
      <c r="AL1595" s="4"/>
      <c r="AM1595" s="4"/>
      <c r="AN1595" s="4"/>
      <c r="AO1595" s="4"/>
      <c r="AP1595" s="4"/>
      <c r="AQ1595" s="4"/>
      <c r="AR1595" s="4"/>
      <c r="AS1595" s="4"/>
      <c r="AT1595" s="4"/>
      <c r="AU1595" s="4"/>
      <c r="AV1595" s="4"/>
      <c r="AW1595" s="4"/>
      <c r="AX1595" s="4"/>
      <c r="AY1595" s="4"/>
      <c r="AZ1595" s="4"/>
      <c r="BA1595" s="4"/>
      <c r="BB1595" s="4"/>
      <c r="BC1595" s="4"/>
      <c r="BD1595" s="4"/>
      <c r="BE1595" s="4"/>
      <c r="BF1595" s="4"/>
      <c r="BG1595" s="4"/>
      <c r="BH1595" s="4"/>
      <c r="BI1595" s="4"/>
      <c r="BJ1595" s="4"/>
      <c r="BK1595" s="4"/>
      <c r="BL1595" s="4"/>
      <c r="BM1595" s="4"/>
      <c r="BN1595" s="4"/>
      <c r="BO1595" s="4"/>
      <c r="BP1595" s="4"/>
      <c r="BQ1595" s="4"/>
      <c r="BR1595" s="4"/>
      <c r="BS1595" s="4"/>
      <c r="BT1595" s="4"/>
      <c r="BU1595" s="4"/>
    </row>
    <row r="1596" spans="29:73" s="1" customFormat="1" x14ac:dyDescent="0.25">
      <c r="AC1596" s="4"/>
      <c r="AD1596" s="4"/>
      <c r="AE1596" s="4"/>
      <c r="AF1596" s="4"/>
      <c r="AG1596" s="4"/>
      <c r="AH1596" s="4"/>
      <c r="AI1596" s="4"/>
      <c r="AJ1596" s="4"/>
      <c r="AK1596" s="4"/>
      <c r="AL1596" s="4"/>
      <c r="AM1596" s="4"/>
      <c r="AN1596" s="4"/>
      <c r="AO1596" s="4"/>
      <c r="AP1596" s="4"/>
      <c r="AQ1596" s="4"/>
      <c r="AR1596" s="4"/>
      <c r="AS1596" s="4"/>
      <c r="AT1596" s="4"/>
      <c r="AU1596" s="4"/>
      <c r="AV1596" s="4"/>
      <c r="AW1596" s="4"/>
      <c r="AX1596" s="4"/>
      <c r="AY1596" s="4"/>
      <c r="AZ1596" s="4"/>
      <c r="BA1596" s="4"/>
      <c r="BB1596" s="4"/>
      <c r="BC1596" s="4"/>
      <c r="BD1596" s="4"/>
      <c r="BE1596" s="4"/>
      <c r="BF1596" s="4"/>
      <c r="BG1596" s="4"/>
      <c r="BH1596" s="4"/>
      <c r="BI1596" s="4"/>
      <c r="BJ1596" s="4"/>
      <c r="BK1596" s="4"/>
      <c r="BL1596" s="4"/>
      <c r="BM1596" s="4"/>
      <c r="BN1596" s="4"/>
      <c r="BO1596" s="4"/>
      <c r="BP1596" s="4"/>
      <c r="BQ1596" s="4"/>
      <c r="BR1596" s="4"/>
      <c r="BS1596" s="4"/>
      <c r="BT1596" s="4"/>
      <c r="BU1596" s="4"/>
    </row>
    <row r="1597" spans="29:73" s="1" customFormat="1" x14ac:dyDescent="0.25">
      <c r="AC1597" s="4"/>
      <c r="AD1597" s="4"/>
      <c r="AE1597" s="4"/>
      <c r="AF1597" s="4"/>
      <c r="AG1597" s="4"/>
      <c r="AH1597" s="4"/>
      <c r="AI1597" s="4"/>
      <c r="AJ1597" s="4"/>
      <c r="AK1597" s="4"/>
      <c r="AL1597" s="4"/>
      <c r="AM1597" s="4"/>
      <c r="AN1597" s="4"/>
      <c r="AO1597" s="4"/>
      <c r="AP1597" s="4"/>
      <c r="AQ1597" s="4"/>
      <c r="AR1597" s="4"/>
      <c r="AS1597" s="4"/>
      <c r="AT1597" s="4"/>
      <c r="AU1597" s="4"/>
      <c r="AV1597" s="4"/>
      <c r="AW1597" s="4"/>
      <c r="AX1597" s="4"/>
      <c r="AY1597" s="4"/>
      <c r="AZ1597" s="4"/>
      <c r="BA1597" s="4"/>
      <c r="BB1597" s="4"/>
      <c r="BC1597" s="4"/>
      <c r="BD1597" s="4"/>
      <c r="BE1597" s="4"/>
      <c r="BF1597" s="4"/>
      <c r="BG1597" s="4"/>
      <c r="BH1597" s="4"/>
      <c r="BI1597" s="4"/>
      <c r="BJ1597" s="4"/>
      <c r="BK1597" s="4"/>
      <c r="BL1597" s="4"/>
      <c r="BM1597" s="4"/>
      <c r="BN1597" s="4"/>
      <c r="BO1597" s="4"/>
      <c r="BP1597" s="4"/>
      <c r="BQ1597" s="4"/>
      <c r="BR1597" s="4"/>
      <c r="BS1597" s="4"/>
      <c r="BT1597" s="4"/>
      <c r="BU1597" s="4"/>
    </row>
    <row r="1598" spans="29:73" s="1" customFormat="1" x14ac:dyDescent="0.25">
      <c r="AC1598" s="4"/>
      <c r="AD1598" s="4"/>
      <c r="AE1598" s="4"/>
      <c r="AF1598" s="4"/>
      <c r="AG1598" s="4"/>
      <c r="AH1598" s="4"/>
      <c r="AI1598" s="4"/>
      <c r="AJ1598" s="4"/>
      <c r="AK1598" s="4"/>
      <c r="AL1598" s="4"/>
      <c r="AM1598" s="4"/>
      <c r="AN1598" s="4"/>
      <c r="AO1598" s="4"/>
      <c r="AP1598" s="4"/>
      <c r="AQ1598" s="4"/>
      <c r="AR1598" s="4"/>
      <c r="AS1598" s="4"/>
      <c r="AT1598" s="4"/>
      <c r="AU1598" s="4"/>
      <c r="AV1598" s="4"/>
      <c r="AW1598" s="4"/>
      <c r="AX1598" s="4"/>
      <c r="AY1598" s="4"/>
      <c r="AZ1598" s="4"/>
      <c r="BA1598" s="4"/>
      <c r="BB1598" s="4"/>
      <c r="BC1598" s="4"/>
      <c r="BD1598" s="4"/>
      <c r="BE1598" s="4"/>
      <c r="BF1598" s="4"/>
      <c r="BG1598" s="4"/>
      <c r="BH1598" s="4"/>
      <c r="BI1598" s="4"/>
      <c r="BJ1598" s="4"/>
      <c r="BK1598" s="4"/>
      <c r="BL1598" s="4"/>
      <c r="BM1598" s="4"/>
      <c r="BN1598" s="4"/>
      <c r="BO1598" s="4"/>
      <c r="BP1598" s="4"/>
      <c r="BQ1598" s="4"/>
      <c r="BR1598" s="4"/>
      <c r="BS1598" s="4"/>
      <c r="BT1598" s="4"/>
      <c r="BU1598" s="4"/>
    </row>
    <row r="1599" spans="29:73" s="1" customFormat="1" x14ac:dyDescent="0.25">
      <c r="AC1599" s="4"/>
      <c r="AD1599" s="4"/>
      <c r="AE1599" s="4"/>
      <c r="AF1599" s="4"/>
      <c r="AG1599" s="4"/>
      <c r="AH1599" s="4"/>
      <c r="AI1599" s="4"/>
      <c r="AJ1599" s="4"/>
      <c r="AK1599" s="4"/>
      <c r="AL1599" s="4"/>
      <c r="AM1599" s="4"/>
      <c r="AN1599" s="4"/>
      <c r="AO1599" s="4"/>
      <c r="AP1599" s="4"/>
      <c r="AQ1599" s="4"/>
      <c r="AR1599" s="4"/>
      <c r="AS1599" s="4"/>
      <c r="AT1599" s="4"/>
      <c r="AU1599" s="4"/>
      <c r="AV1599" s="4"/>
      <c r="AW1599" s="4"/>
      <c r="AX1599" s="4"/>
      <c r="AY1599" s="4"/>
      <c r="AZ1599" s="4"/>
      <c r="BA1599" s="4"/>
      <c r="BB1599" s="4"/>
      <c r="BC1599" s="4"/>
      <c r="BD1599" s="4"/>
      <c r="BE1599" s="4"/>
      <c r="BF1599" s="4"/>
      <c r="BG1599" s="4"/>
      <c r="BH1599" s="4"/>
      <c r="BI1599" s="4"/>
      <c r="BJ1599" s="4"/>
      <c r="BK1599" s="4"/>
      <c r="BL1599" s="4"/>
      <c r="BM1599" s="4"/>
      <c r="BN1599" s="4"/>
      <c r="BO1599" s="4"/>
      <c r="BP1599" s="4"/>
      <c r="BQ1599" s="4"/>
      <c r="BR1599" s="4"/>
      <c r="BS1599" s="4"/>
      <c r="BT1599" s="4"/>
      <c r="BU1599" s="4"/>
    </row>
    <row r="1600" spans="29:73" s="1" customFormat="1" x14ac:dyDescent="0.25">
      <c r="AC1600" s="4"/>
      <c r="AD1600" s="4"/>
      <c r="AE1600" s="4"/>
      <c r="AF1600" s="4"/>
      <c r="AG1600" s="4"/>
      <c r="AH1600" s="4"/>
      <c r="AI1600" s="4"/>
      <c r="AJ1600" s="4"/>
      <c r="AK1600" s="4"/>
      <c r="AL1600" s="4"/>
      <c r="AM1600" s="4"/>
      <c r="AN1600" s="4"/>
      <c r="AO1600" s="4"/>
      <c r="AP1600" s="4"/>
      <c r="AQ1600" s="4"/>
      <c r="AR1600" s="4"/>
      <c r="AS1600" s="4"/>
      <c r="AT1600" s="4"/>
      <c r="AU1600" s="4"/>
      <c r="AV1600" s="4"/>
      <c r="AW1600" s="4"/>
      <c r="AX1600" s="4"/>
      <c r="AY1600" s="4"/>
      <c r="AZ1600" s="4"/>
      <c r="BA1600" s="4"/>
      <c r="BB1600" s="4"/>
      <c r="BC1600" s="4"/>
      <c r="BD1600" s="4"/>
      <c r="BE1600" s="4"/>
      <c r="BF1600" s="4"/>
      <c r="BG1600" s="4"/>
      <c r="BH1600" s="4"/>
      <c r="BI1600" s="4"/>
      <c r="BJ1600" s="4"/>
      <c r="BK1600" s="4"/>
      <c r="BL1600" s="4"/>
      <c r="BM1600" s="4"/>
      <c r="BN1600" s="4"/>
      <c r="BO1600" s="4"/>
      <c r="BP1600" s="4"/>
      <c r="BQ1600" s="4"/>
      <c r="BR1600" s="4"/>
      <c r="BS1600" s="4"/>
      <c r="BT1600" s="4"/>
      <c r="BU1600" s="4"/>
    </row>
    <row r="1601" spans="29:73" s="1" customFormat="1" x14ac:dyDescent="0.25">
      <c r="AC1601" s="4"/>
      <c r="AD1601" s="4"/>
      <c r="AE1601" s="4"/>
      <c r="AF1601" s="4"/>
      <c r="AG1601" s="4"/>
      <c r="AH1601" s="4"/>
      <c r="AI1601" s="4"/>
      <c r="AJ1601" s="4"/>
      <c r="AK1601" s="4"/>
      <c r="AL1601" s="4"/>
      <c r="AM1601" s="4"/>
      <c r="AN1601" s="4"/>
      <c r="AO1601" s="4"/>
      <c r="AP1601" s="4"/>
      <c r="AQ1601" s="4"/>
      <c r="AR1601" s="4"/>
      <c r="AS1601" s="4"/>
      <c r="AT1601" s="4"/>
      <c r="AU1601" s="4"/>
      <c r="AV1601" s="4"/>
      <c r="AW1601" s="4"/>
      <c r="AX1601" s="4"/>
      <c r="AY1601" s="4"/>
      <c r="AZ1601" s="4"/>
      <c r="BA1601" s="4"/>
      <c r="BB1601" s="4"/>
      <c r="BC1601" s="4"/>
      <c r="BD1601" s="4"/>
      <c r="BE1601" s="4"/>
      <c r="BF1601" s="4"/>
      <c r="BG1601" s="4"/>
      <c r="BH1601" s="4"/>
      <c r="BI1601" s="4"/>
      <c r="BJ1601" s="4"/>
      <c r="BK1601" s="4"/>
      <c r="BL1601" s="4"/>
      <c r="BM1601" s="4"/>
      <c r="BN1601" s="4"/>
      <c r="BO1601" s="4"/>
      <c r="BP1601" s="4"/>
      <c r="BQ1601" s="4"/>
      <c r="BR1601" s="4"/>
      <c r="BS1601" s="4"/>
      <c r="BT1601" s="4"/>
      <c r="BU1601" s="4"/>
    </row>
    <row r="1602" spans="29:73" s="1" customFormat="1" x14ac:dyDescent="0.25">
      <c r="AC1602" s="4"/>
      <c r="AD1602" s="4"/>
      <c r="AE1602" s="4"/>
      <c r="AF1602" s="4"/>
      <c r="AG1602" s="4"/>
      <c r="AH1602" s="4"/>
      <c r="AI1602" s="4"/>
      <c r="AJ1602" s="4"/>
      <c r="AK1602" s="4"/>
      <c r="AL1602" s="4"/>
      <c r="AM1602" s="4"/>
      <c r="AN1602" s="4"/>
      <c r="AO1602" s="4"/>
      <c r="AP1602" s="4"/>
      <c r="AQ1602" s="4"/>
      <c r="AR1602" s="4"/>
      <c r="AS1602" s="4"/>
      <c r="AT1602" s="4"/>
      <c r="AU1602" s="4"/>
      <c r="AV1602" s="4"/>
      <c r="AW1602" s="4"/>
      <c r="AX1602" s="4"/>
      <c r="AY1602" s="4"/>
      <c r="AZ1602" s="4"/>
      <c r="BA1602" s="4"/>
      <c r="BB1602" s="4"/>
      <c r="BC1602" s="4"/>
      <c r="BD1602" s="4"/>
      <c r="BE1602" s="4"/>
      <c r="BF1602" s="4"/>
      <c r="BG1602" s="4"/>
      <c r="BH1602" s="4"/>
      <c r="BI1602" s="4"/>
      <c r="BJ1602" s="4"/>
      <c r="BK1602" s="4"/>
      <c r="BL1602" s="4"/>
      <c r="BM1602" s="4"/>
      <c r="BN1602" s="4"/>
      <c r="BO1602" s="4"/>
      <c r="BP1602" s="4"/>
      <c r="BQ1602" s="4"/>
      <c r="BR1602" s="4"/>
      <c r="BS1602" s="4"/>
      <c r="BT1602" s="4"/>
      <c r="BU1602" s="4"/>
    </row>
    <row r="1603" spans="29:73" s="1" customFormat="1" x14ac:dyDescent="0.25">
      <c r="AC1603" s="4"/>
      <c r="AD1603" s="4"/>
      <c r="AE1603" s="4"/>
      <c r="AF1603" s="4"/>
      <c r="AG1603" s="4"/>
      <c r="AH1603" s="4"/>
      <c r="AI1603" s="4"/>
      <c r="AJ1603" s="4"/>
      <c r="AK1603" s="4"/>
      <c r="AL1603" s="4"/>
      <c r="AM1603" s="4"/>
      <c r="AN1603" s="4"/>
      <c r="AO1603" s="4"/>
      <c r="AP1603" s="4"/>
      <c r="AQ1603" s="4"/>
      <c r="AR1603" s="4"/>
      <c r="AS1603" s="4"/>
      <c r="AT1603" s="4"/>
      <c r="AU1603" s="4"/>
      <c r="AV1603" s="4"/>
      <c r="AW1603" s="4"/>
      <c r="AX1603" s="4"/>
      <c r="AY1603" s="4"/>
      <c r="AZ1603" s="4"/>
      <c r="BA1603" s="4"/>
      <c r="BB1603" s="4"/>
      <c r="BC1603" s="4"/>
      <c r="BD1603" s="4"/>
      <c r="BE1603" s="4"/>
      <c r="BF1603" s="4"/>
      <c r="BG1603" s="4"/>
      <c r="BH1603" s="4"/>
      <c r="BI1603" s="4"/>
      <c r="BJ1603" s="4"/>
      <c r="BK1603" s="4"/>
      <c r="BL1603" s="4"/>
      <c r="BM1603" s="4"/>
      <c r="BN1603" s="4"/>
      <c r="BO1603" s="4"/>
      <c r="BP1603" s="4"/>
      <c r="BQ1603" s="4"/>
      <c r="BR1603" s="4"/>
      <c r="BS1603" s="4"/>
      <c r="BT1603" s="4"/>
      <c r="BU1603" s="4"/>
    </row>
    <row r="1604" spans="29:73" s="1" customFormat="1" x14ac:dyDescent="0.25">
      <c r="AC1604" s="4"/>
      <c r="AD1604" s="4"/>
      <c r="AE1604" s="4"/>
      <c r="AF1604" s="4"/>
      <c r="AG1604" s="4"/>
      <c r="AH1604" s="4"/>
      <c r="AI1604" s="4"/>
      <c r="AJ1604" s="4"/>
      <c r="AK1604" s="4"/>
      <c r="AL1604" s="4"/>
      <c r="AM1604" s="4"/>
      <c r="AN1604" s="4"/>
      <c r="AO1604" s="4"/>
      <c r="AP1604" s="4"/>
      <c r="AQ1604" s="4"/>
      <c r="AR1604" s="4"/>
      <c r="AS1604" s="4"/>
      <c r="AT1604" s="4"/>
      <c r="AU1604" s="4"/>
      <c r="AV1604" s="4"/>
      <c r="AW1604" s="4"/>
      <c r="AX1604" s="4"/>
      <c r="AY1604" s="4"/>
      <c r="AZ1604" s="4"/>
      <c r="BA1604" s="4"/>
      <c r="BB1604" s="4"/>
      <c r="BC1604" s="4"/>
      <c r="BD1604" s="4"/>
      <c r="BE1604" s="4"/>
      <c r="BF1604" s="4"/>
      <c r="BG1604" s="4"/>
      <c r="BH1604" s="4"/>
      <c r="BI1604" s="4"/>
      <c r="BJ1604" s="4"/>
      <c r="BK1604" s="4"/>
      <c r="BL1604" s="4"/>
      <c r="BM1604" s="4"/>
      <c r="BN1604" s="4"/>
      <c r="BO1604" s="4"/>
      <c r="BP1604" s="4"/>
      <c r="BQ1604" s="4"/>
      <c r="BR1604" s="4"/>
      <c r="BS1604" s="4"/>
      <c r="BT1604" s="4"/>
      <c r="BU1604" s="4"/>
    </row>
    <row r="1605" spans="29:73" s="1" customFormat="1" x14ac:dyDescent="0.25">
      <c r="AC1605" s="4"/>
      <c r="AD1605" s="4"/>
      <c r="AE1605" s="4"/>
      <c r="AF1605" s="4"/>
      <c r="AG1605" s="4"/>
      <c r="AH1605" s="4"/>
      <c r="AI1605" s="4"/>
      <c r="AJ1605" s="4"/>
      <c r="AK1605" s="4"/>
      <c r="AL1605" s="4"/>
      <c r="AM1605" s="4"/>
      <c r="AN1605" s="4"/>
      <c r="AO1605" s="4"/>
      <c r="AP1605" s="4"/>
      <c r="AQ1605" s="4"/>
      <c r="AR1605" s="4"/>
      <c r="AS1605" s="4"/>
      <c r="AT1605" s="4"/>
      <c r="AU1605" s="4"/>
      <c r="AV1605" s="4"/>
      <c r="AW1605" s="4"/>
      <c r="AX1605" s="4"/>
      <c r="AY1605" s="4"/>
      <c r="AZ1605" s="4"/>
      <c r="BA1605" s="4"/>
      <c r="BB1605" s="4"/>
      <c r="BC1605" s="4"/>
      <c r="BD1605" s="4"/>
      <c r="BE1605" s="4"/>
      <c r="BF1605" s="4"/>
      <c r="BG1605" s="4"/>
      <c r="BH1605" s="4"/>
      <c r="BI1605" s="4"/>
      <c r="BJ1605" s="4"/>
      <c r="BK1605" s="4"/>
      <c r="BL1605" s="4"/>
      <c r="BM1605" s="4"/>
      <c r="BN1605" s="4"/>
      <c r="BO1605" s="4"/>
      <c r="BP1605" s="4"/>
      <c r="BQ1605" s="4"/>
      <c r="BR1605" s="4"/>
      <c r="BS1605" s="4"/>
      <c r="BT1605" s="4"/>
      <c r="BU1605" s="4"/>
    </row>
    <row r="1606" spans="29:73" s="1" customFormat="1" x14ac:dyDescent="0.25">
      <c r="AC1606" s="4"/>
      <c r="AD1606" s="4"/>
      <c r="AE1606" s="4"/>
      <c r="AF1606" s="4"/>
      <c r="AG1606" s="4"/>
      <c r="AH1606" s="4"/>
      <c r="AI1606" s="4"/>
      <c r="AJ1606" s="4"/>
      <c r="AK1606" s="4"/>
      <c r="AL1606" s="4"/>
      <c r="AM1606" s="4"/>
      <c r="AN1606" s="4"/>
      <c r="AO1606" s="4"/>
      <c r="AP1606" s="4"/>
      <c r="AQ1606" s="4"/>
      <c r="AR1606" s="4"/>
      <c r="AS1606" s="4"/>
      <c r="AT1606" s="4"/>
      <c r="AU1606" s="4"/>
      <c r="AV1606" s="4"/>
      <c r="AW1606" s="4"/>
      <c r="AX1606" s="4"/>
      <c r="AY1606" s="4"/>
      <c r="AZ1606" s="4"/>
      <c r="BA1606" s="4"/>
      <c r="BB1606" s="4"/>
      <c r="BC1606" s="4"/>
      <c r="BD1606" s="4"/>
      <c r="BE1606" s="4"/>
      <c r="BF1606" s="4"/>
      <c r="BG1606" s="4"/>
      <c r="BH1606" s="4"/>
      <c r="BI1606" s="4"/>
      <c r="BJ1606" s="4"/>
      <c r="BK1606" s="4"/>
      <c r="BL1606" s="4"/>
      <c r="BM1606" s="4"/>
      <c r="BN1606" s="4"/>
      <c r="BO1606" s="4"/>
      <c r="BP1606" s="4"/>
      <c r="BQ1606" s="4"/>
      <c r="BR1606" s="4"/>
      <c r="BS1606" s="4"/>
      <c r="BT1606" s="4"/>
      <c r="BU1606" s="4"/>
    </row>
    <row r="1607" spans="29:73" s="1" customFormat="1" x14ac:dyDescent="0.25">
      <c r="AC1607" s="4"/>
      <c r="AD1607" s="4"/>
      <c r="AE1607" s="4"/>
      <c r="AF1607" s="4"/>
      <c r="AG1607" s="4"/>
      <c r="AH1607" s="4"/>
      <c r="AI1607" s="4"/>
      <c r="AJ1607" s="4"/>
      <c r="AK1607" s="4"/>
      <c r="AL1607" s="4"/>
      <c r="AM1607" s="4"/>
      <c r="AN1607" s="4"/>
      <c r="AO1607" s="4"/>
      <c r="AP1607" s="4"/>
      <c r="AQ1607" s="4"/>
      <c r="AR1607" s="4"/>
      <c r="AS1607" s="4"/>
      <c r="AT1607" s="4"/>
      <c r="AU1607" s="4"/>
      <c r="AV1607" s="4"/>
      <c r="AW1607" s="4"/>
      <c r="AX1607" s="4"/>
      <c r="AY1607" s="4"/>
      <c r="AZ1607" s="4"/>
      <c r="BA1607" s="4"/>
      <c r="BB1607" s="4"/>
      <c r="BC1607" s="4"/>
      <c r="BD1607" s="4"/>
      <c r="BE1607" s="4"/>
      <c r="BF1607" s="4"/>
      <c r="BG1607" s="4"/>
      <c r="BH1607" s="4"/>
      <c r="BI1607" s="4"/>
      <c r="BJ1607" s="4"/>
      <c r="BK1607" s="4"/>
      <c r="BL1607" s="4"/>
      <c r="BM1607" s="4"/>
      <c r="BN1607" s="4"/>
      <c r="BO1607" s="4"/>
      <c r="BP1607" s="4"/>
      <c r="BQ1607" s="4"/>
      <c r="BR1607" s="4"/>
      <c r="BS1607" s="4"/>
      <c r="BT1607" s="4"/>
      <c r="BU1607" s="4"/>
    </row>
    <row r="1608" spans="29:73" s="1" customFormat="1" x14ac:dyDescent="0.25">
      <c r="AC1608" s="4"/>
      <c r="AD1608" s="4"/>
      <c r="AE1608" s="4"/>
      <c r="AF1608" s="4"/>
      <c r="AG1608" s="4"/>
      <c r="AH1608" s="4"/>
      <c r="AI1608" s="4"/>
      <c r="AJ1608" s="4"/>
      <c r="AK1608" s="4"/>
      <c r="AL1608" s="4"/>
      <c r="AM1608" s="4"/>
      <c r="AN1608" s="4"/>
      <c r="AO1608" s="4"/>
      <c r="AP1608" s="4"/>
      <c r="AQ1608" s="4"/>
      <c r="AR1608" s="4"/>
      <c r="AS1608" s="4"/>
      <c r="AT1608" s="4"/>
      <c r="AU1608" s="4"/>
      <c r="AV1608" s="4"/>
      <c r="AW1608" s="4"/>
      <c r="AX1608" s="4"/>
      <c r="AY1608" s="4"/>
      <c r="AZ1608" s="4"/>
      <c r="BA1608" s="4"/>
      <c r="BB1608" s="4"/>
      <c r="BC1608" s="4"/>
      <c r="BD1608" s="4"/>
      <c r="BE1608" s="4"/>
      <c r="BF1608" s="4"/>
      <c r="BG1608" s="4"/>
      <c r="BH1608" s="4"/>
      <c r="BI1608" s="4"/>
      <c r="BJ1608" s="4"/>
      <c r="BK1608" s="4"/>
      <c r="BL1608" s="4"/>
      <c r="BM1608" s="4"/>
      <c r="BN1608" s="4"/>
      <c r="BO1608" s="4"/>
      <c r="BP1608" s="4"/>
      <c r="BQ1608" s="4"/>
      <c r="BR1608" s="4"/>
      <c r="BS1608" s="4"/>
      <c r="BT1608" s="4"/>
      <c r="BU1608" s="4"/>
    </row>
    <row r="1609" spans="29:73" s="1" customFormat="1" x14ac:dyDescent="0.25">
      <c r="AC1609" s="4"/>
      <c r="AD1609" s="4"/>
      <c r="AE1609" s="4"/>
      <c r="AF1609" s="4"/>
      <c r="AG1609" s="4"/>
      <c r="AH1609" s="4"/>
      <c r="AI1609" s="4"/>
      <c r="AJ1609" s="4"/>
      <c r="AK1609" s="4"/>
      <c r="AL1609" s="4"/>
      <c r="AM1609" s="4"/>
      <c r="AN1609" s="4"/>
      <c r="AO1609" s="4"/>
      <c r="AP1609" s="4"/>
      <c r="AQ1609" s="4"/>
      <c r="AR1609" s="4"/>
      <c r="AS1609" s="4"/>
      <c r="AT1609" s="4"/>
      <c r="AU1609" s="4"/>
      <c r="AV1609" s="4"/>
      <c r="AW1609" s="4"/>
      <c r="AX1609" s="4"/>
      <c r="AY1609" s="4"/>
      <c r="AZ1609" s="4"/>
      <c r="BA1609" s="4"/>
      <c r="BB1609" s="4"/>
      <c r="BC1609" s="4"/>
      <c r="BD1609" s="4"/>
      <c r="BE1609" s="4"/>
      <c r="BF1609" s="4"/>
      <c r="BG1609" s="4"/>
      <c r="BH1609" s="4"/>
      <c r="BI1609" s="4"/>
      <c r="BJ1609" s="4"/>
      <c r="BK1609" s="4"/>
      <c r="BL1609" s="4"/>
      <c r="BM1609" s="4"/>
      <c r="BN1609" s="4"/>
      <c r="BO1609" s="4"/>
      <c r="BP1609" s="4"/>
      <c r="BQ1609" s="4"/>
      <c r="BR1609" s="4"/>
      <c r="BS1609" s="4"/>
      <c r="BT1609" s="4"/>
      <c r="BU1609" s="4"/>
    </row>
    <row r="1610" spans="29:73" s="1" customFormat="1" x14ac:dyDescent="0.25">
      <c r="AC1610" s="4"/>
      <c r="AD1610" s="4"/>
      <c r="AE1610" s="4"/>
      <c r="AF1610" s="4"/>
      <c r="AG1610" s="4"/>
      <c r="AH1610" s="4"/>
      <c r="AI1610" s="4"/>
      <c r="AJ1610" s="4"/>
      <c r="AK1610" s="4"/>
      <c r="AL1610" s="4"/>
      <c r="AM1610" s="4"/>
      <c r="AN1610" s="4"/>
      <c r="AO1610" s="4"/>
      <c r="AP1610" s="4"/>
      <c r="AQ1610" s="4"/>
      <c r="AR1610" s="4"/>
      <c r="AS1610" s="4"/>
      <c r="AT1610" s="4"/>
      <c r="AU1610" s="4"/>
      <c r="AV1610" s="4"/>
      <c r="AW1610" s="4"/>
      <c r="AX1610" s="4"/>
      <c r="AY1610" s="4"/>
      <c r="AZ1610" s="4"/>
      <c r="BA1610" s="4"/>
      <c r="BB1610" s="4"/>
      <c r="BC1610" s="4"/>
      <c r="BD1610" s="4"/>
      <c r="BE1610" s="4"/>
      <c r="BF1610" s="4"/>
      <c r="BG1610" s="4"/>
      <c r="BH1610" s="4"/>
      <c r="BI1610" s="4"/>
      <c r="BJ1610" s="4"/>
      <c r="BK1610" s="4"/>
      <c r="BL1610" s="4"/>
      <c r="BM1610" s="4"/>
      <c r="BN1610" s="4"/>
      <c r="BO1610" s="4"/>
      <c r="BP1610" s="4"/>
      <c r="BQ1610" s="4"/>
      <c r="BR1610" s="4"/>
      <c r="BS1610" s="4"/>
      <c r="BT1610" s="4"/>
      <c r="BU1610" s="4"/>
    </row>
    <row r="1611" spans="29:73" s="1" customFormat="1" x14ac:dyDescent="0.25">
      <c r="AC1611" s="4"/>
      <c r="AD1611" s="4"/>
      <c r="AE1611" s="4"/>
      <c r="AF1611" s="4"/>
      <c r="AG1611" s="4"/>
      <c r="AH1611" s="4"/>
      <c r="AI1611" s="4"/>
      <c r="AJ1611" s="4"/>
      <c r="AK1611" s="4"/>
      <c r="AL1611" s="4"/>
      <c r="AM1611" s="4"/>
      <c r="AN1611" s="4"/>
      <c r="AO1611" s="4"/>
      <c r="AP1611" s="4"/>
      <c r="AQ1611" s="4"/>
      <c r="AR1611" s="4"/>
      <c r="AS1611" s="4"/>
      <c r="AT1611" s="4"/>
      <c r="AU1611" s="4"/>
      <c r="AV1611" s="4"/>
      <c r="AW1611" s="4"/>
      <c r="AX1611" s="4"/>
      <c r="AY1611" s="4"/>
      <c r="AZ1611" s="4"/>
      <c r="BA1611" s="4"/>
      <c r="BB1611" s="4"/>
      <c r="BC1611" s="4"/>
      <c r="BD1611" s="4"/>
      <c r="BE1611" s="4"/>
      <c r="BF1611" s="4"/>
      <c r="BG1611" s="4"/>
      <c r="BH1611" s="4"/>
      <c r="BI1611" s="4"/>
      <c r="BJ1611" s="4"/>
      <c r="BK1611" s="4"/>
      <c r="BL1611" s="4"/>
      <c r="BM1611" s="4"/>
      <c r="BN1611" s="4"/>
      <c r="BO1611" s="4"/>
      <c r="BP1611" s="4"/>
      <c r="BQ1611" s="4"/>
      <c r="BR1611" s="4"/>
      <c r="BS1611" s="4"/>
      <c r="BT1611" s="4"/>
      <c r="BU1611" s="4"/>
    </row>
    <row r="1612" spans="29:73" s="1" customFormat="1" x14ac:dyDescent="0.25">
      <c r="AC1612" s="4"/>
      <c r="AD1612" s="4"/>
      <c r="AE1612" s="4"/>
      <c r="AF1612" s="4"/>
      <c r="AG1612" s="4"/>
      <c r="AH1612" s="4"/>
      <c r="AI1612" s="4"/>
      <c r="AJ1612" s="4"/>
      <c r="AK1612" s="4"/>
      <c r="AL1612" s="4"/>
      <c r="AM1612" s="4"/>
      <c r="AN1612" s="4"/>
      <c r="AO1612" s="4"/>
      <c r="AP1612" s="4"/>
      <c r="AQ1612" s="4"/>
      <c r="AR1612" s="4"/>
      <c r="AS1612" s="4"/>
      <c r="AT1612" s="4"/>
      <c r="AU1612" s="4"/>
      <c r="AV1612" s="4"/>
      <c r="AW1612" s="4"/>
      <c r="AX1612" s="4"/>
      <c r="AY1612" s="4"/>
      <c r="AZ1612" s="4"/>
      <c r="BA1612" s="4"/>
      <c r="BB1612" s="4"/>
      <c r="BC1612" s="4"/>
      <c r="BD1612" s="4"/>
      <c r="BE1612" s="4"/>
      <c r="BF1612" s="4"/>
      <c r="BG1612" s="4"/>
      <c r="BH1612" s="4"/>
      <c r="BI1612" s="4"/>
      <c r="BJ1612" s="4"/>
      <c r="BK1612" s="4"/>
      <c r="BL1612" s="4"/>
      <c r="BM1612" s="4"/>
      <c r="BN1612" s="4"/>
      <c r="BO1612" s="4"/>
      <c r="BP1612" s="4"/>
      <c r="BQ1612" s="4"/>
      <c r="BR1612" s="4"/>
      <c r="BS1612" s="4"/>
      <c r="BT1612" s="4"/>
      <c r="BU1612" s="4"/>
    </row>
    <row r="1613" spans="29:73" s="1" customFormat="1" x14ac:dyDescent="0.25">
      <c r="AC1613" s="4"/>
      <c r="AD1613" s="4"/>
      <c r="AE1613" s="4"/>
      <c r="AF1613" s="4"/>
      <c r="AG1613" s="4"/>
      <c r="AH1613" s="4"/>
      <c r="AI1613" s="4"/>
      <c r="AJ1613" s="4"/>
      <c r="AK1613" s="4"/>
      <c r="AL1613" s="4"/>
      <c r="AM1613" s="4"/>
      <c r="AN1613" s="4"/>
      <c r="AO1613" s="4"/>
      <c r="AP1613" s="4"/>
      <c r="AQ1613" s="4"/>
      <c r="AR1613" s="4"/>
      <c r="AS1613" s="4"/>
      <c r="AT1613" s="4"/>
      <c r="AU1613" s="4"/>
      <c r="AV1613" s="4"/>
      <c r="AW1613" s="4"/>
      <c r="AX1613" s="4"/>
      <c r="AY1613" s="4"/>
      <c r="AZ1613" s="4"/>
      <c r="BA1613" s="4"/>
      <c r="BB1613" s="4"/>
      <c r="BC1613" s="4"/>
      <c r="BD1613" s="4"/>
      <c r="BE1613" s="4"/>
      <c r="BF1613" s="4"/>
      <c r="BG1613" s="4"/>
      <c r="BH1613" s="4"/>
      <c r="BI1613" s="4"/>
      <c r="BJ1613" s="4"/>
      <c r="BK1613" s="4"/>
      <c r="BL1613" s="4"/>
      <c r="BM1613" s="4"/>
      <c r="BN1613" s="4"/>
      <c r="BO1613" s="4"/>
      <c r="BP1613" s="4"/>
      <c r="BQ1613" s="4"/>
      <c r="BR1613" s="4"/>
      <c r="BS1613" s="4"/>
      <c r="BT1613" s="4"/>
      <c r="BU1613" s="4"/>
    </row>
    <row r="1614" spans="29:73" s="1" customFormat="1" x14ac:dyDescent="0.25">
      <c r="AC1614" s="4"/>
      <c r="AD1614" s="4"/>
      <c r="AE1614" s="4"/>
      <c r="AF1614" s="4"/>
      <c r="AG1614" s="4"/>
      <c r="AH1614" s="4"/>
      <c r="AI1614" s="4"/>
      <c r="AJ1614" s="4"/>
      <c r="AK1614" s="4"/>
      <c r="AL1614" s="4"/>
      <c r="AM1614" s="4"/>
      <c r="AN1614" s="4"/>
      <c r="AO1614" s="4"/>
      <c r="AP1614" s="4"/>
      <c r="AQ1614" s="4"/>
      <c r="AR1614" s="4"/>
      <c r="AS1614" s="4"/>
      <c r="AT1614" s="4"/>
      <c r="AU1614" s="4"/>
      <c r="AV1614" s="4"/>
      <c r="AW1614" s="4"/>
      <c r="AX1614" s="4"/>
      <c r="AY1614" s="4"/>
      <c r="AZ1614" s="4"/>
      <c r="BA1614" s="4"/>
      <c r="BB1614" s="4"/>
      <c r="BC1614" s="4"/>
      <c r="BD1614" s="4"/>
      <c r="BE1614" s="4"/>
      <c r="BF1614" s="4"/>
      <c r="BG1614" s="4"/>
      <c r="BH1614" s="4"/>
      <c r="BI1614" s="4"/>
      <c r="BJ1614" s="4"/>
      <c r="BK1614" s="4"/>
      <c r="BL1614" s="4"/>
      <c r="BM1614" s="4"/>
      <c r="BN1614" s="4"/>
      <c r="BO1614" s="4"/>
      <c r="BP1614" s="4"/>
      <c r="BQ1614" s="4"/>
      <c r="BR1614" s="4"/>
      <c r="BS1614" s="4"/>
      <c r="BT1614" s="4"/>
      <c r="BU1614" s="4"/>
    </row>
    <row r="1615" spans="29:73" s="1" customFormat="1" x14ac:dyDescent="0.25">
      <c r="AC1615" s="4"/>
      <c r="AD1615" s="4"/>
      <c r="AE1615" s="4"/>
      <c r="AF1615" s="4"/>
      <c r="AG1615" s="4"/>
      <c r="AH1615" s="4"/>
      <c r="AI1615" s="4"/>
      <c r="AJ1615" s="4"/>
      <c r="AK1615" s="4"/>
      <c r="AL1615" s="4"/>
      <c r="AM1615" s="4"/>
      <c r="AN1615" s="4"/>
      <c r="AO1615" s="4"/>
      <c r="AP1615" s="4"/>
      <c r="AQ1615" s="4"/>
      <c r="AR1615" s="4"/>
      <c r="AS1615" s="4"/>
      <c r="AT1615" s="4"/>
      <c r="AU1615" s="4"/>
      <c r="AV1615" s="4"/>
      <c r="AW1615" s="4"/>
      <c r="AX1615" s="4"/>
      <c r="AY1615" s="4"/>
      <c r="AZ1615" s="4"/>
      <c r="BA1615" s="4"/>
      <c r="BB1615" s="4"/>
      <c r="BC1615" s="4"/>
      <c r="BD1615" s="4"/>
      <c r="BE1615" s="4"/>
      <c r="BF1615" s="4"/>
      <c r="BG1615" s="4"/>
      <c r="BH1615" s="4"/>
      <c r="BI1615" s="4"/>
      <c r="BJ1615" s="4"/>
      <c r="BK1615" s="4"/>
      <c r="BL1615" s="4"/>
      <c r="BM1615" s="4"/>
      <c r="BN1615" s="4"/>
      <c r="BO1615" s="4"/>
      <c r="BP1615" s="4"/>
      <c r="BQ1615" s="4"/>
      <c r="BR1615" s="4"/>
      <c r="BS1615" s="4"/>
      <c r="BT1615" s="4"/>
      <c r="BU1615" s="4"/>
    </row>
    <row r="1616" spans="29:73" s="1" customFormat="1" x14ac:dyDescent="0.25">
      <c r="AC1616" s="4"/>
      <c r="AD1616" s="4"/>
      <c r="AE1616" s="4"/>
      <c r="AF1616" s="4"/>
      <c r="AG1616" s="4"/>
      <c r="AH1616" s="4"/>
      <c r="AI1616" s="4"/>
      <c r="AJ1616" s="4"/>
      <c r="AK1616" s="4"/>
      <c r="AL1616" s="4"/>
      <c r="AM1616" s="4"/>
      <c r="AN1616" s="4"/>
      <c r="AO1616" s="4"/>
      <c r="AP1616" s="4"/>
      <c r="AQ1616" s="4"/>
      <c r="AR1616" s="4"/>
      <c r="AS1616" s="4"/>
      <c r="AT1616" s="4"/>
      <c r="AU1616" s="4"/>
      <c r="AV1616" s="4"/>
      <c r="AW1616" s="4"/>
      <c r="AX1616" s="4"/>
      <c r="AY1616" s="4"/>
      <c r="AZ1616" s="4"/>
      <c r="BA1616" s="4"/>
      <c r="BB1616" s="4"/>
      <c r="BC1616" s="4"/>
      <c r="BD1616" s="4"/>
      <c r="BE1616" s="4"/>
      <c r="BF1616" s="4"/>
      <c r="BG1616" s="4"/>
      <c r="BH1616" s="4"/>
      <c r="BI1616" s="4"/>
      <c r="BJ1616" s="4"/>
      <c r="BK1616" s="4"/>
      <c r="BL1616" s="4"/>
      <c r="BM1616" s="4"/>
      <c r="BN1616" s="4"/>
      <c r="BO1616" s="4"/>
      <c r="BP1616" s="4"/>
      <c r="BQ1616" s="4"/>
      <c r="BR1616" s="4"/>
      <c r="BS1616" s="4"/>
      <c r="BT1616" s="4"/>
      <c r="BU1616" s="4"/>
    </row>
    <row r="1617" spans="29:73" s="1" customFormat="1" x14ac:dyDescent="0.25">
      <c r="AC1617" s="4"/>
      <c r="AD1617" s="4"/>
      <c r="AE1617" s="4"/>
      <c r="AF1617" s="4"/>
      <c r="AG1617" s="4"/>
      <c r="AH1617" s="4"/>
      <c r="AI1617" s="4"/>
      <c r="AJ1617" s="4"/>
      <c r="AK1617" s="4"/>
      <c r="AL1617" s="4"/>
      <c r="AM1617" s="4"/>
      <c r="AN1617" s="4"/>
      <c r="AO1617" s="4"/>
      <c r="AP1617" s="4"/>
      <c r="AQ1617" s="4"/>
      <c r="AR1617" s="4"/>
      <c r="AS1617" s="4"/>
      <c r="AT1617" s="4"/>
      <c r="AU1617" s="4"/>
      <c r="AV1617" s="4"/>
      <c r="AW1617" s="4"/>
      <c r="AX1617" s="4"/>
      <c r="AY1617" s="4"/>
      <c r="AZ1617" s="4"/>
      <c r="BA1617" s="4"/>
      <c r="BB1617" s="4"/>
      <c r="BC1617" s="4"/>
      <c r="BD1617" s="4"/>
      <c r="BE1617" s="4"/>
      <c r="BF1617" s="4"/>
      <c r="BG1617" s="4"/>
      <c r="BH1617" s="4"/>
      <c r="BI1617" s="4"/>
      <c r="BJ1617" s="4"/>
      <c r="BK1617" s="4"/>
      <c r="BL1617" s="4"/>
      <c r="BM1617" s="4"/>
      <c r="BN1617" s="4"/>
      <c r="BO1617" s="4"/>
      <c r="BP1617" s="4"/>
      <c r="BQ1617" s="4"/>
      <c r="BR1617" s="4"/>
      <c r="BS1617" s="4"/>
      <c r="BT1617" s="4"/>
      <c r="BU1617" s="4"/>
    </row>
    <row r="1618" spans="29:73" s="1" customFormat="1" x14ac:dyDescent="0.25">
      <c r="AC1618" s="4"/>
      <c r="AD1618" s="4"/>
      <c r="AE1618" s="4"/>
      <c r="AF1618" s="4"/>
      <c r="AG1618" s="4"/>
      <c r="AH1618" s="4"/>
      <c r="AI1618" s="4"/>
      <c r="AJ1618" s="4"/>
      <c r="AK1618" s="4"/>
      <c r="AL1618" s="4"/>
      <c r="AM1618" s="4"/>
      <c r="AN1618" s="4"/>
      <c r="AO1618" s="4"/>
      <c r="AP1618" s="4"/>
      <c r="AQ1618" s="4"/>
      <c r="AR1618" s="4"/>
      <c r="AS1618" s="4"/>
      <c r="AT1618" s="4"/>
      <c r="AU1618" s="4"/>
      <c r="AV1618" s="4"/>
      <c r="AW1618" s="4"/>
      <c r="AX1618" s="4"/>
      <c r="AY1618" s="4"/>
      <c r="AZ1618" s="4"/>
      <c r="BA1618" s="4"/>
      <c r="BB1618" s="4"/>
      <c r="BC1618" s="4"/>
      <c r="BD1618" s="4"/>
      <c r="BE1618" s="4"/>
      <c r="BF1618" s="4"/>
      <c r="BG1618" s="4"/>
      <c r="BH1618" s="4"/>
      <c r="BI1618" s="4"/>
      <c r="BJ1618" s="4"/>
      <c r="BK1618" s="4"/>
      <c r="BL1618" s="4"/>
      <c r="BM1618" s="4"/>
      <c r="BN1618" s="4"/>
      <c r="BO1618" s="4"/>
      <c r="BP1618" s="4"/>
      <c r="BQ1618" s="4"/>
      <c r="BR1618" s="4"/>
      <c r="BS1618" s="4"/>
      <c r="BT1618" s="4"/>
      <c r="BU1618" s="4"/>
    </row>
    <row r="1619" spans="29:73" s="1" customFormat="1" x14ac:dyDescent="0.25">
      <c r="AC1619" s="4"/>
      <c r="AD1619" s="4"/>
      <c r="AE1619" s="4"/>
      <c r="AF1619" s="4"/>
      <c r="AG1619" s="4"/>
      <c r="AH1619" s="4"/>
      <c r="AI1619" s="4"/>
      <c r="AJ1619" s="4"/>
      <c r="AK1619" s="4"/>
      <c r="AL1619" s="4"/>
      <c r="AM1619" s="4"/>
      <c r="AN1619" s="4"/>
      <c r="AO1619" s="4"/>
      <c r="AP1619" s="4"/>
      <c r="AQ1619" s="4"/>
      <c r="AR1619" s="4"/>
      <c r="AS1619" s="4"/>
      <c r="AT1619" s="4"/>
      <c r="AU1619" s="4"/>
      <c r="AV1619" s="4"/>
      <c r="AW1619" s="4"/>
      <c r="AX1619" s="4"/>
      <c r="AY1619" s="4"/>
      <c r="AZ1619" s="4"/>
      <c r="BA1619" s="4"/>
      <c r="BB1619" s="4"/>
      <c r="BC1619" s="4"/>
      <c r="BD1619" s="4"/>
      <c r="BE1619" s="4"/>
      <c r="BF1619" s="4"/>
      <c r="BG1619" s="4"/>
      <c r="BH1619" s="4"/>
      <c r="BI1619" s="4"/>
      <c r="BJ1619" s="4"/>
      <c r="BK1619" s="4"/>
      <c r="BL1619" s="4"/>
      <c r="BM1619" s="4"/>
      <c r="BN1619" s="4"/>
      <c r="BO1619" s="4"/>
      <c r="BP1619" s="4"/>
      <c r="BQ1619" s="4"/>
      <c r="BR1619" s="4"/>
      <c r="BS1619" s="4"/>
      <c r="BT1619" s="4"/>
      <c r="BU1619" s="4"/>
    </row>
    <row r="1620" spans="29:73" s="1" customFormat="1" x14ac:dyDescent="0.25">
      <c r="AC1620" s="4"/>
      <c r="AD1620" s="4"/>
      <c r="AE1620" s="4"/>
      <c r="AF1620" s="4"/>
      <c r="AG1620" s="4"/>
      <c r="AH1620" s="4"/>
      <c r="AI1620" s="4"/>
      <c r="AJ1620" s="4"/>
      <c r="AK1620" s="4"/>
      <c r="AL1620" s="4"/>
      <c r="AM1620" s="4"/>
      <c r="AN1620" s="4"/>
      <c r="AO1620" s="4"/>
      <c r="AP1620" s="4"/>
      <c r="AQ1620" s="4"/>
      <c r="AR1620" s="4"/>
      <c r="AS1620" s="4"/>
      <c r="AT1620" s="4"/>
      <c r="AU1620" s="4"/>
      <c r="AV1620" s="4"/>
      <c r="AW1620" s="4"/>
      <c r="AX1620" s="4"/>
      <c r="AY1620" s="4"/>
      <c r="AZ1620" s="4"/>
      <c r="BA1620" s="4"/>
      <c r="BB1620" s="4"/>
      <c r="BC1620" s="4"/>
      <c r="BD1620" s="4"/>
      <c r="BE1620" s="4"/>
      <c r="BF1620" s="4"/>
      <c r="BG1620" s="4"/>
      <c r="BH1620" s="4"/>
      <c r="BI1620" s="4"/>
      <c r="BJ1620" s="4"/>
      <c r="BK1620" s="4"/>
      <c r="BL1620" s="4"/>
      <c r="BM1620" s="4"/>
      <c r="BN1620" s="4"/>
      <c r="BO1620" s="4"/>
      <c r="BP1620" s="4"/>
      <c r="BQ1620" s="4"/>
      <c r="BR1620" s="4"/>
      <c r="BS1620" s="4"/>
      <c r="BT1620" s="4"/>
      <c r="BU1620" s="4"/>
    </row>
    <row r="1621" spans="29:73" s="1" customFormat="1" x14ac:dyDescent="0.25">
      <c r="AC1621" s="4"/>
      <c r="AD1621" s="4"/>
      <c r="AE1621" s="4"/>
      <c r="AF1621" s="4"/>
      <c r="AG1621" s="4"/>
      <c r="AH1621" s="4"/>
      <c r="AI1621" s="4"/>
      <c r="AJ1621" s="4"/>
      <c r="AK1621" s="4"/>
      <c r="AL1621" s="4"/>
      <c r="AM1621" s="4"/>
      <c r="AN1621" s="4"/>
      <c r="AO1621" s="4"/>
      <c r="AP1621" s="4"/>
      <c r="AQ1621" s="4"/>
      <c r="AR1621" s="4"/>
      <c r="AS1621" s="4"/>
      <c r="AT1621" s="4"/>
      <c r="AU1621" s="4"/>
      <c r="AV1621" s="4"/>
      <c r="AW1621" s="4"/>
      <c r="AX1621" s="4"/>
      <c r="AY1621" s="4"/>
      <c r="AZ1621" s="4"/>
      <c r="BA1621" s="4"/>
      <c r="BB1621" s="4"/>
      <c r="BC1621" s="4"/>
      <c r="BD1621" s="4"/>
      <c r="BE1621" s="4"/>
      <c r="BF1621" s="4"/>
      <c r="BG1621" s="4"/>
      <c r="BH1621" s="4"/>
      <c r="BI1621" s="4"/>
      <c r="BJ1621" s="4"/>
      <c r="BK1621" s="4"/>
      <c r="BL1621" s="4"/>
      <c r="BM1621" s="4"/>
      <c r="BN1621" s="4"/>
      <c r="BO1621" s="4"/>
      <c r="BP1621" s="4"/>
      <c r="BQ1621" s="4"/>
      <c r="BR1621" s="4"/>
      <c r="BS1621" s="4"/>
      <c r="BT1621" s="4"/>
      <c r="BU1621" s="4"/>
    </row>
    <row r="1622" spans="29:73" s="1" customFormat="1" x14ac:dyDescent="0.25">
      <c r="AC1622" s="4"/>
      <c r="AD1622" s="4"/>
      <c r="AE1622" s="4"/>
      <c r="AF1622" s="4"/>
      <c r="AG1622" s="4"/>
      <c r="AH1622" s="4"/>
      <c r="AI1622" s="4"/>
      <c r="AJ1622" s="4"/>
      <c r="AK1622" s="4"/>
      <c r="AL1622" s="4"/>
      <c r="AM1622" s="4"/>
      <c r="AN1622" s="4"/>
      <c r="AO1622" s="4"/>
      <c r="AP1622" s="4"/>
      <c r="AQ1622" s="4"/>
      <c r="AR1622" s="4"/>
      <c r="AS1622" s="4"/>
      <c r="AT1622" s="4"/>
      <c r="AU1622" s="4"/>
      <c r="AV1622" s="4"/>
      <c r="AW1622" s="4"/>
      <c r="AX1622" s="4"/>
      <c r="AY1622" s="4"/>
      <c r="AZ1622" s="4"/>
      <c r="BA1622" s="4"/>
      <c r="BB1622" s="4"/>
      <c r="BC1622" s="4"/>
      <c r="BD1622" s="4"/>
      <c r="BE1622" s="4"/>
      <c r="BF1622" s="4"/>
      <c r="BG1622" s="4"/>
      <c r="BH1622" s="4"/>
      <c r="BI1622" s="4"/>
      <c r="BJ1622" s="4"/>
      <c r="BK1622" s="4"/>
      <c r="BL1622" s="4"/>
      <c r="BM1622" s="4"/>
      <c r="BN1622" s="4"/>
      <c r="BO1622" s="4"/>
      <c r="BP1622" s="4"/>
      <c r="BQ1622" s="4"/>
      <c r="BR1622" s="4"/>
      <c r="BS1622" s="4"/>
      <c r="BT1622" s="4"/>
      <c r="BU1622" s="4"/>
    </row>
    <row r="1623" spans="29:73" s="1" customFormat="1" x14ac:dyDescent="0.25">
      <c r="AC1623" s="4"/>
      <c r="AD1623" s="4"/>
      <c r="AE1623" s="4"/>
      <c r="AF1623" s="4"/>
      <c r="AG1623" s="4"/>
      <c r="AH1623" s="4"/>
      <c r="AI1623" s="4"/>
      <c r="AJ1623" s="4"/>
      <c r="AK1623" s="4"/>
      <c r="AL1623" s="4"/>
      <c r="AM1623" s="4"/>
      <c r="AN1623" s="4"/>
      <c r="AO1623" s="4"/>
      <c r="AP1623" s="4"/>
      <c r="AQ1623" s="4"/>
      <c r="AR1623" s="4"/>
      <c r="AS1623" s="4"/>
      <c r="AT1623" s="4"/>
      <c r="AU1623" s="4"/>
      <c r="AV1623" s="4"/>
      <c r="AW1623" s="4"/>
      <c r="AX1623" s="4"/>
      <c r="AY1623" s="4"/>
      <c r="AZ1623" s="4"/>
      <c r="BA1623" s="4"/>
      <c r="BB1623" s="4"/>
      <c r="BC1623" s="4"/>
      <c r="BD1623" s="4"/>
      <c r="BE1623" s="4"/>
      <c r="BF1623" s="4"/>
      <c r="BG1623" s="4"/>
      <c r="BH1623" s="4"/>
      <c r="BI1623" s="4"/>
      <c r="BJ1623" s="4"/>
      <c r="BK1623" s="4"/>
      <c r="BL1623" s="4"/>
      <c r="BM1623" s="4"/>
      <c r="BN1623" s="4"/>
      <c r="BO1623" s="4"/>
      <c r="BP1623" s="4"/>
      <c r="BQ1623" s="4"/>
      <c r="BR1623" s="4"/>
      <c r="BS1623" s="4"/>
      <c r="BT1623" s="4"/>
      <c r="BU1623" s="4"/>
    </row>
    <row r="1624" spans="29:73" s="1" customFormat="1" x14ac:dyDescent="0.25">
      <c r="AC1624" s="4"/>
      <c r="AD1624" s="4"/>
      <c r="AE1624" s="4"/>
      <c r="AF1624" s="4"/>
      <c r="AG1624" s="4"/>
      <c r="AH1624" s="4"/>
      <c r="AI1624" s="4"/>
      <c r="AJ1624" s="4"/>
      <c r="AK1624" s="4"/>
      <c r="AL1624" s="4"/>
      <c r="AM1624" s="4"/>
      <c r="AN1624" s="4"/>
      <c r="AO1624" s="4"/>
      <c r="AP1624" s="4"/>
      <c r="AQ1624" s="4"/>
      <c r="AR1624" s="4"/>
      <c r="AS1624" s="4"/>
      <c r="AT1624" s="4"/>
      <c r="AU1624" s="4"/>
      <c r="AV1624" s="4"/>
      <c r="AW1624" s="4"/>
      <c r="AX1624" s="4"/>
      <c r="AY1624" s="4"/>
      <c r="AZ1624" s="4"/>
      <c r="BA1624" s="4"/>
      <c r="BB1624" s="4"/>
      <c r="BC1624" s="4"/>
      <c r="BD1624" s="4"/>
      <c r="BE1624" s="4"/>
      <c r="BF1624" s="4"/>
      <c r="BG1624" s="4"/>
      <c r="BH1624" s="4"/>
      <c r="BI1624" s="4"/>
      <c r="BJ1624" s="4"/>
      <c r="BK1624" s="4"/>
      <c r="BL1624" s="4"/>
      <c r="BM1624" s="4"/>
      <c r="BN1624" s="4"/>
      <c r="BO1624" s="4"/>
      <c r="BP1624" s="4"/>
      <c r="BQ1624" s="4"/>
      <c r="BR1624" s="4"/>
      <c r="BS1624" s="4"/>
      <c r="BT1624" s="4"/>
      <c r="BU1624" s="4"/>
    </row>
    <row r="1625" spans="29:73" s="1" customFormat="1" x14ac:dyDescent="0.25">
      <c r="AC1625" s="4"/>
      <c r="AD1625" s="4"/>
      <c r="AE1625" s="4"/>
      <c r="AF1625" s="4"/>
      <c r="AG1625" s="4"/>
      <c r="AH1625" s="4"/>
      <c r="AI1625" s="4"/>
      <c r="AJ1625" s="4"/>
      <c r="AK1625" s="4"/>
      <c r="AL1625" s="4"/>
      <c r="AM1625" s="4"/>
      <c r="AN1625" s="4"/>
      <c r="AO1625" s="4"/>
      <c r="AP1625" s="4"/>
      <c r="AQ1625" s="4"/>
      <c r="AR1625" s="4"/>
      <c r="AS1625" s="4"/>
      <c r="AT1625" s="4"/>
      <c r="AU1625" s="4"/>
      <c r="AV1625" s="4"/>
      <c r="AW1625" s="4"/>
      <c r="AX1625" s="4"/>
      <c r="AY1625" s="4"/>
      <c r="AZ1625" s="4"/>
      <c r="BA1625" s="4"/>
      <c r="BB1625" s="4"/>
      <c r="BC1625" s="4"/>
      <c r="BD1625" s="4"/>
      <c r="BE1625" s="4"/>
      <c r="BF1625" s="4"/>
      <c r="BG1625" s="4"/>
      <c r="BH1625" s="4"/>
      <c r="BI1625" s="4"/>
      <c r="BJ1625" s="4"/>
      <c r="BK1625" s="4"/>
      <c r="BL1625" s="4"/>
      <c r="BM1625" s="4"/>
      <c r="BN1625" s="4"/>
      <c r="BO1625" s="4"/>
      <c r="BP1625" s="4"/>
      <c r="BQ1625" s="4"/>
      <c r="BR1625" s="4"/>
      <c r="BS1625" s="4"/>
      <c r="BT1625" s="4"/>
      <c r="BU1625" s="4"/>
    </row>
    <row r="1626" spans="29:73" s="1" customFormat="1" x14ac:dyDescent="0.25">
      <c r="AC1626" s="4"/>
      <c r="AD1626" s="4"/>
      <c r="AE1626" s="4"/>
      <c r="AF1626" s="4"/>
      <c r="AG1626" s="4"/>
      <c r="AH1626" s="4"/>
      <c r="AI1626" s="4"/>
      <c r="AJ1626" s="4"/>
      <c r="AK1626" s="4"/>
      <c r="AL1626" s="4"/>
      <c r="AM1626" s="4"/>
      <c r="AN1626" s="4"/>
      <c r="AO1626" s="4"/>
      <c r="AP1626" s="4"/>
      <c r="AQ1626" s="4"/>
      <c r="AR1626" s="4"/>
      <c r="AS1626" s="4"/>
      <c r="AT1626" s="4"/>
      <c r="AU1626" s="4"/>
      <c r="AV1626" s="4"/>
      <c r="AW1626" s="4"/>
      <c r="AX1626" s="4"/>
      <c r="AY1626" s="4"/>
      <c r="AZ1626" s="4"/>
      <c r="BA1626" s="4"/>
      <c r="BB1626" s="4"/>
      <c r="BC1626" s="4"/>
      <c r="BD1626" s="4"/>
      <c r="BE1626" s="4"/>
      <c r="BF1626" s="4"/>
      <c r="BG1626" s="4"/>
      <c r="BH1626" s="4"/>
      <c r="BI1626" s="4"/>
      <c r="BJ1626" s="4"/>
      <c r="BK1626" s="4"/>
      <c r="BL1626" s="4"/>
      <c r="BM1626" s="4"/>
      <c r="BN1626" s="4"/>
      <c r="BO1626" s="4"/>
      <c r="BP1626" s="4"/>
      <c r="BQ1626" s="4"/>
      <c r="BR1626" s="4"/>
      <c r="BS1626" s="4"/>
      <c r="BT1626" s="4"/>
      <c r="BU1626" s="4"/>
    </row>
    <row r="1627" spans="29:73" s="1" customFormat="1" x14ac:dyDescent="0.25">
      <c r="AC1627" s="4"/>
      <c r="AD1627" s="4"/>
      <c r="AE1627" s="4"/>
      <c r="AF1627" s="4"/>
      <c r="AG1627" s="4"/>
      <c r="AH1627" s="4"/>
      <c r="AI1627" s="4"/>
      <c r="AJ1627" s="4"/>
      <c r="AK1627" s="4"/>
      <c r="AL1627" s="4"/>
      <c r="AM1627" s="4"/>
      <c r="AN1627" s="4"/>
      <c r="AO1627" s="4"/>
      <c r="AP1627" s="4"/>
      <c r="AQ1627" s="4"/>
      <c r="AR1627" s="4"/>
      <c r="AS1627" s="4"/>
      <c r="AT1627" s="4"/>
      <c r="AU1627" s="4"/>
      <c r="AV1627" s="4"/>
      <c r="AW1627" s="4"/>
      <c r="AX1627" s="4"/>
      <c r="AY1627" s="4"/>
      <c r="AZ1627" s="4"/>
      <c r="BA1627" s="4"/>
      <c r="BB1627" s="4"/>
      <c r="BC1627" s="4"/>
      <c r="BD1627" s="4"/>
      <c r="BE1627" s="4"/>
      <c r="BF1627" s="4"/>
      <c r="BG1627" s="4"/>
      <c r="BH1627" s="4"/>
      <c r="BI1627" s="4"/>
      <c r="BJ1627" s="4"/>
      <c r="BK1627" s="4"/>
      <c r="BL1627" s="4"/>
      <c r="BM1627" s="4"/>
      <c r="BN1627" s="4"/>
      <c r="BO1627" s="4"/>
      <c r="BP1627" s="4"/>
      <c r="BQ1627" s="4"/>
      <c r="BR1627" s="4"/>
      <c r="BS1627" s="4"/>
      <c r="BT1627" s="4"/>
      <c r="BU1627" s="4"/>
    </row>
    <row r="1628" spans="29:73" s="1" customFormat="1" x14ac:dyDescent="0.25">
      <c r="AC1628" s="4"/>
      <c r="AD1628" s="4"/>
      <c r="AE1628" s="4"/>
      <c r="AF1628" s="4"/>
      <c r="AG1628" s="4"/>
      <c r="AH1628" s="4"/>
      <c r="AI1628" s="4"/>
      <c r="AJ1628" s="4"/>
      <c r="AK1628" s="4"/>
      <c r="AL1628" s="4"/>
      <c r="AM1628" s="4"/>
      <c r="AN1628" s="4"/>
      <c r="AO1628" s="4"/>
      <c r="AP1628" s="4"/>
      <c r="AQ1628" s="4"/>
      <c r="AR1628" s="4"/>
      <c r="AS1628" s="4"/>
      <c r="AT1628" s="4"/>
      <c r="AU1628" s="4"/>
      <c r="AV1628" s="4"/>
      <c r="AW1628" s="4"/>
      <c r="AX1628" s="4"/>
      <c r="AY1628" s="4"/>
      <c r="AZ1628" s="4"/>
      <c r="BA1628" s="4"/>
      <c r="BB1628" s="4"/>
      <c r="BC1628" s="4"/>
      <c r="BD1628" s="4"/>
      <c r="BE1628" s="4"/>
      <c r="BF1628" s="4"/>
      <c r="BG1628" s="4"/>
      <c r="BH1628" s="4"/>
      <c r="BI1628" s="4"/>
      <c r="BJ1628" s="4"/>
      <c r="BK1628" s="4"/>
      <c r="BL1628" s="4"/>
      <c r="BM1628" s="4"/>
      <c r="BN1628" s="4"/>
      <c r="BO1628" s="4"/>
      <c r="BP1628" s="4"/>
      <c r="BQ1628" s="4"/>
      <c r="BR1628" s="4"/>
      <c r="BS1628" s="4"/>
      <c r="BT1628" s="4"/>
      <c r="BU1628" s="4"/>
    </row>
    <row r="1629" spans="29:73" s="1" customFormat="1" x14ac:dyDescent="0.25">
      <c r="AC1629" s="4"/>
      <c r="AD1629" s="4"/>
      <c r="AE1629" s="4"/>
      <c r="AF1629" s="4"/>
      <c r="AG1629" s="4"/>
      <c r="AH1629" s="4"/>
      <c r="AI1629" s="4"/>
      <c r="AJ1629" s="4"/>
      <c r="AK1629" s="4"/>
      <c r="AL1629" s="4"/>
      <c r="AM1629" s="4"/>
      <c r="AN1629" s="4"/>
      <c r="AO1629" s="4"/>
      <c r="AP1629" s="4"/>
      <c r="AQ1629" s="4"/>
      <c r="AR1629" s="4"/>
      <c r="AS1629" s="4"/>
      <c r="AT1629" s="4"/>
      <c r="AU1629" s="4"/>
      <c r="AV1629" s="4"/>
      <c r="AW1629" s="4"/>
      <c r="AX1629" s="4"/>
      <c r="AY1629" s="4"/>
      <c r="AZ1629" s="4"/>
      <c r="BA1629" s="4"/>
      <c r="BB1629" s="4"/>
      <c r="BC1629" s="4"/>
      <c r="BD1629" s="4"/>
      <c r="BE1629" s="4"/>
      <c r="BF1629" s="4"/>
      <c r="BG1629" s="4"/>
      <c r="BH1629" s="4"/>
      <c r="BI1629" s="4"/>
      <c r="BJ1629" s="4"/>
      <c r="BK1629" s="4"/>
      <c r="BL1629" s="4"/>
      <c r="BM1629" s="4"/>
      <c r="BN1629" s="4"/>
      <c r="BO1629" s="4"/>
      <c r="BP1629" s="4"/>
      <c r="BQ1629" s="4"/>
      <c r="BR1629" s="4"/>
      <c r="BS1629" s="4"/>
      <c r="BT1629" s="4"/>
      <c r="BU1629" s="4"/>
    </row>
    <row r="1630" spans="29:73" s="1" customFormat="1" x14ac:dyDescent="0.25">
      <c r="AC1630" s="4"/>
      <c r="AD1630" s="4"/>
      <c r="AE1630" s="4"/>
      <c r="AF1630" s="4"/>
      <c r="AG1630" s="4"/>
      <c r="AH1630" s="4"/>
      <c r="AI1630" s="4"/>
      <c r="AJ1630" s="4"/>
      <c r="AK1630" s="4"/>
      <c r="AL1630" s="4"/>
      <c r="AM1630" s="4"/>
      <c r="AN1630" s="4"/>
      <c r="AO1630" s="4"/>
      <c r="AP1630" s="4"/>
      <c r="AQ1630" s="4"/>
      <c r="AR1630" s="4"/>
      <c r="AS1630" s="4"/>
      <c r="AT1630" s="4"/>
      <c r="AU1630" s="4"/>
      <c r="AV1630" s="4"/>
      <c r="AW1630" s="4"/>
      <c r="AX1630" s="4"/>
      <c r="AY1630" s="4"/>
      <c r="AZ1630" s="4"/>
      <c r="BA1630" s="4"/>
      <c r="BB1630" s="4"/>
      <c r="BC1630" s="4"/>
      <c r="BD1630" s="4"/>
      <c r="BE1630" s="4"/>
      <c r="BF1630" s="4"/>
      <c r="BG1630" s="4"/>
      <c r="BH1630" s="4"/>
      <c r="BI1630" s="4"/>
      <c r="BJ1630" s="4"/>
      <c r="BK1630" s="4"/>
      <c r="BL1630" s="4"/>
      <c r="BM1630" s="4"/>
      <c r="BN1630" s="4"/>
      <c r="BO1630" s="4"/>
      <c r="BP1630" s="4"/>
      <c r="BQ1630" s="4"/>
      <c r="BR1630" s="4"/>
      <c r="BS1630" s="4"/>
      <c r="BT1630" s="4"/>
      <c r="BU1630" s="4"/>
    </row>
    <row r="1631" spans="29:73" s="1" customFormat="1" x14ac:dyDescent="0.25">
      <c r="AC1631" s="4"/>
      <c r="AD1631" s="4"/>
      <c r="AE1631" s="4"/>
      <c r="AF1631" s="4"/>
      <c r="AG1631" s="4"/>
      <c r="AH1631" s="4"/>
      <c r="AI1631" s="4"/>
      <c r="AJ1631" s="4"/>
      <c r="AK1631" s="4"/>
      <c r="AL1631" s="4"/>
      <c r="AM1631" s="4"/>
      <c r="AN1631" s="4"/>
      <c r="AO1631" s="4"/>
      <c r="AP1631" s="4"/>
      <c r="AQ1631" s="4"/>
      <c r="AR1631" s="4"/>
      <c r="AS1631" s="4"/>
      <c r="AT1631" s="4"/>
      <c r="AU1631" s="4"/>
      <c r="AV1631" s="4"/>
      <c r="AW1631" s="4"/>
      <c r="AX1631" s="4"/>
      <c r="AY1631" s="4"/>
      <c r="AZ1631" s="4"/>
      <c r="BA1631" s="4"/>
      <c r="BB1631" s="4"/>
      <c r="BC1631" s="4"/>
      <c r="BD1631" s="4"/>
      <c r="BE1631" s="4"/>
      <c r="BF1631" s="4"/>
      <c r="BG1631" s="4"/>
      <c r="BH1631" s="4"/>
      <c r="BI1631" s="4"/>
      <c r="BJ1631" s="4"/>
      <c r="BK1631" s="4"/>
      <c r="BL1631" s="4"/>
      <c r="BM1631" s="4"/>
      <c r="BN1631" s="4"/>
      <c r="BO1631" s="4"/>
      <c r="BP1631" s="4"/>
      <c r="BQ1631" s="4"/>
      <c r="BR1631" s="4"/>
      <c r="BS1631" s="4"/>
      <c r="BT1631" s="4"/>
      <c r="BU1631" s="4"/>
    </row>
    <row r="1632" spans="29:73" s="1" customFormat="1" x14ac:dyDescent="0.25">
      <c r="AC1632" s="4"/>
      <c r="AD1632" s="4"/>
      <c r="AE1632" s="4"/>
      <c r="AF1632" s="4"/>
      <c r="AG1632" s="4"/>
      <c r="AH1632" s="4"/>
      <c r="AI1632" s="4"/>
      <c r="AJ1632" s="4"/>
      <c r="AK1632" s="4"/>
      <c r="AL1632" s="4"/>
      <c r="AM1632" s="4"/>
      <c r="AN1632" s="4"/>
      <c r="AO1632" s="4"/>
      <c r="AP1632" s="4"/>
      <c r="AQ1632" s="4"/>
      <c r="AR1632" s="4"/>
      <c r="AS1632" s="4"/>
      <c r="AT1632" s="4"/>
      <c r="AU1632" s="4"/>
      <c r="AV1632" s="4"/>
      <c r="AW1632" s="4"/>
      <c r="AX1632" s="4"/>
      <c r="AY1632" s="4"/>
      <c r="AZ1632" s="4"/>
      <c r="BA1632" s="4"/>
      <c r="BB1632" s="4"/>
      <c r="BC1632" s="4"/>
      <c r="BD1632" s="4"/>
      <c r="BE1632" s="4"/>
      <c r="BF1632" s="4"/>
      <c r="BG1632" s="4"/>
      <c r="BH1632" s="4"/>
      <c r="BI1632" s="4"/>
      <c r="BJ1632" s="4"/>
      <c r="BK1632" s="4"/>
      <c r="BL1632" s="4"/>
      <c r="BM1632" s="4"/>
      <c r="BN1632" s="4"/>
      <c r="BO1632" s="4"/>
      <c r="BP1632" s="4"/>
      <c r="BQ1632" s="4"/>
      <c r="BR1632" s="4"/>
      <c r="BS1632" s="4"/>
      <c r="BT1632" s="4"/>
      <c r="BU1632" s="4"/>
    </row>
    <row r="1633" spans="29:73" s="1" customFormat="1" x14ac:dyDescent="0.25">
      <c r="AC1633" s="4"/>
      <c r="AD1633" s="4"/>
      <c r="AE1633" s="4"/>
      <c r="AF1633" s="4"/>
      <c r="AG1633" s="4"/>
      <c r="AH1633" s="4"/>
      <c r="AI1633" s="4"/>
      <c r="AJ1633" s="4"/>
      <c r="AK1633" s="4"/>
      <c r="AL1633" s="4"/>
      <c r="AM1633" s="4"/>
      <c r="AN1633" s="4"/>
      <c r="AO1633" s="4"/>
      <c r="AP1633" s="4"/>
      <c r="AQ1633" s="4"/>
      <c r="AR1633" s="4"/>
      <c r="AS1633" s="4"/>
      <c r="AT1633" s="4"/>
      <c r="AU1633" s="4"/>
      <c r="AV1633" s="4"/>
      <c r="AW1633" s="4"/>
      <c r="AX1633" s="4"/>
      <c r="AY1633" s="4"/>
      <c r="AZ1633" s="4"/>
      <c r="BA1633" s="4"/>
      <c r="BB1633" s="4"/>
      <c r="BC1633" s="4"/>
      <c r="BD1633" s="4"/>
      <c r="BE1633" s="4"/>
      <c r="BF1633" s="4"/>
      <c r="BG1633" s="4"/>
      <c r="BH1633" s="4"/>
      <c r="BI1633" s="4"/>
      <c r="BJ1633" s="4"/>
      <c r="BK1633" s="4"/>
      <c r="BL1633" s="4"/>
      <c r="BM1633" s="4"/>
      <c r="BN1633" s="4"/>
      <c r="BO1633" s="4"/>
      <c r="BP1633" s="4"/>
      <c r="BQ1633" s="4"/>
      <c r="BR1633" s="4"/>
      <c r="BS1633" s="4"/>
      <c r="BT1633" s="4"/>
      <c r="BU1633" s="4"/>
    </row>
    <row r="1634" spans="29:73" s="1" customFormat="1" x14ac:dyDescent="0.25">
      <c r="AC1634" s="4"/>
      <c r="AD1634" s="4"/>
      <c r="AE1634" s="4"/>
      <c r="AF1634" s="4"/>
      <c r="AG1634" s="4"/>
      <c r="AH1634" s="4"/>
      <c r="AI1634" s="4"/>
      <c r="AJ1634" s="4"/>
      <c r="AK1634" s="4"/>
      <c r="AL1634" s="4"/>
      <c r="AM1634" s="4"/>
      <c r="AN1634" s="4"/>
      <c r="AO1634" s="4"/>
      <c r="AP1634" s="4"/>
      <c r="AQ1634" s="4"/>
      <c r="AR1634" s="4"/>
      <c r="AS1634" s="4"/>
      <c r="AT1634" s="4"/>
      <c r="AU1634" s="4"/>
      <c r="AV1634" s="4"/>
      <c r="AW1634" s="4"/>
      <c r="AX1634" s="4"/>
      <c r="AY1634" s="4"/>
      <c r="AZ1634" s="4"/>
      <c r="BA1634" s="4"/>
      <c r="BB1634" s="4"/>
      <c r="BC1634" s="4"/>
      <c r="BD1634" s="4"/>
      <c r="BE1634" s="4"/>
      <c r="BF1634" s="4"/>
      <c r="BG1634" s="4"/>
      <c r="BH1634" s="4"/>
      <c r="BI1634" s="4"/>
      <c r="BJ1634" s="4"/>
      <c r="BK1634" s="4"/>
      <c r="BL1634" s="4"/>
      <c r="BM1634" s="4"/>
      <c r="BN1634" s="4"/>
      <c r="BO1634" s="4"/>
      <c r="BP1634" s="4"/>
      <c r="BQ1634" s="4"/>
      <c r="BR1634" s="4"/>
      <c r="BS1634" s="4"/>
      <c r="BT1634" s="4"/>
      <c r="BU1634" s="4"/>
    </row>
    <row r="1635" spans="29:73" s="1" customFormat="1" x14ac:dyDescent="0.25">
      <c r="AC1635" s="4"/>
      <c r="AD1635" s="4"/>
      <c r="AE1635" s="4"/>
      <c r="AF1635" s="4"/>
      <c r="AG1635" s="4"/>
      <c r="AH1635" s="4"/>
      <c r="AI1635" s="4"/>
      <c r="AJ1635" s="4"/>
      <c r="AK1635" s="4"/>
      <c r="AL1635" s="4"/>
      <c r="AM1635" s="4"/>
      <c r="AN1635" s="4"/>
      <c r="AO1635" s="4"/>
      <c r="AP1635" s="4"/>
      <c r="AQ1635" s="4"/>
      <c r="AR1635" s="4"/>
      <c r="AS1635" s="4"/>
      <c r="AT1635" s="4"/>
      <c r="AU1635" s="4"/>
      <c r="AV1635" s="4"/>
      <c r="AW1635" s="4"/>
      <c r="AX1635" s="4"/>
      <c r="AY1635" s="4"/>
      <c r="AZ1635" s="4"/>
      <c r="BA1635" s="4"/>
      <c r="BB1635" s="4"/>
      <c r="BC1635" s="4"/>
      <c r="BD1635" s="4"/>
      <c r="BE1635" s="4"/>
      <c r="BF1635" s="4"/>
      <c r="BG1635" s="4"/>
      <c r="BH1635" s="4"/>
      <c r="BI1635" s="4"/>
      <c r="BJ1635" s="4"/>
      <c r="BK1635" s="4"/>
      <c r="BL1635" s="4"/>
      <c r="BM1635" s="4"/>
      <c r="BN1635" s="4"/>
      <c r="BO1635" s="4"/>
      <c r="BP1635" s="4"/>
      <c r="BQ1635" s="4"/>
      <c r="BR1635" s="4"/>
      <c r="BS1635" s="4"/>
      <c r="BT1635" s="4"/>
      <c r="BU1635" s="4"/>
    </row>
    <row r="1636" spans="29:73" s="1" customFormat="1" x14ac:dyDescent="0.25">
      <c r="AC1636" s="4"/>
      <c r="AD1636" s="4"/>
      <c r="AE1636" s="4"/>
      <c r="AF1636" s="4"/>
      <c r="AG1636" s="4"/>
      <c r="AH1636" s="4"/>
      <c r="AI1636" s="4"/>
      <c r="AJ1636" s="4"/>
      <c r="AK1636" s="4"/>
      <c r="AL1636" s="4"/>
      <c r="AM1636" s="4"/>
      <c r="AN1636" s="4"/>
      <c r="AO1636" s="4"/>
      <c r="AP1636" s="4"/>
      <c r="AQ1636" s="4"/>
      <c r="AR1636" s="4"/>
      <c r="AS1636" s="4"/>
      <c r="AT1636" s="4"/>
      <c r="AU1636" s="4"/>
      <c r="AV1636" s="4"/>
      <c r="AW1636" s="4"/>
      <c r="AX1636" s="4"/>
      <c r="AY1636" s="4"/>
      <c r="AZ1636" s="4"/>
      <c r="BA1636" s="4"/>
      <c r="BB1636" s="4"/>
      <c r="BC1636" s="4"/>
      <c r="BD1636" s="4"/>
      <c r="BE1636" s="4"/>
      <c r="BF1636" s="4"/>
      <c r="BG1636" s="4"/>
      <c r="BH1636" s="4"/>
      <c r="BI1636" s="4"/>
      <c r="BJ1636" s="4"/>
      <c r="BK1636" s="4"/>
      <c r="BL1636" s="4"/>
      <c r="BM1636" s="4"/>
      <c r="BN1636" s="4"/>
      <c r="BO1636" s="4"/>
      <c r="BP1636" s="4"/>
      <c r="BQ1636" s="4"/>
      <c r="BR1636" s="4"/>
      <c r="BS1636" s="4"/>
      <c r="BT1636" s="4"/>
      <c r="BU1636" s="4"/>
    </row>
    <row r="1637" spans="29:73" s="1" customFormat="1" x14ac:dyDescent="0.25">
      <c r="AC1637" s="4"/>
      <c r="AD1637" s="4"/>
      <c r="AE1637" s="4"/>
      <c r="AF1637" s="4"/>
      <c r="AG1637" s="4"/>
      <c r="AH1637" s="4"/>
      <c r="AI1637" s="4"/>
      <c r="AJ1637" s="4"/>
      <c r="AK1637" s="4"/>
      <c r="AL1637" s="4"/>
      <c r="AM1637" s="4"/>
      <c r="AN1637" s="4"/>
      <c r="AO1637" s="4"/>
      <c r="AP1637" s="4"/>
      <c r="AQ1637" s="4"/>
      <c r="AR1637" s="4"/>
      <c r="AS1637" s="4"/>
      <c r="AT1637" s="4"/>
      <c r="AU1637" s="4"/>
      <c r="AV1637" s="4"/>
      <c r="AW1637" s="4"/>
      <c r="AX1637" s="4"/>
      <c r="AY1637" s="4"/>
      <c r="AZ1637" s="4"/>
      <c r="BA1637" s="4"/>
      <c r="BB1637" s="4"/>
      <c r="BC1637" s="4"/>
      <c r="BD1637" s="4"/>
      <c r="BE1637" s="4"/>
      <c r="BF1637" s="4"/>
      <c r="BG1637" s="4"/>
      <c r="BH1637" s="4"/>
      <c r="BI1637" s="4"/>
      <c r="BJ1637" s="4"/>
      <c r="BK1637" s="4"/>
      <c r="BL1637" s="4"/>
      <c r="BM1637" s="4"/>
      <c r="BN1637" s="4"/>
      <c r="BO1637" s="4"/>
      <c r="BP1637" s="4"/>
      <c r="BQ1637" s="4"/>
      <c r="BR1637" s="4"/>
      <c r="BS1637" s="4"/>
      <c r="BT1637" s="4"/>
      <c r="BU1637" s="4"/>
    </row>
    <row r="1638" spans="29:73" s="1" customFormat="1" x14ac:dyDescent="0.25">
      <c r="AC1638" s="4"/>
      <c r="AD1638" s="4"/>
      <c r="AE1638" s="4"/>
      <c r="AF1638" s="4"/>
      <c r="AG1638" s="4"/>
      <c r="AH1638" s="4"/>
      <c r="AI1638" s="4"/>
      <c r="AJ1638" s="4"/>
      <c r="AK1638" s="4"/>
      <c r="AL1638" s="4"/>
      <c r="AM1638" s="4"/>
      <c r="AN1638" s="4"/>
      <c r="AO1638" s="4"/>
      <c r="AP1638" s="4"/>
      <c r="AQ1638" s="4"/>
      <c r="AR1638" s="4"/>
      <c r="AS1638" s="4"/>
      <c r="AT1638" s="4"/>
      <c r="AU1638" s="4"/>
      <c r="AV1638" s="4"/>
      <c r="AW1638" s="4"/>
      <c r="AX1638" s="4"/>
      <c r="AY1638" s="4"/>
      <c r="AZ1638" s="4"/>
      <c r="BA1638" s="4"/>
      <c r="BB1638" s="4"/>
      <c r="BC1638" s="4"/>
      <c r="BD1638" s="4"/>
      <c r="BE1638" s="4"/>
      <c r="BF1638" s="4"/>
      <c r="BG1638" s="4"/>
      <c r="BH1638" s="4"/>
      <c r="BI1638" s="4"/>
      <c r="BJ1638" s="4"/>
      <c r="BK1638" s="4"/>
      <c r="BL1638" s="4"/>
      <c r="BM1638" s="4"/>
      <c r="BN1638" s="4"/>
      <c r="BO1638" s="4"/>
      <c r="BP1638" s="4"/>
      <c r="BQ1638" s="4"/>
      <c r="BR1638" s="4"/>
      <c r="BS1638" s="4"/>
      <c r="BT1638" s="4"/>
      <c r="BU1638" s="4"/>
    </row>
    <row r="1639" spans="29:73" s="1" customFormat="1" x14ac:dyDescent="0.25">
      <c r="AC1639" s="4"/>
      <c r="AD1639" s="4"/>
      <c r="AE1639" s="4"/>
      <c r="AF1639" s="4"/>
      <c r="AG1639" s="4"/>
      <c r="AH1639" s="4"/>
      <c r="AI1639" s="4"/>
      <c r="AJ1639" s="4"/>
      <c r="AK1639" s="4"/>
      <c r="AL1639" s="4"/>
      <c r="AM1639" s="4"/>
      <c r="AN1639" s="4"/>
      <c r="AO1639" s="4"/>
      <c r="AP1639" s="4"/>
      <c r="AQ1639" s="4"/>
      <c r="AR1639" s="4"/>
      <c r="AS1639" s="4"/>
      <c r="AT1639" s="4"/>
      <c r="AU1639" s="4"/>
      <c r="AV1639" s="4"/>
      <c r="AW1639" s="4"/>
      <c r="AX1639" s="4"/>
      <c r="AY1639" s="4"/>
      <c r="AZ1639" s="4"/>
      <c r="BA1639" s="4"/>
      <c r="BB1639" s="4"/>
      <c r="BC1639" s="4"/>
      <c r="BD1639" s="4"/>
      <c r="BE1639" s="4"/>
      <c r="BF1639" s="4"/>
      <c r="BG1639" s="4"/>
      <c r="BH1639" s="4"/>
      <c r="BI1639" s="4"/>
      <c r="BJ1639" s="4"/>
      <c r="BK1639" s="4"/>
      <c r="BL1639" s="4"/>
      <c r="BM1639" s="4"/>
      <c r="BN1639" s="4"/>
      <c r="BO1639" s="4"/>
      <c r="BP1639" s="4"/>
      <c r="BQ1639" s="4"/>
      <c r="BR1639" s="4"/>
      <c r="BS1639" s="4"/>
      <c r="BT1639" s="4"/>
      <c r="BU1639" s="4"/>
    </row>
    <row r="1640" spans="29:73" s="1" customFormat="1" x14ac:dyDescent="0.25">
      <c r="AC1640" s="4"/>
      <c r="AD1640" s="4"/>
      <c r="AE1640" s="4"/>
      <c r="AF1640" s="4"/>
      <c r="AG1640" s="4"/>
      <c r="AH1640" s="4"/>
      <c r="AI1640" s="4"/>
      <c r="AJ1640" s="4"/>
      <c r="AK1640" s="4"/>
      <c r="AL1640" s="4"/>
      <c r="AM1640" s="4"/>
      <c r="AN1640" s="4"/>
      <c r="AO1640" s="4"/>
      <c r="AP1640" s="4"/>
      <c r="AQ1640" s="4"/>
      <c r="AR1640" s="4"/>
      <c r="AS1640" s="4"/>
      <c r="AT1640" s="4"/>
      <c r="AU1640" s="4"/>
      <c r="AV1640" s="4"/>
      <c r="AW1640" s="4"/>
      <c r="AX1640" s="4"/>
      <c r="AY1640" s="4"/>
      <c r="AZ1640" s="4"/>
      <c r="BA1640" s="4"/>
      <c r="BB1640" s="4"/>
      <c r="BC1640" s="4"/>
      <c r="BD1640" s="4"/>
      <c r="BE1640" s="4"/>
      <c r="BF1640" s="4"/>
      <c r="BG1640" s="4"/>
      <c r="BH1640" s="4"/>
      <c r="BI1640" s="4"/>
      <c r="BJ1640" s="4"/>
      <c r="BK1640" s="4"/>
      <c r="BL1640" s="4"/>
      <c r="BM1640" s="4"/>
      <c r="BN1640" s="4"/>
      <c r="BO1640" s="4"/>
      <c r="BP1640" s="4"/>
      <c r="BQ1640" s="4"/>
      <c r="BR1640" s="4"/>
      <c r="BS1640" s="4"/>
      <c r="BT1640" s="4"/>
      <c r="BU1640" s="4"/>
    </row>
    <row r="1641" spans="29:73" s="1" customFormat="1" x14ac:dyDescent="0.25">
      <c r="AC1641" s="4"/>
      <c r="AD1641" s="4"/>
      <c r="AE1641" s="4"/>
      <c r="AF1641" s="4"/>
      <c r="AG1641" s="4"/>
      <c r="AH1641" s="4"/>
      <c r="AI1641" s="4"/>
      <c r="AJ1641" s="4"/>
      <c r="AK1641" s="4"/>
      <c r="AL1641" s="4"/>
      <c r="AM1641" s="4"/>
      <c r="AN1641" s="4"/>
      <c r="AO1641" s="4"/>
      <c r="AP1641" s="4"/>
      <c r="AQ1641" s="4"/>
      <c r="AR1641" s="4"/>
      <c r="AS1641" s="4"/>
      <c r="AT1641" s="4"/>
      <c r="AU1641" s="4"/>
      <c r="AV1641" s="4"/>
      <c r="AW1641" s="4"/>
      <c r="AX1641" s="4"/>
      <c r="AY1641" s="4"/>
      <c r="AZ1641" s="4"/>
      <c r="BA1641" s="4"/>
      <c r="BB1641" s="4"/>
      <c r="BC1641" s="4"/>
      <c r="BD1641" s="4"/>
      <c r="BE1641" s="4"/>
      <c r="BF1641" s="4"/>
      <c r="BG1641" s="4"/>
      <c r="BH1641" s="4"/>
      <c r="BI1641" s="4"/>
      <c r="BJ1641" s="4"/>
      <c r="BK1641" s="4"/>
      <c r="BL1641" s="4"/>
      <c r="BM1641" s="4"/>
      <c r="BN1641" s="4"/>
      <c r="BO1641" s="4"/>
      <c r="BP1641" s="4"/>
      <c r="BQ1641" s="4"/>
      <c r="BR1641" s="4"/>
      <c r="BS1641" s="4"/>
      <c r="BT1641" s="4"/>
      <c r="BU1641" s="4"/>
    </row>
    <row r="1642" spans="29:73" s="1" customFormat="1" x14ac:dyDescent="0.25">
      <c r="AC1642" s="4"/>
      <c r="AD1642" s="4"/>
      <c r="AE1642" s="4"/>
      <c r="AF1642" s="4"/>
      <c r="AG1642" s="4"/>
      <c r="AH1642" s="4"/>
      <c r="AI1642" s="4"/>
      <c r="AJ1642" s="4"/>
      <c r="AK1642" s="4"/>
      <c r="AL1642" s="4"/>
      <c r="AM1642" s="4"/>
      <c r="AN1642" s="4"/>
      <c r="AO1642" s="4"/>
      <c r="AP1642" s="4"/>
      <c r="AQ1642" s="4"/>
      <c r="AR1642" s="4"/>
      <c r="AS1642" s="4"/>
      <c r="AT1642" s="4"/>
      <c r="AU1642" s="4"/>
      <c r="AV1642" s="4"/>
      <c r="AW1642" s="4"/>
      <c r="AX1642" s="4"/>
      <c r="AY1642" s="4"/>
      <c r="AZ1642" s="4"/>
      <c r="BA1642" s="4"/>
      <c r="BB1642" s="4"/>
      <c r="BC1642" s="4"/>
      <c r="BD1642" s="4"/>
      <c r="BE1642" s="4"/>
      <c r="BF1642" s="4"/>
      <c r="BG1642" s="4"/>
      <c r="BH1642" s="4"/>
      <c r="BI1642" s="4"/>
      <c r="BJ1642" s="4"/>
      <c r="BK1642" s="4"/>
      <c r="BL1642" s="4"/>
      <c r="BM1642" s="4"/>
      <c r="BN1642" s="4"/>
      <c r="BO1642" s="4"/>
      <c r="BP1642" s="4"/>
      <c r="BQ1642" s="4"/>
      <c r="BR1642" s="4"/>
      <c r="BS1642" s="4"/>
      <c r="BT1642" s="4"/>
      <c r="BU1642" s="4"/>
    </row>
    <row r="1643" spans="29:73" s="1" customFormat="1" x14ac:dyDescent="0.25">
      <c r="AC1643" s="4"/>
      <c r="AD1643" s="4"/>
      <c r="AE1643" s="4"/>
      <c r="AF1643" s="4"/>
      <c r="AG1643" s="4"/>
      <c r="AH1643" s="4"/>
      <c r="AI1643" s="4"/>
      <c r="AJ1643" s="4"/>
      <c r="AK1643" s="4"/>
      <c r="AL1643" s="4"/>
      <c r="AM1643" s="4"/>
      <c r="AN1643" s="4"/>
      <c r="AO1643" s="4"/>
      <c r="AP1643" s="4"/>
      <c r="AQ1643" s="4"/>
      <c r="AR1643" s="4"/>
      <c r="AS1643" s="4"/>
      <c r="AT1643" s="4"/>
      <c r="AU1643" s="4"/>
      <c r="AV1643" s="4"/>
      <c r="AW1643" s="4"/>
      <c r="AX1643" s="4"/>
      <c r="AY1643" s="4"/>
      <c r="AZ1643" s="4"/>
      <c r="BA1643" s="4"/>
      <c r="BB1643" s="4"/>
      <c r="BC1643" s="4"/>
      <c r="BD1643" s="4"/>
      <c r="BE1643" s="4"/>
      <c r="BF1643" s="4"/>
      <c r="BG1643" s="4"/>
      <c r="BH1643" s="4"/>
      <c r="BI1643" s="4"/>
      <c r="BJ1643" s="4"/>
      <c r="BK1643" s="4"/>
      <c r="BL1643" s="4"/>
      <c r="BM1643" s="4"/>
      <c r="BN1643" s="4"/>
      <c r="BO1643" s="4"/>
      <c r="BP1643" s="4"/>
      <c r="BQ1643" s="4"/>
      <c r="BR1643" s="4"/>
      <c r="BS1643" s="4"/>
      <c r="BT1643" s="4"/>
      <c r="BU1643" s="4"/>
    </row>
    <row r="1644" spans="29:73" s="1" customFormat="1" x14ac:dyDescent="0.25">
      <c r="AC1644" s="4"/>
      <c r="AD1644" s="4"/>
      <c r="AE1644" s="4"/>
      <c r="AF1644" s="4"/>
      <c r="AG1644" s="4"/>
      <c r="AH1644" s="4"/>
      <c r="AI1644" s="4"/>
      <c r="AJ1644" s="4"/>
      <c r="AK1644" s="4"/>
      <c r="AL1644" s="4"/>
      <c r="AM1644" s="4"/>
      <c r="AN1644" s="4"/>
      <c r="AO1644" s="4"/>
      <c r="AP1644" s="4"/>
      <c r="AQ1644" s="4"/>
      <c r="AR1644" s="4"/>
      <c r="AS1644" s="4"/>
      <c r="AT1644" s="4"/>
      <c r="AU1644" s="4"/>
      <c r="AV1644" s="4"/>
      <c r="AW1644" s="4"/>
      <c r="AX1644" s="4"/>
      <c r="AY1644" s="4"/>
      <c r="AZ1644" s="4"/>
      <c r="BA1644" s="4"/>
      <c r="BB1644" s="4"/>
      <c r="BC1644" s="4"/>
      <c r="BD1644" s="4"/>
      <c r="BE1644" s="4"/>
      <c r="BF1644" s="4"/>
      <c r="BG1644" s="4"/>
      <c r="BH1644" s="4"/>
      <c r="BI1644" s="4"/>
      <c r="BJ1644" s="4"/>
      <c r="BK1644" s="4"/>
      <c r="BL1644" s="4"/>
      <c r="BM1644" s="4"/>
      <c r="BN1644" s="4"/>
      <c r="BO1644" s="4"/>
      <c r="BP1644" s="4"/>
      <c r="BQ1644" s="4"/>
      <c r="BR1644" s="4"/>
      <c r="BS1644" s="4"/>
      <c r="BT1644" s="4"/>
      <c r="BU1644" s="4"/>
    </row>
    <row r="1645" spans="29:73" s="1" customFormat="1" x14ac:dyDescent="0.25">
      <c r="AC1645" s="4"/>
      <c r="AD1645" s="4"/>
      <c r="AE1645" s="4"/>
      <c r="AF1645" s="4"/>
      <c r="AG1645" s="4"/>
      <c r="AH1645" s="4"/>
      <c r="AI1645" s="4"/>
      <c r="AJ1645" s="4"/>
      <c r="AK1645" s="4"/>
      <c r="AL1645" s="4"/>
      <c r="AM1645" s="4"/>
      <c r="AN1645" s="4"/>
      <c r="AO1645" s="4"/>
      <c r="AP1645" s="4"/>
      <c r="AQ1645" s="4"/>
      <c r="AR1645" s="4"/>
      <c r="AS1645" s="4"/>
      <c r="AT1645" s="4"/>
      <c r="AU1645" s="4"/>
      <c r="AV1645" s="4"/>
      <c r="AW1645" s="4"/>
      <c r="AX1645" s="4"/>
      <c r="AY1645" s="4"/>
      <c r="AZ1645" s="4"/>
      <c r="BA1645" s="4"/>
      <c r="BB1645" s="4"/>
      <c r="BC1645" s="4"/>
      <c r="BD1645" s="4"/>
      <c r="BE1645" s="4"/>
      <c r="BF1645" s="4"/>
      <c r="BG1645" s="4"/>
      <c r="BH1645" s="4"/>
      <c r="BI1645" s="4"/>
      <c r="BJ1645" s="4"/>
      <c r="BK1645" s="4"/>
      <c r="BL1645" s="4"/>
      <c r="BM1645" s="4"/>
      <c r="BN1645" s="4"/>
      <c r="BO1645" s="4"/>
      <c r="BP1645" s="4"/>
      <c r="BQ1645" s="4"/>
      <c r="BR1645" s="4"/>
      <c r="BS1645" s="4"/>
      <c r="BT1645" s="4"/>
      <c r="BU1645" s="4"/>
    </row>
    <row r="1646" spans="29:73" s="1" customFormat="1" x14ac:dyDescent="0.25">
      <c r="AC1646" s="4"/>
      <c r="AD1646" s="4"/>
      <c r="AE1646" s="4"/>
      <c r="AF1646" s="4"/>
      <c r="AG1646" s="4"/>
      <c r="AH1646" s="4"/>
      <c r="AI1646" s="4"/>
      <c r="AJ1646" s="4"/>
      <c r="AK1646" s="4"/>
      <c r="AL1646" s="4"/>
      <c r="AM1646" s="4"/>
      <c r="AN1646" s="4"/>
      <c r="AO1646" s="4"/>
      <c r="AP1646" s="4"/>
      <c r="AQ1646" s="4"/>
      <c r="AR1646" s="4"/>
      <c r="AS1646" s="4"/>
      <c r="AT1646" s="4"/>
      <c r="AU1646" s="4"/>
      <c r="AV1646" s="4"/>
      <c r="AW1646" s="4"/>
      <c r="AX1646" s="4"/>
      <c r="AY1646" s="4"/>
      <c r="AZ1646" s="4"/>
      <c r="BA1646" s="4"/>
      <c r="BB1646" s="4"/>
      <c r="BC1646" s="4"/>
      <c r="BD1646" s="4"/>
      <c r="BE1646" s="4"/>
      <c r="BF1646" s="4"/>
      <c r="BG1646" s="4"/>
      <c r="BH1646" s="4"/>
      <c r="BI1646" s="4"/>
      <c r="BJ1646" s="4"/>
      <c r="BK1646" s="4"/>
      <c r="BL1646" s="4"/>
      <c r="BM1646" s="4"/>
      <c r="BN1646" s="4"/>
      <c r="BO1646" s="4"/>
      <c r="BP1646" s="4"/>
      <c r="BQ1646" s="4"/>
      <c r="BR1646" s="4"/>
      <c r="BS1646" s="4"/>
      <c r="BT1646" s="4"/>
      <c r="BU1646" s="4"/>
    </row>
    <row r="1647" spans="29:73" s="1" customFormat="1" x14ac:dyDescent="0.25">
      <c r="AC1647" s="4"/>
      <c r="AD1647" s="4"/>
      <c r="AE1647" s="4"/>
      <c r="AF1647" s="4"/>
      <c r="AG1647" s="4"/>
      <c r="AH1647" s="4"/>
      <c r="AI1647" s="4"/>
      <c r="AJ1647" s="4"/>
      <c r="AK1647" s="4"/>
      <c r="AL1647" s="4"/>
      <c r="AM1647" s="4"/>
      <c r="AN1647" s="4"/>
      <c r="AO1647" s="4"/>
      <c r="AP1647" s="4"/>
      <c r="AQ1647" s="4"/>
      <c r="AR1647" s="4"/>
      <c r="AS1647" s="4"/>
      <c r="AT1647" s="4"/>
      <c r="AU1647" s="4"/>
      <c r="AV1647" s="4"/>
      <c r="AW1647" s="4"/>
      <c r="AX1647" s="4"/>
      <c r="AY1647" s="4"/>
      <c r="AZ1647" s="4"/>
      <c r="BA1647" s="4"/>
      <c r="BB1647" s="4"/>
      <c r="BC1647" s="4"/>
      <c r="BD1647" s="4"/>
      <c r="BE1647" s="4"/>
      <c r="BF1647" s="4"/>
      <c r="BG1647" s="4"/>
      <c r="BH1647" s="4"/>
      <c r="BI1647" s="4"/>
      <c r="BJ1647" s="4"/>
      <c r="BK1647" s="4"/>
      <c r="BL1647" s="4"/>
      <c r="BM1647" s="4"/>
      <c r="BN1647" s="4"/>
      <c r="BO1647" s="4"/>
      <c r="BP1647" s="4"/>
      <c r="BQ1647" s="4"/>
      <c r="BR1647" s="4"/>
      <c r="BS1647" s="4"/>
      <c r="BT1647" s="4"/>
      <c r="BU1647" s="4"/>
    </row>
    <row r="1648" spans="29:73" s="1" customFormat="1" x14ac:dyDescent="0.25">
      <c r="AC1648" s="4"/>
      <c r="AD1648" s="4"/>
      <c r="AE1648" s="4"/>
      <c r="AF1648" s="4"/>
      <c r="AG1648" s="4"/>
      <c r="AH1648" s="4"/>
      <c r="AI1648" s="4"/>
      <c r="AJ1648" s="4"/>
      <c r="AK1648" s="4"/>
      <c r="AL1648" s="4"/>
      <c r="AM1648" s="4"/>
      <c r="AN1648" s="4"/>
      <c r="AO1648" s="4"/>
      <c r="AP1648" s="4"/>
      <c r="AQ1648" s="4"/>
      <c r="AR1648" s="4"/>
      <c r="AS1648" s="4"/>
      <c r="AT1648" s="4"/>
      <c r="AU1648" s="4"/>
      <c r="AV1648" s="4"/>
      <c r="AW1648" s="4"/>
      <c r="AX1648" s="4"/>
      <c r="AY1648" s="4"/>
      <c r="AZ1648" s="4"/>
      <c r="BA1648" s="4"/>
      <c r="BB1648" s="4"/>
      <c r="BC1648" s="4"/>
      <c r="BD1648" s="4"/>
      <c r="BE1648" s="4"/>
      <c r="BF1648" s="4"/>
      <c r="BG1648" s="4"/>
      <c r="BH1648" s="4"/>
      <c r="BI1648" s="4"/>
      <c r="BJ1648" s="4"/>
      <c r="BK1648" s="4"/>
      <c r="BL1648" s="4"/>
      <c r="BM1648" s="4"/>
      <c r="BN1648" s="4"/>
      <c r="BO1648" s="4"/>
      <c r="BP1648" s="4"/>
      <c r="BQ1648" s="4"/>
      <c r="BR1648" s="4"/>
      <c r="BS1648" s="4"/>
      <c r="BT1648" s="4"/>
      <c r="BU1648" s="4"/>
    </row>
    <row r="1649" spans="29:73" s="1" customFormat="1" x14ac:dyDescent="0.25">
      <c r="AC1649" s="4"/>
      <c r="AD1649" s="4"/>
      <c r="AE1649" s="4"/>
      <c r="AF1649" s="4"/>
      <c r="AG1649" s="4"/>
      <c r="AH1649" s="4"/>
      <c r="AI1649" s="4"/>
      <c r="AJ1649" s="4"/>
      <c r="AK1649" s="4"/>
      <c r="AL1649" s="4"/>
      <c r="AM1649" s="4"/>
      <c r="AN1649" s="4"/>
      <c r="AO1649" s="4"/>
      <c r="AP1649" s="4"/>
      <c r="AQ1649" s="4"/>
      <c r="AR1649" s="4"/>
      <c r="AS1649" s="4"/>
      <c r="AT1649" s="4"/>
      <c r="AU1649" s="4"/>
      <c r="AV1649" s="4"/>
      <c r="AW1649" s="4"/>
      <c r="AX1649" s="4"/>
      <c r="AY1649" s="4"/>
      <c r="AZ1649" s="4"/>
      <c r="BA1649" s="4"/>
      <c r="BB1649" s="4"/>
      <c r="BC1649" s="4"/>
      <c r="BD1649" s="4"/>
      <c r="BE1649" s="4"/>
      <c r="BF1649" s="4"/>
      <c r="BG1649" s="4"/>
      <c r="BH1649" s="4"/>
      <c r="BI1649" s="4"/>
      <c r="BJ1649" s="4"/>
      <c r="BK1649" s="4"/>
      <c r="BL1649" s="4"/>
      <c r="BM1649" s="4"/>
      <c r="BN1649" s="4"/>
      <c r="BO1649" s="4"/>
      <c r="BP1649" s="4"/>
      <c r="BQ1649" s="4"/>
      <c r="BR1649" s="4"/>
      <c r="BS1649" s="4"/>
      <c r="BT1649" s="4"/>
      <c r="BU1649" s="4"/>
    </row>
    <row r="1650" spans="29:73" s="1" customFormat="1" x14ac:dyDescent="0.25">
      <c r="AC1650" s="4"/>
      <c r="AD1650" s="4"/>
      <c r="AE1650" s="4"/>
      <c r="AF1650" s="4"/>
      <c r="AG1650" s="4"/>
      <c r="AH1650" s="4"/>
      <c r="AI1650" s="4"/>
      <c r="AJ1650" s="4"/>
      <c r="AK1650" s="4"/>
      <c r="AL1650" s="4"/>
      <c r="AM1650" s="4"/>
      <c r="AN1650" s="4"/>
      <c r="AO1650" s="4"/>
      <c r="AP1650" s="4"/>
      <c r="AQ1650" s="4"/>
      <c r="AR1650" s="4"/>
      <c r="AS1650" s="4"/>
      <c r="AT1650" s="4"/>
      <c r="AU1650" s="4"/>
      <c r="AV1650" s="4"/>
      <c r="AW1650" s="4"/>
      <c r="AX1650" s="4"/>
      <c r="AY1650" s="4"/>
      <c r="AZ1650" s="4"/>
      <c r="BA1650" s="4"/>
      <c r="BB1650" s="4"/>
      <c r="BC1650" s="4"/>
      <c r="BD1650" s="4"/>
      <c r="BE1650" s="4"/>
      <c r="BF1650" s="4"/>
      <c r="BG1650" s="4"/>
      <c r="BH1650" s="4"/>
      <c r="BI1650" s="4"/>
      <c r="BJ1650" s="4"/>
      <c r="BK1650" s="4"/>
      <c r="BL1650" s="4"/>
      <c r="BM1650" s="4"/>
      <c r="BN1650" s="4"/>
      <c r="BO1650" s="4"/>
      <c r="BP1650" s="4"/>
      <c r="BQ1650" s="4"/>
      <c r="BR1650" s="4"/>
      <c r="BS1650" s="4"/>
      <c r="BT1650" s="4"/>
      <c r="BU1650" s="4"/>
    </row>
    <row r="1651" spans="29:73" s="1" customFormat="1" x14ac:dyDescent="0.25">
      <c r="AC1651" s="4"/>
      <c r="AD1651" s="4"/>
      <c r="AE1651" s="4"/>
      <c r="AF1651" s="4"/>
      <c r="AG1651" s="4"/>
      <c r="AH1651" s="4"/>
      <c r="AI1651" s="4"/>
      <c r="AJ1651" s="4"/>
      <c r="AK1651" s="4"/>
      <c r="AL1651" s="4"/>
      <c r="AM1651" s="4"/>
      <c r="AN1651" s="4"/>
      <c r="AO1651" s="4"/>
      <c r="AP1651" s="4"/>
      <c r="AQ1651" s="4"/>
      <c r="AR1651" s="4"/>
      <c r="AS1651" s="4"/>
      <c r="AT1651" s="4"/>
      <c r="AU1651" s="4"/>
      <c r="AV1651" s="4"/>
      <c r="AW1651" s="4"/>
      <c r="AX1651" s="4"/>
      <c r="AY1651" s="4"/>
      <c r="AZ1651" s="4"/>
      <c r="BA1651" s="4"/>
      <c r="BB1651" s="4"/>
      <c r="BC1651" s="4"/>
      <c r="BD1651" s="4"/>
      <c r="BE1651" s="4"/>
      <c r="BF1651" s="4"/>
      <c r="BG1651" s="4"/>
      <c r="BH1651" s="4"/>
      <c r="BI1651" s="4"/>
      <c r="BJ1651" s="4"/>
      <c r="BK1651" s="4"/>
      <c r="BL1651" s="4"/>
      <c r="BM1651" s="4"/>
      <c r="BN1651" s="4"/>
      <c r="BO1651" s="4"/>
      <c r="BP1651" s="4"/>
      <c r="BQ1651" s="4"/>
      <c r="BR1651" s="4"/>
      <c r="BS1651" s="4"/>
      <c r="BT1651" s="4"/>
      <c r="BU1651" s="4"/>
    </row>
    <row r="1652" spans="29:73" s="1" customFormat="1" x14ac:dyDescent="0.25">
      <c r="AC1652" s="4"/>
      <c r="AD1652" s="4"/>
      <c r="AE1652" s="4"/>
      <c r="AF1652" s="4"/>
      <c r="AG1652" s="4"/>
      <c r="AH1652" s="4"/>
      <c r="AI1652" s="4"/>
      <c r="AJ1652" s="4"/>
      <c r="AK1652" s="4"/>
      <c r="AL1652" s="4"/>
      <c r="AM1652" s="4"/>
      <c r="AN1652" s="4"/>
      <c r="AO1652" s="4"/>
      <c r="AP1652" s="4"/>
      <c r="AQ1652" s="4"/>
      <c r="AR1652" s="4"/>
      <c r="AS1652" s="4"/>
      <c r="AT1652" s="4"/>
      <c r="AU1652" s="4"/>
      <c r="AV1652" s="4"/>
      <c r="AW1652" s="4"/>
      <c r="AX1652" s="4"/>
      <c r="AY1652" s="4"/>
      <c r="AZ1652" s="4"/>
      <c r="BA1652" s="4"/>
      <c r="BB1652" s="4"/>
      <c r="BC1652" s="4"/>
      <c r="BD1652" s="4"/>
      <c r="BE1652" s="4"/>
      <c r="BF1652" s="4"/>
      <c r="BG1652" s="4"/>
      <c r="BH1652" s="4"/>
      <c r="BI1652" s="4"/>
      <c r="BJ1652" s="4"/>
      <c r="BK1652" s="4"/>
      <c r="BL1652" s="4"/>
      <c r="BM1652" s="4"/>
      <c r="BN1652" s="4"/>
      <c r="BO1652" s="4"/>
      <c r="BP1652" s="4"/>
      <c r="BQ1652" s="4"/>
      <c r="BR1652" s="4"/>
      <c r="BS1652" s="4"/>
      <c r="BT1652" s="4"/>
      <c r="BU1652" s="4"/>
    </row>
    <row r="1653" spans="29:73" s="1" customFormat="1" x14ac:dyDescent="0.25">
      <c r="AC1653" s="4"/>
      <c r="AD1653" s="4"/>
      <c r="AE1653" s="4"/>
      <c r="AF1653" s="4"/>
      <c r="AG1653" s="4"/>
      <c r="AH1653" s="4"/>
      <c r="AI1653" s="4"/>
      <c r="AJ1653" s="4"/>
      <c r="AK1653" s="4"/>
      <c r="AL1653" s="4"/>
      <c r="AM1653" s="4"/>
      <c r="AN1653" s="4"/>
      <c r="AO1653" s="4"/>
      <c r="AP1653" s="4"/>
      <c r="AQ1653" s="4"/>
      <c r="AR1653" s="4"/>
      <c r="AS1653" s="4"/>
      <c r="AT1653" s="4"/>
      <c r="AU1653" s="4"/>
      <c r="AV1653" s="4"/>
      <c r="AW1653" s="4"/>
      <c r="AX1653" s="4"/>
      <c r="AY1653" s="4"/>
      <c r="AZ1653" s="4"/>
      <c r="BA1653" s="4"/>
      <c r="BB1653" s="4"/>
      <c r="BC1653" s="4"/>
      <c r="BD1653" s="4"/>
      <c r="BE1653" s="4"/>
      <c r="BF1653" s="4"/>
      <c r="BG1653" s="4"/>
      <c r="BH1653" s="4"/>
      <c r="BI1653" s="4"/>
      <c r="BJ1653" s="4"/>
      <c r="BK1653" s="4"/>
      <c r="BL1653" s="4"/>
      <c r="BM1653" s="4"/>
      <c r="BN1653" s="4"/>
      <c r="BO1653" s="4"/>
      <c r="BP1653" s="4"/>
      <c r="BQ1653" s="4"/>
      <c r="BR1653" s="4"/>
      <c r="BS1653" s="4"/>
      <c r="BT1653" s="4"/>
      <c r="BU1653" s="4"/>
    </row>
    <row r="1654" spans="29:73" s="1" customFormat="1" x14ac:dyDescent="0.25">
      <c r="AC1654" s="4"/>
      <c r="AD1654" s="4"/>
      <c r="AE1654" s="4"/>
      <c r="AF1654" s="4"/>
      <c r="AG1654" s="4"/>
      <c r="AH1654" s="4"/>
      <c r="AI1654" s="4"/>
      <c r="AJ1654" s="4"/>
      <c r="AK1654" s="4"/>
      <c r="AL1654" s="4"/>
      <c r="AM1654" s="4"/>
      <c r="AN1654" s="4"/>
      <c r="AO1654" s="4"/>
      <c r="AP1654" s="4"/>
      <c r="AQ1654" s="4"/>
      <c r="AR1654" s="4"/>
      <c r="AS1654" s="4"/>
      <c r="AT1654" s="4"/>
      <c r="AU1654" s="4"/>
      <c r="AV1654" s="4"/>
      <c r="AW1654" s="4"/>
      <c r="AX1654" s="4"/>
      <c r="AY1654" s="4"/>
      <c r="AZ1654" s="4"/>
      <c r="BA1654" s="4"/>
      <c r="BB1654" s="4"/>
      <c r="BC1654" s="4"/>
      <c r="BD1654" s="4"/>
      <c r="BE1654" s="4"/>
      <c r="BF1654" s="4"/>
      <c r="BG1654" s="4"/>
      <c r="BH1654" s="4"/>
      <c r="BI1654" s="4"/>
      <c r="BJ1654" s="4"/>
      <c r="BK1654" s="4"/>
      <c r="BL1654" s="4"/>
      <c r="BM1654" s="4"/>
      <c r="BN1654" s="4"/>
      <c r="BO1654" s="4"/>
      <c r="BP1654" s="4"/>
      <c r="BQ1654" s="4"/>
      <c r="BR1654" s="4"/>
      <c r="BS1654" s="4"/>
      <c r="BT1654" s="4"/>
      <c r="BU1654" s="4"/>
    </row>
    <row r="1655" spans="29:73" s="1" customFormat="1" x14ac:dyDescent="0.25">
      <c r="AC1655" s="4"/>
      <c r="AD1655" s="4"/>
      <c r="AE1655" s="4"/>
      <c r="AF1655" s="4"/>
      <c r="AG1655" s="4"/>
      <c r="AH1655" s="4"/>
      <c r="AI1655" s="4"/>
      <c r="AJ1655" s="4"/>
      <c r="AK1655" s="4"/>
      <c r="AL1655" s="4"/>
      <c r="AM1655" s="4"/>
      <c r="AN1655" s="4"/>
      <c r="AO1655" s="4"/>
      <c r="AP1655" s="4"/>
      <c r="AQ1655" s="4"/>
      <c r="AR1655" s="4"/>
      <c r="AS1655" s="4"/>
      <c r="AT1655" s="4"/>
      <c r="AU1655" s="4"/>
      <c r="AV1655" s="4"/>
      <c r="AW1655" s="4"/>
      <c r="AX1655" s="4"/>
      <c r="AY1655" s="4"/>
      <c r="AZ1655" s="4"/>
      <c r="BA1655" s="4"/>
      <c r="BB1655" s="4"/>
      <c r="BC1655" s="4"/>
      <c r="BD1655" s="4"/>
      <c r="BE1655" s="4"/>
      <c r="BF1655" s="4"/>
      <c r="BG1655" s="4"/>
      <c r="BH1655" s="4"/>
      <c r="BI1655" s="4"/>
      <c r="BJ1655" s="4"/>
      <c r="BK1655" s="4"/>
      <c r="BL1655" s="4"/>
      <c r="BM1655" s="4"/>
      <c r="BN1655" s="4"/>
      <c r="BO1655" s="4"/>
      <c r="BP1655" s="4"/>
      <c r="BQ1655" s="4"/>
      <c r="BR1655" s="4"/>
      <c r="BS1655" s="4"/>
      <c r="BT1655" s="4"/>
      <c r="BU1655" s="4"/>
    </row>
    <row r="1656" spans="29:73" s="1" customFormat="1" x14ac:dyDescent="0.25">
      <c r="AC1656" s="4"/>
      <c r="AD1656" s="4"/>
      <c r="AE1656" s="4"/>
      <c r="AF1656" s="4"/>
      <c r="AG1656" s="4"/>
      <c r="AH1656" s="4"/>
      <c r="AI1656" s="4"/>
      <c r="AJ1656" s="4"/>
      <c r="AK1656" s="4"/>
      <c r="AL1656" s="4"/>
      <c r="AM1656" s="4"/>
      <c r="AN1656" s="4"/>
      <c r="AO1656" s="4"/>
      <c r="AP1656" s="4"/>
      <c r="AQ1656" s="4"/>
      <c r="AR1656" s="4"/>
      <c r="AS1656" s="4"/>
      <c r="AT1656" s="4"/>
      <c r="AU1656" s="4"/>
      <c r="AV1656" s="4"/>
      <c r="AW1656" s="4"/>
      <c r="AX1656" s="4"/>
      <c r="AY1656" s="4"/>
      <c r="AZ1656" s="4"/>
      <c r="BA1656" s="4"/>
      <c r="BB1656" s="4"/>
      <c r="BC1656" s="4"/>
      <c r="BD1656" s="4"/>
      <c r="BE1656" s="4"/>
      <c r="BF1656" s="4"/>
      <c r="BG1656" s="4"/>
      <c r="BH1656" s="4"/>
      <c r="BI1656" s="4"/>
      <c r="BJ1656" s="4"/>
      <c r="BK1656" s="4"/>
      <c r="BL1656" s="4"/>
      <c r="BM1656" s="4"/>
      <c r="BN1656" s="4"/>
      <c r="BO1656" s="4"/>
      <c r="BP1656" s="4"/>
      <c r="BQ1656" s="4"/>
      <c r="BR1656" s="4"/>
      <c r="BS1656" s="4"/>
      <c r="BT1656" s="4"/>
      <c r="BU1656" s="4"/>
    </row>
    <row r="1657" spans="29:73" s="1" customFormat="1" x14ac:dyDescent="0.25">
      <c r="AC1657" s="4"/>
      <c r="AD1657" s="4"/>
      <c r="AE1657" s="4"/>
      <c r="AF1657" s="4"/>
      <c r="AG1657" s="4"/>
      <c r="AH1657" s="4"/>
      <c r="AI1657" s="4"/>
      <c r="AJ1657" s="4"/>
      <c r="AK1657" s="4"/>
      <c r="AL1657" s="4"/>
      <c r="AM1657" s="4"/>
      <c r="AN1657" s="4"/>
      <c r="AO1657" s="4"/>
      <c r="AP1657" s="4"/>
      <c r="AQ1657" s="4"/>
      <c r="AR1657" s="4"/>
      <c r="AS1657" s="4"/>
      <c r="AT1657" s="4"/>
      <c r="AU1657" s="4"/>
      <c r="AV1657" s="4"/>
      <c r="AW1657" s="4"/>
      <c r="AX1657" s="4"/>
      <c r="AY1657" s="4"/>
      <c r="AZ1657" s="4"/>
      <c r="BA1657" s="4"/>
      <c r="BB1657" s="4"/>
      <c r="BC1657" s="4"/>
      <c r="BD1657" s="4"/>
      <c r="BE1657" s="4"/>
      <c r="BF1657" s="4"/>
      <c r="BG1657" s="4"/>
      <c r="BH1657" s="4"/>
      <c r="BI1657" s="4"/>
      <c r="BJ1657" s="4"/>
      <c r="BK1657" s="4"/>
      <c r="BL1657" s="4"/>
      <c r="BM1657" s="4"/>
      <c r="BN1657" s="4"/>
      <c r="BO1657" s="4"/>
      <c r="BP1657" s="4"/>
      <c r="BQ1657" s="4"/>
      <c r="BR1657" s="4"/>
      <c r="BS1657" s="4"/>
      <c r="BT1657" s="4"/>
      <c r="BU1657" s="4"/>
    </row>
    <row r="1658" spans="29:73" s="1" customFormat="1" x14ac:dyDescent="0.25">
      <c r="AC1658" s="4"/>
      <c r="AD1658" s="4"/>
      <c r="AE1658" s="4"/>
      <c r="AF1658" s="4"/>
      <c r="AG1658" s="4"/>
      <c r="AH1658" s="4"/>
      <c r="AI1658" s="4"/>
      <c r="AJ1658" s="4"/>
      <c r="AK1658" s="4"/>
      <c r="AL1658" s="4"/>
      <c r="AM1658" s="4"/>
      <c r="AN1658" s="4"/>
      <c r="AO1658" s="4"/>
      <c r="AP1658" s="4"/>
      <c r="AQ1658" s="4"/>
      <c r="AR1658" s="4"/>
      <c r="AS1658" s="4"/>
      <c r="AT1658" s="4"/>
      <c r="AU1658" s="4"/>
      <c r="AV1658" s="4"/>
      <c r="AW1658" s="4"/>
      <c r="AX1658" s="4"/>
      <c r="AY1658" s="4"/>
      <c r="AZ1658" s="4"/>
      <c r="BA1658" s="4"/>
      <c r="BB1658" s="4"/>
      <c r="BC1658" s="4"/>
      <c r="BD1658" s="4"/>
      <c r="BE1658" s="4"/>
      <c r="BF1658" s="4"/>
      <c r="BG1658" s="4"/>
      <c r="BH1658" s="4"/>
      <c r="BI1658" s="4"/>
      <c r="BJ1658" s="4"/>
      <c r="BK1658" s="4"/>
      <c r="BL1658" s="4"/>
      <c r="BM1658" s="4"/>
      <c r="BN1658" s="4"/>
      <c r="BO1658" s="4"/>
      <c r="BP1658" s="4"/>
      <c r="BQ1658" s="4"/>
      <c r="BR1658" s="4"/>
      <c r="BS1658" s="4"/>
      <c r="BT1658" s="4"/>
      <c r="BU1658" s="4"/>
    </row>
    <row r="1659" spans="29:73" s="1" customFormat="1" x14ac:dyDescent="0.25">
      <c r="AC1659" s="4"/>
      <c r="AD1659" s="4"/>
      <c r="AE1659" s="4"/>
      <c r="AF1659" s="4"/>
      <c r="AG1659" s="4"/>
      <c r="AH1659" s="4"/>
      <c r="AI1659" s="4"/>
      <c r="AJ1659" s="4"/>
      <c r="AK1659" s="4"/>
      <c r="AL1659" s="4"/>
      <c r="AM1659" s="4"/>
      <c r="AN1659" s="4"/>
      <c r="AO1659" s="4"/>
      <c r="AP1659" s="4"/>
      <c r="AQ1659" s="4"/>
      <c r="AR1659" s="4"/>
      <c r="AS1659" s="4"/>
      <c r="AT1659" s="4"/>
      <c r="AU1659" s="4"/>
      <c r="AV1659" s="4"/>
      <c r="AW1659" s="4"/>
      <c r="AX1659" s="4"/>
      <c r="AY1659" s="4"/>
      <c r="AZ1659" s="4"/>
      <c r="BA1659" s="4"/>
      <c r="BB1659" s="4"/>
      <c r="BC1659" s="4"/>
      <c r="BD1659" s="4"/>
      <c r="BE1659" s="4"/>
      <c r="BF1659" s="4"/>
      <c r="BG1659" s="4"/>
      <c r="BH1659" s="4"/>
      <c r="BI1659" s="4"/>
      <c r="BJ1659" s="4"/>
      <c r="BK1659" s="4"/>
      <c r="BL1659" s="4"/>
      <c r="BM1659" s="4"/>
      <c r="BN1659" s="4"/>
      <c r="BO1659" s="4"/>
      <c r="BP1659" s="4"/>
      <c r="BQ1659" s="4"/>
      <c r="BR1659" s="4"/>
      <c r="BS1659" s="4"/>
      <c r="BT1659" s="4"/>
      <c r="BU1659" s="4"/>
    </row>
    <row r="1660" spans="29:73" s="1" customFormat="1" x14ac:dyDescent="0.25">
      <c r="AC1660" s="4"/>
      <c r="AD1660" s="4"/>
      <c r="AE1660" s="4"/>
      <c r="AF1660" s="4"/>
      <c r="AG1660" s="4"/>
      <c r="AH1660" s="4"/>
      <c r="AI1660" s="4"/>
      <c r="AJ1660" s="4"/>
      <c r="AK1660" s="4"/>
      <c r="AL1660" s="4"/>
      <c r="AM1660" s="4"/>
      <c r="AN1660" s="4"/>
      <c r="AO1660" s="4"/>
      <c r="AP1660" s="4"/>
      <c r="AQ1660" s="4"/>
      <c r="AR1660" s="4"/>
      <c r="AS1660" s="4"/>
      <c r="AT1660" s="4"/>
      <c r="AU1660" s="4"/>
      <c r="AV1660" s="4"/>
      <c r="AW1660" s="4"/>
      <c r="AX1660" s="4"/>
      <c r="AY1660" s="4"/>
      <c r="AZ1660" s="4"/>
      <c r="BA1660" s="4"/>
      <c r="BB1660" s="4"/>
      <c r="BC1660" s="4"/>
      <c r="BD1660" s="4"/>
      <c r="BE1660" s="4"/>
      <c r="BF1660" s="4"/>
      <c r="BG1660" s="4"/>
      <c r="BH1660" s="4"/>
      <c r="BI1660" s="4"/>
      <c r="BJ1660" s="4"/>
      <c r="BK1660" s="4"/>
      <c r="BL1660" s="4"/>
      <c r="BM1660" s="4"/>
      <c r="BN1660" s="4"/>
      <c r="BO1660" s="4"/>
      <c r="BP1660" s="4"/>
      <c r="BQ1660" s="4"/>
      <c r="BR1660" s="4"/>
      <c r="BS1660" s="4"/>
      <c r="BT1660" s="4"/>
      <c r="BU1660" s="4"/>
    </row>
    <row r="1661" spans="29:73" s="1" customFormat="1" x14ac:dyDescent="0.25">
      <c r="AC1661" s="4"/>
      <c r="AD1661" s="4"/>
      <c r="AE1661" s="4"/>
      <c r="AF1661" s="4"/>
      <c r="AG1661" s="4"/>
      <c r="AH1661" s="4"/>
      <c r="AI1661" s="4"/>
      <c r="AJ1661" s="4"/>
      <c r="AK1661" s="4"/>
      <c r="AL1661" s="4"/>
      <c r="AM1661" s="4"/>
      <c r="AN1661" s="4"/>
      <c r="AO1661" s="4"/>
      <c r="AP1661" s="4"/>
      <c r="AQ1661" s="4"/>
      <c r="AR1661" s="4"/>
      <c r="AS1661" s="4"/>
      <c r="AT1661" s="4"/>
      <c r="AU1661" s="4"/>
      <c r="AV1661" s="4"/>
      <c r="AW1661" s="4"/>
      <c r="AX1661" s="4"/>
      <c r="AY1661" s="4"/>
      <c r="AZ1661" s="4"/>
      <c r="BA1661" s="4"/>
      <c r="BB1661" s="4"/>
      <c r="BC1661" s="4"/>
      <c r="BD1661" s="4"/>
      <c r="BE1661" s="4"/>
      <c r="BF1661" s="4"/>
      <c r="BG1661" s="4"/>
      <c r="BH1661" s="4"/>
      <c r="BI1661" s="4"/>
      <c r="BJ1661" s="4"/>
      <c r="BK1661" s="4"/>
      <c r="BL1661" s="4"/>
      <c r="BM1661" s="4"/>
      <c r="BN1661" s="4"/>
      <c r="BO1661" s="4"/>
      <c r="BP1661" s="4"/>
      <c r="BQ1661" s="4"/>
      <c r="BR1661" s="4"/>
      <c r="BS1661" s="4"/>
      <c r="BT1661" s="4"/>
      <c r="BU1661" s="4"/>
    </row>
    <row r="1662" spans="29:73" s="1" customFormat="1" x14ac:dyDescent="0.25">
      <c r="AC1662" s="4"/>
      <c r="AD1662" s="4"/>
      <c r="AE1662" s="4"/>
      <c r="AF1662" s="4"/>
      <c r="AG1662" s="4"/>
      <c r="AH1662" s="4"/>
      <c r="AI1662" s="4"/>
      <c r="AJ1662" s="4"/>
      <c r="AK1662" s="4"/>
      <c r="AL1662" s="4"/>
      <c r="AM1662" s="4"/>
      <c r="AN1662" s="4"/>
      <c r="AO1662" s="4"/>
      <c r="AP1662" s="4"/>
      <c r="AQ1662" s="4"/>
      <c r="AR1662" s="4"/>
      <c r="AS1662" s="4"/>
      <c r="AT1662" s="4"/>
      <c r="AU1662" s="4"/>
      <c r="AV1662" s="4"/>
      <c r="AW1662" s="4"/>
      <c r="AX1662" s="4"/>
      <c r="AY1662" s="4"/>
      <c r="AZ1662" s="4"/>
      <c r="BA1662" s="4"/>
      <c r="BB1662" s="4"/>
      <c r="BC1662" s="4"/>
      <c r="BD1662" s="4"/>
      <c r="BE1662" s="4"/>
      <c r="BF1662" s="4"/>
      <c r="BG1662" s="4"/>
      <c r="BH1662" s="4"/>
      <c r="BI1662" s="4"/>
      <c r="BJ1662" s="4"/>
      <c r="BK1662" s="4"/>
      <c r="BL1662" s="4"/>
      <c r="BM1662" s="4"/>
      <c r="BN1662" s="4"/>
      <c r="BO1662" s="4"/>
      <c r="BP1662" s="4"/>
      <c r="BQ1662" s="4"/>
      <c r="BR1662" s="4"/>
      <c r="BS1662" s="4"/>
      <c r="BT1662" s="4"/>
      <c r="BU1662" s="4"/>
    </row>
    <row r="1663" spans="29:73" s="1" customFormat="1" x14ac:dyDescent="0.25">
      <c r="AC1663" s="4"/>
      <c r="AD1663" s="4"/>
      <c r="AE1663" s="4"/>
      <c r="AF1663" s="4"/>
      <c r="AG1663" s="4"/>
      <c r="AH1663" s="4"/>
      <c r="AI1663" s="4"/>
      <c r="AJ1663" s="4"/>
      <c r="AK1663" s="4"/>
      <c r="AL1663" s="4"/>
      <c r="AM1663" s="4"/>
      <c r="AN1663" s="4"/>
      <c r="AO1663" s="4"/>
      <c r="AP1663" s="4"/>
      <c r="AQ1663" s="4"/>
      <c r="AR1663" s="4"/>
      <c r="AS1663" s="4"/>
      <c r="AT1663" s="4"/>
      <c r="AU1663" s="4"/>
      <c r="AV1663" s="4"/>
      <c r="AW1663" s="4"/>
      <c r="AX1663" s="4"/>
      <c r="AY1663" s="4"/>
      <c r="AZ1663" s="4"/>
      <c r="BA1663" s="4"/>
      <c r="BB1663" s="4"/>
      <c r="BC1663" s="4"/>
      <c r="BD1663" s="4"/>
      <c r="BE1663" s="4"/>
      <c r="BF1663" s="4"/>
      <c r="BG1663" s="4"/>
      <c r="BH1663" s="4"/>
      <c r="BI1663" s="4"/>
      <c r="BJ1663" s="4"/>
      <c r="BK1663" s="4"/>
      <c r="BL1663" s="4"/>
      <c r="BM1663" s="4"/>
      <c r="BN1663" s="4"/>
      <c r="BO1663" s="4"/>
      <c r="BP1663" s="4"/>
      <c r="BQ1663" s="4"/>
      <c r="BR1663" s="4"/>
      <c r="BS1663" s="4"/>
      <c r="BT1663" s="4"/>
      <c r="BU1663" s="4"/>
    </row>
    <row r="1664" spans="29:73" s="1" customFormat="1" x14ac:dyDescent="0.25">
      <c r="AC1664" s="4"/>
      <c r="AD1664" s="4"/>
      <c r="AE1664" s="4"/>
      <c r="AF1664" s="4"/>
      <c r="AG1664" s="4"/>
      <c r="AH1664" s="4"/>
      <c r="AI1664" s="4"/>
      <c r="AJ1664" s="4"/>
      <c r="AK1664" s="4"/>
      <c r="AL1664" s="4"/>
      <c r="AM1664" s="4"/>
      <c r="AN1664" s="4"/>
      <c r="AO1664" s="4"/>
      <c r="AP1664" s="4"/>
      <c r="AQ1664" s="4"/>
      <c r="AR1664" s="4"/>
      <c r="AS1664" s="4"/>
      <c r="AT1664" s="4"/>
      <c r="AU1664" s="4"/>
      <c r="AV1664" s="4"/>
      <c r="AW1664" s="4"/>
      <c r="AX1664" s="4"/>
      <c r="AY1664" s="4"/>
      <c r="AZ1664" s="4"/>
      <c r="BA1664" s="4"/>
      <c r="BB1664" s="4"/>
      <c r="BC1664" s="4"/>
      <c r="BD1664" s="4"/>
      <c r="BE1664" s="4"/>
      <c r="BF1664" s="4"/>
      <c r="BG1664" s="4"/>
      <c r="BH1664" s="4"/>
      <c r="BI1664" s="4"/>
      <c r="BJ1664" s="4"/>
      <c r="BK1664" s="4"/>
      <c r="BL1664" s="4"/>
      <c r="BM1664" s="4"/>
      <c r="BN1664" s="4"/>
      <c r="BO1664" s="4"/>
      <c r="BP1664" s="4"/>
      <c r="BQ1664" s="4"/>
      <c r="BR1664" s="4"/>
      <c r="BS1664" s="4"/>
      <c r="BT1664" s="4"/>
      <c r="BU1664" s="4"/>
    </row>
    <row r="1665" spans="29:73" s="1" customFormat="1" x14ac:dyDescent="0.25">
      <c r="AC1665" s="4"/>
      <c r="AD1665" s="4"/>
      <c r="AE1665" s="4"/>
      <c r="AF1665" s="4"/>
      <c r="AG1665" s="4"/>
      <c r="AH1665" s="4"/>
      <c r="AI1665" s="4"/>
      <c r="AJ1665" s="4"/>
      <c r="AK1665" s="4"/>
      <c r="AL1665" s="4"/>
      <c r="AM1665" s="4"/>
      <c r="AN1665" s="4"/>
      <c r="AO1665" s="4"/>
      <c r="AP1665" s="4"/>
      <c r="AQ1665" s="4"/>
      <c r="AR1665" s="4"/>
      <c r="AS1665" s="4"/>
      <c r="AT1665" s="4"/>
      <c r="AU1665" s="4"/>
      <c r="AV1665" s="4"/>
      <c r="AW1665" s="4"/>
      <c r="AX1665" s="4"/>
      <c r="AY1665" s="4"/>
      <c r="AZ1665" s="4"/>
      <c r="BA1665" s="4"/>
      <c r="BB1665" s="4"/>
      <c r="BC1665" s="4"/>
      <c r="BD1665" s="4"/>
      <c r="BE1665" s="4"/>
      <c r="BF1665" s="4"/>
      <c r="BG1665" s="4"/>
      <c r="BH1665" s="4"/>
      <c r="BI1665" s="4"/>
      <c r="BJ1665" s="4"/>
      <c r="BK1665" s="4"/>
      <c r="BL1665" s="4"/>
      <c r="BM1665" s="4"/>
      <c r="BN1665" s="4"/>
      <c r="BO1665" s="4"/>
      <c r="BP1665" s="4"/>
      <c r="BQ1665" s="4"/>
      <c r="BR1665" s="4"/>
      <c r="BS1665" s="4"/>
      <c r="BT1665" s="4"/>
      <c r="BU1665" s="4"/>
    </row>
    <row r="1666" spans="29:73" s="1" customFormat="1" x14ac:dyDescent="0.25">
      <c r="AC1666" s="4"/>
      <c r="AD1666" s="4"/>
      <c r="AE1666" s="4"/>
      <c r="AF1666" s="4"/>
      <c r="AG1666" s="4"/>
      <c r="AH1666" s="4"/>
      <c r="AI1666" s="4"/>
      <c r="AJ1666" s="4"/>
      <c r="AK1666" s="4"/>
      <c r="AL1666" s="4"/>
      <c r="AM1666" s="4"/>
      <c r="AN1666" s="4"/>
      <c r="AO1666" s="4"/>
      <c r="AP1666" s="4"/>
      <c r="AQ1666" s="4"/>
      <c r="AR1666" s="4"/>
      <c r="AS1666" s="4"/>
      <c r="AT1666" s="4"/>
      <c r="AU1666" s="4"/>
      <c r="AV1666" s="4"/>
      <c r="AW1666" s="4"/>
      <c r="AX1666" s="4"/>
      <c r="AY1666" s="4"/>
      <c r="AZ1666" s="4"/>
      <c r="BA1666" s="4"/>
      <c r="BB1666" s="4"/>
      <c r="BC1666" s="4"/>
      <c r="BD1666" s="4"/>
      <c r="BE1666" s="4"/>
      <c r="BF1666" s="4"/>
      <c r="BG1666" s="4"/>
      <c r="BH1666" s="4"/>
      <c r="BI1666" s="4"/>
      <c r="BJ1666" s="4"/>
      <c r="BK1666" s="4"/>
      <c r="BL1666" s="4"/>
      <c r="BM1666" s="4"/>
      <c r="BN1666" s="4"/>
      <c r="BO1666" s="4"/>
      <c r="BP1666" s="4"/>
      <c r="BQ1666" s="4"/>
      <c r="BR1666" s="4"/>
      <c r="BS1666" s="4"/>
      <c r="BT1666" s="4"/>
      <c r="BU1666" s="4"/>
    </row>
    <row r="1667" spans="29:73" s="1" customFormat="1" x14ac:dyDescent="0.25">
      <c r="AC1667" s="4"/>
      <c r="AD1667" s="4"/>
      <c r="AE1667" s="4"/>
      <c r="AF1667" s="4"/>
      <c r="AG1667" s="4"/>
      <c r="AH1667" s="4"/>
      <c r="AI1667" s="4"/>
      <c r="AJ1667" s="4"/>
      <c r="AK1667" s="4"/>
      <c r="AL1667" s="4"/>
      <c r="AM1667" s="4"/>
      <c r="AN1667" s="4"/>
      <c r="AO1667" s="4"/>
      <c r="AP1667" s="4"/>
      <c r="AQ1667" s="4"/>
      <c r="AR1667" s="4"/>
      <c r="AS1667" s="4"/>
      <c r="AT1667" s="4"/>
      <c r="AU1667" s="4"/>
      <c r="AV1667" s="4"/>
      <c r="AW1667" s="4"/>
      <c r="AX1667" s="4"/>
      <c r="AY1667" s="4"/>
      <c r="AZ1667" s="4"/>
      <c r="BA1667" s="4"/>
      <c r="BB1667" s="4"/>
      <c r="BC1667" s="4"/>
      <c r="BD1667" s="4"/>
      <c r="BE1667" s="4"/>
      <c r="BF1667" s="4"/>
      <c r="BG1667" s="4"/>
      <c r="BH1667" s="4"/>
      <c r="BI1667" s="4"/>
      <c r="BJ1667" s="4"/>
      <c r="BK1667" s="4"/>
      <c r="BL1667" s="4"/>
      <c r="BM1667" s="4"/>
      <c r="BN1667" s="4"/>
      <c r="BO1667" s="4"/>
      <c r="BP1667" s="4"/>
      <c r="BQ1667" s="4"/>
      <c r="BR1667" s="4"/>
      <c r="BS1667" s="4"/>
      <c r="BT1667" s="4"/>
      <c r="BU1667" s="4"/>
    </row>
    <row r="1668" spans="29:73" s="1" customFormat="1" x14ac:dyDescent="0.25">
      <c r="AC1668" s="4"/>
      <c r="AD1668" s="4"/>
      <c r="AE1668" s="4"/>
      <c r="AF1668" s="4"/>
      <c r="AG1668" s="4"/>
      <c r="AH1668" s="4"/>
      <c r="AI1668" s="4"/>
      <c r="AJ1668" s="4"/>
      <c r="AK1668" s="4"/>
      <c r="AL1668" s="4"/>
      <c r="AM1668" s="4"/>
      <c r="AN1668" s="4"/>
      <c r="AO1668" s="4"/>
      <c r="AP1668" s="4"/>
      <c r="AQ1668" s="4"/>
      <c r="AR1668" s="4"/>
      <c r="AS1668" s="4"/>
      <c r="AT1668" s="4"/>
      <c r="AU1668" s="4"/>
      <c r="AV1668" s="4"/>
      <c r="AW1668" s="4"/>
      <c r="AX1668" s="4"/>
      <c r="AY1668" s="4"/>
      <c r="AZ1668" s="4"/>
      <c r="BA1668" s="4"/>
      <c r="BB1668" s="4"/>
      <c r="BC1668" s="4"/>
      <c r="BD1668" s="4"/>
      <c r="BE1668" s="4"/>
      <c r="BF1668" s="4"/>
      <c r="BG1668" s="4"/>
      <c r="BH1668" s="4"/>
      <c r="BI1668" s="4"/>
      <c r="BJ1668" s="4"/>
      <c r="BK1668" s="4"/>
      <c r="BL1668" s="4"/>
      <c r="BM1668" s="4"/>
      <c r="BN1668" s="4"/>
      <c r="BO1668" s="4"/>
      <c r="BP1668" s="4"/>
      <c r="BQ1668" s="4"/>
      <c r="BR1668" s="4"/>
      <c r="BS1668" s="4"/>
      <c r="BT1668" s="4"/>
      <c r="BU1668" s="4"/>
    </row>
    <row r="1669" spans="29:73" s="1" customFormat="1" x14ac:dyDescent="0.25">
      <c r="AC1669" s="4"/>
      <c r="AD1669" s="4"/>
      <c r="AE1669" s="4"/>
      <c r="AF1669" s="4"/>
      <c r="AG1669" s="4"/>
      <c r="AH1669" s="4"/>
      <c r="AI1669" s="4"/>
      <c r="AJ1669" s="4"/>
      <c r="AK1669" s="4"/>
      <c r="AL1669" s="4"/>
      <c r="AM1669" s="4"/>
      <c r="AN1669" s="4"/>
      <c r="AO1669" s="4"/>
      <c r="AP1669" s="4"/>
      <c r="AQ1669" s="4"/>
      <c r="AR1669" s="4"/>
      <c r="AS1669" s="4"/>
      <c r="AT1669" s="4"/>
      <c r="AU1669" s="4"/>
      <c r="AV1669" s="4"/>
      <c r="AW1669" s="4"/>
      <c r="AX1669" s="4"/>
      <c r="AY1669" s="4"/>
      <c r="AZ1669" s="4"/>
      <c r="BA1669" s="4"/>
      <c r="BB1669" s="4"/>
      <c r="BC1669" s="4"/>
      <c r="BD1669" s="4"/>
      <c r="BE1669" s="4"/>
      <c r="BF1669" s="4"/>
      <c r="BG1669" s="4"/>
      <c r="BH1669" s="4"/>
      <c r="BI1669" s="4"/>
      <c r="BJ1669" s="4"/>
      <c r="BK1669" s="4"/>
      <c r="BL1669" s="4"/>
      <c r="BM1669" s="4"/>
      <c r="BN1669" s="4"/>
      <c r="BO1669" s="4"/>
      <c r="BP1669" s="4"/>
      <c r="BQ1669" s="4"/>
      <c r="BR1669" s="4"/>
      <c r="BS1669" s="4"/>
      <c r="BT1669" s="4"/>
      <c r="BU1669" s="4"/>
    </row>
    <row r="1670" spans="29:73" s="1" customFormat="1" x14ac:dyDescent="0.25">
      <c r="AC1670" s="4"/>
      <c r="AD1670" s="4"/>
      <c r="AE1670" s="4"/>
      <c r="AF1670" s="4"/>
      <c r="AG1670" s="4"/>
      <c r="AH1670" s="4"/>
      <c r="AI1670" s="4"/>
      <c r="AJ1670" s="4"/>
      <c r="AK1670" s="4"/>
      <c r="AL1670" s="4"/>
      <c r="AM1670" s="4"/>
      <c r="AN1670" s="4"/>
      <c r="AO1670" s="4"/>
      <c r="AP1670" s="4"/>
      <c r="AQ1670" s="4"/>
      <c r="AR1670" s="4"/>
      <c r="AS1670" s="4"/>
      <c r="AT1670" s="4"/>
      <c r="AU1670" s="4"/>
      <c r="AV1670" s="4"/>
      <c r="AW1670" s="4"/>
      <c r="AX1670" s="4"/>
      <c r="AY1670" s="4"/>
      <c r="AZ1670" s="4"/>
      <c r="BA1670" s="4"/>
      <c r="BB1670" s="4"/>
      <c r="BC1670" s="4"/>
      <c r="BD1670" s="4"/>
      <c r="BE1670" s="4"/>
      <c r="BF1670" s="4"/>
      <c r="BG1670" s="4"/>
      <c r="BH1670" s="4"/>
      <c r="BI1670" s="4"/>
      <c r="BJ1670" s="4"/>
      <c r="BK1670" s="4"/>
      <c r="BL1670" s="4"/>
      <c r="BM1670" s="4"/>
      <c r="BN1670" s="4"/>
      <c r="BO1670" s="4"/>
      <c r="BP1670" s="4"/>
      <c r="BQ1670" s="4"/>
      <c r="BR1670" s="4"/>
      <c r="BS1670" s="4"/>
      <c r="BT1670" s="4"/>
      <c r="BU1670" s="4"/>
    </row>
    <row r="1671" spans="29:73" s="1" customFormat="1" x14ac:dyDescent="0.25">
      <c r="AC1671" s="4"/>
      <c r="AD1671" s="4"/>
      <c r="AE1671" s="4"/>
      <c r="AF1671" s="4"/>
      <c r="AG1671" s="4"/>
      <c r="AH1671" s="4"/>
      <c r="AI1671" s="4"/>
      <c r="AJ1671" s="4"/>
      <c r="AK1671" s="4"/>
      <c r="AL1671" s="4"/>
      <c r="AM1671" s="4"/>
      <c r="AN1671" s="4"/>
      <c r="AO1671" s="4"/>
      <c r="AP1671" s="4"/>
      <c r="AQ1671" s="4"/>
      <c r="AR1671" s="4"/>
      <c r="AS1671" s="4"/>
      <c r="AT1671" s="4"/>
      <c r="AU1671" s="4"/>
      <c r="AV1671" s="4"/>
      <c r="AW1671" s="4"/>
      <c r="AX1671" s="4"/>
      <c r="AY1671" s="4"/>
      <c r="AZ1671" s="4"/>
      <c r="BA1671" s="4"/>
      <c r="BB1671" s="4"/>
      <c r="BC1671" s="4"/>
      <c r="BD1671" s="4"/>
      <c r="BE1671" s="4"/>
      <c r="BF1671" s="4"/>
      <c r="BG1671" s="4"/>
      <c r="BH1671" s="4"/>
      <c r="BI1671" s="4"/>
      <c r="BJ1671" s="4"/>
      <c r="BK1671" s="4"/>
      <c r="BL1671" s="4"/>
      <c r="BM1671" s="4"/>
      <c r="BN1671" s="4"/>
      <c r="BO1671" s="4"/>
      <c r="BP1671" s="4"/>
      <c r="BQ1671" s="4"/>
      <c r="BR1671" s="4"/>
      <c r="BS1671" s="4"/>
      <c r="BT1671" s="4"/>
      <c r="BU1671" s="4"/>
    </row>
    <row r="1672" spans="29:73" s="1" customFormat="1" x14ac:dyDescent="0.25">
      <c r="AC1672" s="4"/>
      <c r="AD1672" s="4"/>
      <c r="AE1672" s="4"/>
      <c r="AF1672" s="4"/>
      <c r="AG1672" s="4"/>
      <c r="AH1672" s="4"/>
      <c r="AI1672" s="4"/>
      <c r="AJ1672" s="4"/>
      <c r="AK1672" s="4"/>
      <c r="AL1672" s="4"/>
      <c r="AM1672" s="4"/>
      <c r="AN1672" s="4"/>
      <c r="AO1672" s="4"/>
      <c r="AP1672" s="4"/>
      <c r="AQ1672" s="4"/>
      <c r="AR1672" s="4"/>
      <c r="AS1672" s="4"/>
      <c r="AT1672" s="4"/>
      <c r="AU1672" s="4"/>
      <c r="AV1672" s="4"/>
      <c r="AW1672" s="4"/>
      <c r="AX1672" s="4"/>
      <c r="AY1672" s="4"/>
      <c r="AZ1672" s="4"/>
      <c r="BA1672" s="4"/>
      <c r="BB1672" s="4"/>
      <c r="BC1672" s="4"/>
      <c r="BD1672" s="4"/>
      <c r="BE1672" s="4"/>
      <c r="BF1672" s="4"/>
      <c r="BG1672" s="4"/>
      <c r="BH1672" s="4"/>
      <c r="BI1672" s="4"/>
      <c r="BJ1672" s="4"/>
      <c r="BK1672" s="4"/>
      <c r="BL1672" s="4"/>
      <c r="BM1672" s="4"/>
      <c r="BN1672" s="4"/>
      <c r="BO1672" s="4"/>
      <c r="BP1672" s="4"/>
      <c r="BQ1672" s="4"/>
      <c r="BR1672" s="4"/>
      <c r="BS1672" s="4"/>
      <c r="BT1672" s="4"/>
      <c r="BU1672" s="4"/>
    </row>
    <row r="1673" spans="29:73" s="1" customFormat="1" x14ac:dyDescent="0.25">
      <c r="AC1673" s="4"/>
      <c r="AD1673" s="4"/>
      <c r="AE1673" s="4"/>
      <c r="AF1673" s="4"/>
      <c r="AG1673" s="4"/>
      <c r="AH1673" s="4"/>
      <c r="AI1673" s="4"/>
      <c r="AJ1673" s="4"/>
      <c r="AK1673" s="4"/>
      <c r="AL1673" s="4"/>
      <c r="AM1673" s="4"/>
      <c r="AN1673" s="4"/>
      <c r="AO1673" s="4"/>
      <c r="AP1673" s="4"/>
      <c r="AQ1673" s="4"/>
      <c r="AR1673" s="4"/>
      <c r="AS1673" s="4"/>
      <c r="AT1673" s="4"/>
      <c r="AU1673" s="4"/>
      <c r="AV1673" s="4"/>
      <c r="AW1673" s="4"/>
      <c r="AX1673" s="4"/>
      <c r="AY1673" s="4"/>
      <c r="AZ1673" s="4"/>
      <c r="BA1673" s="4"/>
      <c r="BB1673" s="4"/>
      <c r="BC1673" s="4"/>
      <c r="BD1673" s="4"/>
      <c r="BE1673" s="4"/>
      <c r="BF1673" s="4"/>
      <c r="BG1673" s="4"/>
      <c r="BH1673" s="4"/>
      <c r="BI1673" s="4"/>
      <c r="BJ1673" s="4"/>
      <c r="BK1673" s="4"/>
      <c r="BL1673" s="4"/>
      <c r="BM1673" s="4"/>
      <c r="BN1673" s="4"/>
      <c r="BO1673" s="4"/>
      <c r="BP1673" s="4"/>
      <c r="BQ1673" s="4"/>
      <c r="BR1673" s="4"/>
      <c r="BS1673" s="4"/>
      <c r="BT1673" s="4"/>
      <c r="BU1673" s="4"/>
    </row>
    <row r="1674" spans="29:73" s="1" customFormat="1" x14ac:dyDescent="0.25">
      <c r="AC1674" s="4"/>
      <c r="AD1674" s="4"/>
      <c r="AE1674" s="4"/>
      <c r="AF1674" s="4"/>
      <c r="AG1674" s="4"/>
      <c r="AH1674" s="4"/>
      <c r="AI1674" s="4"/>
      <c r="AJ1674" s="4"/>
      <c r="AK1674" s="4"/>
      <c r="AL1674" s="4"/>
      <c r="AM1674" s="4"/>
      <c r="AN1674" s="4"/>
      <c r="AO1674" s="4"/>
      <c r="AP1674" s="4"/>
      <c r="AQ1674" s="4"/>
      <c r="AR1674" s="4"/>
      <c r="AS1674" s="4"/>
      <c r="AT1674" s="4"/>
      <c r="AU1674" s="4"/>
      <c r="AV1674" s="4"/>
      <c r="AW1674" s="4"/>
      <c r="AX1674" s="4"/>
      <c r="AY1674" s="4"/>
      <c r="AZ1674" s="4"/>
      <c r="BA1674" s="4"/>
      <c r="BB1674" s="4"/>
      <c r="BC1674" s="4"/>
      <c r="BD1674" s="4"/>
      <c r="BE1674" s="4"/>
      <c r="BF1674" s="4"/>
      <c r="BG1674" s="4"/>
      <c r="BH1674" s="4"/>
      <c r="BI1674" s="4"/>
      <c r="BJ1674" s="4"/>
      <c r="BK1674" s="4"/>
      <c r="BL1674" s="4"/>
      <c r="BM1674" s="4"/>
      <c r="BN1674" s="4"/>
      <c r="BO1674" s="4"/>
      <c r="BP1674" s="4"/>
      <c r="BQ1674" s="4"/>
      <c r="BR1674" s="4"/>
      <c r="BS1674" s="4"/>
      <c r="BT1674" s="4"/>
      <c r="BU1674" s="4"/>
    </row>
    <row r="1675" spans="29:73" s="1" customFormat="1" x14ac:dyDescent="0.25">
      <c r="AC1675" s="4"/>
      <c r="AD1675" s="4"/>
      <c r="AE1675" s="4"/>
      <c r="AF1675" s="4"/>
      <c r="AG1675" s="4"/>
      <c r="AH1675" s="4"/>
      <c r="AI1675" s="4"/>
      <c r="AJ1675" s="4"/>
      <c r="AK1675" s="4"/>
      <c r="AL1675" s="4"/>
      <c r="AM1675" s="4"/>
      <c r="AN1675" s="4"/>
      <c r="AO1675" s="4"/>
      <c r="AP1675" s="4"/>
      <c r="AQ1675" s="4"/>
      <c r="AR1675" s="4"/>
      <c r="AS1675" s="4"/>
      <c r="AT1675" s="4"/>
      <c r="AU1675" s="4"/>
      <c r="AV1675" s="4"/>
      <c r="AW1675" s="4"/>
      <c r="AX1675" s="4"/>
      <c r="AY1675" s="4"/>
      <c r="AZ1675" s="4"/>
      <c r="BA1675" s="4"/>
      <c r="BB1675" s="4"/>
      <c r="BC1675" s="4"/>
      <c r="BD1675" s="4"/>
      <c r="BE1675" s="4"/>
      <c r="BF1675" s="4"/>
      <c r="BG1675" s="4"/>
      <c r="BH1675" s="4"/>
      <c r="BI1675" s="4"/>
      <c r="BJ1675" s="4"/>
      <c r="BK1675" s="4"/>
      <c r="BL1675" s="4"/>
      <c r="BM1675" s="4"/>
      <c r="BN1675" s="4"/>
      <c r="BO1675" s="4"/>
      <c r="BP1675" s="4"/>
      <c r="BQ1675" s="4"/>
      <c r="BR1675" s="4"/>
      <c r="BS1675" s="4"/>
      <c r="BT1675" s="4"/>
      <c r="BU1675" s="4"/>
    </row>
    <row r="1676" spans="29:73" s="1" customFormat="1" x14ac:dyDescent="0.25">
      <c r="AC1676" s="4"/>
      <c r="AD1676" s="4"/>
      <c r="AE1676" s="4"/>
      <c r="AF1676" s="4"/>
      <c r="AG1676" s="4"/>
      <c r="AH1676" s="4"/>
      <c r="AI1676" s="4"/>
      <c r="AJ1676" s="4"/>
      <c r="AK1676" s="4"/>
      <c r="AL1676" s="4"/>
      <c r="AM1676" s="4"/>
      <c r="AN1676" s="4"/>
      <c r="AO1676" s="4"/>
      <c r="AP1676" s="4"/>
      <c r="AQ1676" s="4"/>
      <c r="AR1676" s="4"/>
      <c r="AS1676" s="4"/>
      <c r="AT1676" s="4"/>
      <c r="AU1676" s="4"/>
      <c r="AV1676" s="4"/>
      <c r="AW1676" s="4"/>
      <c r="AX1676" s="4"/>
      <c r="AY1676" s="4"/>
      <c r="AZ1676" s="4"/>
      <c r="BA1676" s="4"/>
      <c r="BB1676" s="4"/>
      <c r="BC1676" s="4"/>
      <c r="BD1676" s="4"/>
      <c r="BE1676" s="4"/>
      <c r="BF1676" s="4"/>
      <c r="BG1676" s="4"/>
      <c r="BH1676" s="4"/>
      <c r="BI1676" s="4"/>
      <c r="BJ1676" s="4"/>
      <c r="BK1676" s="4"/>
      <c r="BL1676" s="4"/>
      <c r="BM1676" s="4"/>
      <c r="BN1676" s="4"/>
      <c r="BO1676" s="4"/>
      <c r="BP1676" s="4"/>
      <c r="BQ1676" s="4"/>
      <c r="BR1676" s="4"/>
      <c r="BS1676" s="4"/>
      <c r="BT1676" s="4"/>
      <c r="BU1676" s="4"/>
    </row>
    <row r="1677" spans="29:73" s="1" customFormat="1" x14ac:dyDescent="0.25">
      <c r="AC1677" s="4"/>
      <c r="AD1677" s="4"/>
      <c r="AE1677" s="4"/>
      <c r="AF1677" s="4"/>
      <c r="AG1677" s="4"/>
      <c r="AH1677" s="4"/>
      <c r="AI1677" s="4"/>
      <c r="AJ1677" s="4"/>
      <c r="AK1677" s="4"/>
      <c r="AL1677" s="4"/>
      <c r="AM1677" s="4"/>
      <c r="AN1677" s="4"/>
      <c r="AO1677" s="4"/>
      <c r="AP1677" s="4"/>
      <c r="AQ1677" s="4"/>
      <c r="AR1677" s="4"/>
      <c r="AS1677" s="4"/>
      <c r="AT1677" s="4"/>
      <c r="AU1677" s="4"/>
      <c r="AV1677" s="4"/>
      <c r="AW1677" s="4"/>
      <c r="AX1677" s="4"/>
      <c r="AY1677" s="4"/>
      <c r="AZ1677" s="4"/>
      <c r="BA1677" s="4"/>
      <c r="BB1677" s="4"/>
      <c r="BC1677" s="4"/>
      <c r="BD1677" s="4"/>
      <c r="BE1677" s="4"/>
      <c r="BF1677" s="4"/>
      <c r="BG1677" s="4"/>
      <c r="BH1677" s="4"/>
      <c r="BI1677" s="4"/>
      <c r="BJ1677" s="4"/>
      <c r="BK1677" s="4"/>
      <c r="BL1677" s="4"/>
      <c r="BM1677" s="4"/>
      <c r="BN1677" s="4"/>
      <c r="BO1677" s="4"/>
      <c r="BP1677" s="4"/>
      <c r="BQ1677" s="4"/>
      <c r="BR1677" s="4"/>
      <c r="BS1677" s="4"/>
      <c r="BT1677" s="4"/>
      <c r="BU1677" s="4"/>
    </row>
    <row r="1678" spans="29:73" s="1" customFormat="1" x14ac:dyDescent="0.25">
      <c r="AC1678" s="4"/>
      <c r="AD1678" s="4"/>
      <c r="AE1678" s="4"/>
      <c r="AF1678" s="4"/>
      <c r="AG1678" s="4"/>
      <c r="AH1678" s="4"/>
      <c r="AI1678" s="4"/>
      <c r="AJ1678" s="4"/>
      <c r="AK1678" s="4"/>
      <c r="AL1678" s="4"/>
      <c r="AM1678" s="4"/>
      <c r="AN1678" s="4"/>
      <c r="AO1678" s="4"/>
      <c r="AP1678" s="4"/>
      <c r="AQ1678" s="4"/>
      <c r="AR1678" s="4"/>
      <c r="AS1678" s="4"/>
      <c r="AT1678" s="4"/>
      <c r="AU1678" s="4"/>
      <c r="AV1678" s="4"/>
      <c r="AW1678" s="4"/>
      <c r="AX1678" s="4"/>
      <c r="AY1678" s="4"/>
      <c r="AZ1678" s="4"/>
      <c r="BA1678" s="4"/>
      <c r="BB1678" s="4"/>
      <c r="BC1678" s="4"/>
      <c r="BD1678" s="4"/>
      <c r="BE1678" s="4"/>
      <c r="BF1678" s="4"/>
      <c r="BG1678" s="4"/>
      <c r="BH1678" s="4"/>
      <c r="BI1678" s="4"/>
      <c r="BJ1678" s="4"/>
      <c r="BK1678" s="4"/>
      <c r="BL1678" s="4"/>
      <c r="BM1678" s="4"/>
      <c r="BN1678" s="4"/>
      <c r="BO1678" s="4"/>
      <c r="BP1678" s="4"/>
      <c r="BQ1678" s="4"/>
      <c r="BR1678" s="4"/>
      <c r="BS1678" s="4"/>
      <c r="BT1678" s="4"/>
      <c r="BU1678" s="4"/>
    </row>
    <row r="1679" spans="29:73" s="1" customFormat="1" x14ac:dyDescent="0.25">
      <c r="AC1679" s="4"/>
      <c r="AD1679" s="4"/>
      <c r="AE1679" s="4"/>
      <c r="AF1679" s="4"/>
      <c r="AG1679" s="4"/>
      <c r="AH1679" s="4"/>
      <c r="AI1679" s="4"/>
      <c r="AJ1679" s="4"/>
      <c r="AK1679" s="4"/>
      <c r="AL1679" s="4"/>
      <c r="AM1679" s="4"/>
      <c r="AN1679" s="4"/>
      <c r="AO1679" s="4"/>
      <c r="AP1679" s="4"/>
      <c r="AQ1679" s="4"/>
      <c r="AR1679" s="4"/>
      <c r="AS1679" s="4"/>
      <c r="AT1679" s="4"/>
      <c r="AU1679" s="4"/>
      <c r="AV1679" s="4"/>
      <c r="AW1679" s="4"/>
      <c r="AX1679" s="4"/>
      <c r="AY1679" s="4"/>
      <c r="AZ1679" s="4"/>
      <c r="BA1679" s="4"/>
      <c r="BB1679" s="4"/>
      <c r="BC1679" s="4"/>
      <c r="BD1679" s="4"/>
      <c r="BE1679" s="4"/>
      <c r="BF1679" s="4"/>
      <c r="BG1679" s="4"/>
      <c r="BH1679" s="4"/>
      <c r="BI1679" s="4"/>
      <c r="BJ1679" s="4"/>
      <c r="BK1679" s="4"/>
      <c r="BL1679" s="4"/>
      <c r="BM1679" s="4"/>
      <c r="BN1679" s="4"/>
      <c r="BO1679" s="4"/>
      <c r="BP1679" s="4"/>
      <c r="BQ1679" s="4"/>
      <c r="BR1679" s="4"/>
      <c r="BS1679" s="4"/>
      <c r="BT1679" s="4"/>
      <c r="BU1679" s="4"/>
    </row>
    <row r="1680" spans="29:73" s="1" customFormat="1" x14ac:dyDescent="0.25">
      <c r="AC1680" s="4"/>
      <c r="AD1680" s="4"/>
      <c r="AE1680" s="4"/>
      <c r="AF1680" s="4"/>
      <c r="AG1680" s="4"/>
      <c r="AH1680" s="4"/>
      <c r="AI1680" s="4"/>
      <c r="AJ1680" s="4"/>
      <c r="AK1680" s="4"/>
      <c r="AL1680" s="4"/>
      <c r="AM1680" s="4"/>
      <c r="AN1680" s="4"/>
      <c r="AO1680" s="4"/>
      <c r="AP1680" s="4"/>
      <c r="AQ1680" s="4"/>
      <c r="AR1680" s="4"/>
      <c r="AS1680" s="4"/>
      <c r="AT1680" s="4"/>
      <c r="AU1680" s="4"/>
      <c r="AV1680" s="4"/>
      <c r="AW1680" s="4"/>
      <c r="AX1680" s="4"/>
      <c r="AY1680" s="4"/>
      <c r="AZ1680" s="4"/>
      <c r="BA1680" s="4"/>
      <c r="BB1680" s="4"/>
      <c r="BC1680" s="4"/>
      <c r="BD1680" s="4"/>
      <c r="BE1680" s="4"/>
      <c r="BF1680" s="4"/>
      <c r="BG1680" s="4"/>
      <c r="BH1680" s="4"/>
      <c r="BI1680" s="4"/>
      <c r="BJ1680" s="4"/>
      <c r="BK1680" s="4"/>
      <c r="BL1680" s="4"/>
      <c r="BM1680" s="4"/>
      <c r="BN1680" s="4"/>
      <c r="BO1680" s="4"/>
      <c r="BP1680" s="4"/>
      <c r="BQ1680" s="4"/>
      <c r="BR1680" s="4"/>
      <c r="BS1680" s="4"/>
      <c r="BT1680" s="4"/>
      <c r="BU1680" s="4"/>
    </row>
    <row r="1681" spans="29:73" s="1" customFormat="1" x14ac:dyDescent="0.25">
      <c r="AC1681" s="4"/>
      <c r="AD1681" s="4"/>
      <c r="AE1681" s="4"/>
      <c r="AF1681" s="4"/>
      <c r="AG1681" s="4"/>
      <c r="AH1681" s="4"/>
      <c r="AI1681" s="4"/>
      <c r="AJ1681" s="4"/>
      <c r="AK1681" s="4"/>
      <c r="AL1681" s="4"/>
      <c r="AM1681" s="4"/>
      <c r="AN1681" s="4"/>
      <c r="AO1681" s="4"/>
      <c r="AP1681" s="4"/>
      <c r="AQ1681" s="4"/>
      <c r="AR1681" s="4"/>
      <c r="AS1681" s="4"/>
      <c r="AT1681" s="4"/>
      <c r="AU1681" s="4"/>
      <c r="AV1681" s="4"/>
      <c r="AW1681" s="4"/>
      <c r="AX1681" s="4"/>
      <c r="AY1681" s="4"/>
      <c r="AZ1681" s="4"/>
      <c r="BA1681" s="4"/>
      <c r="BB1681" s="4"/>
      <c r="BC1681" s="4"/>
      <c r="BD1681" s="4"/>
      <c r="BE1681" s="4"/>
      <c r="BF1681" s="4"/>
      <c r="BG1681" s="4"/>
      <c r="BH1681" s="4"/>
      <c r="BI1681" s="4"/>
      <c r="BJ1681" s="4"/>
      <c r="BK1681" s="4"/>
      <c r="BL1681" s="4"/>
      <c r="BM1681" s="4"/>
      <c r="BN1681" s="4"/>
      <c r="BO1681" s="4"/>
      <c r="BP1681" s="4"/>
      <c r="BQ1681" s="4"/>
      <c r="BR1681" s="4"/>
      <c r="BS1681" s="4"/>
      <c r="BT1681" s="4"/>
      <c r="BU1681" s="4"/>
    </row>
    <row r="1682" spans="29:73" s="1" customFormat="1" x14ac:dyDescent="0.25">
      <c r="AC1682" s="4"/>
      <c r="AD1682" s="4"/>
      <c r="AE1682" s="4"/>
      <c r="AF1682" s="4"/>
      <c r="AG1682" s="4"/>
      <c r="AH1682" s="4"/>
      <c r="AI1682" s="4"/>
      <c r="AJ1682" s="4"/>
      <c r="AK1682" s="4"/>
      <c r="AL1682" s="4"/>
      <c r="AM1682" s="4"/>
      <c r="AN1682" s="4"/>
      <c r="AO1682" s="4"/>
      <c r="AP1682" s="4"/>
      <c r="AQ1682" s="4"/>
      <c r="AR1682" s="4"/>
      <c r="AS1682" s="4"/>
      <c r="AT1682" s="4"/>
      <c r="AU1682" s="4"/>
      <c r="AV1682" s="4"/>
      <c r="AW1682" s="4"/>
      <c r="AX1682" s="4"/>
      <c r="AY1682" s="4"/>
      <c r="AZ1682" s="4"/>
      <c r="BA1682" s="4"/>
      <c r="BB1682" s="4"/>
      <c r="BC1682" s="4"/>
      <c r="BD1682" s="4"/>
      <c r="BE1682" s="4"/>
      <c r="BF1682" s="4"/>
      <c r="BG1682" s="4"/>
      <c r="BH1682" s="4"/>
      <c r="BI1682" s="4"/>
      <c r="BJ1682" s="4"/>
      <c r="BK1682" s="4"/>
      <c r="BL1682" s="4"/>
      <c r="BM1682" s="4"/>
      <c r="BN1682" s="4"/>
      <c r="BO1682" s="4"/>
      <c r="BP1682" s="4"/>
      <c r="BQ1682" s="4"/>
      <c r="BR1682" s="4"/>
      <c r="BS1682" s="4"/>
      <c r="BT1682" s="4"/>
      <c r="BU1682" s="4"/>
    </row>
    <row r="1683" spans="29:73" s="1" customFormat="1" x14ac:dyDescent="0.25">
      <c r="AC1683" s="4"/>
      <c r="AD1683" s="4"/>
      <c r="AE1683" s="4"/>
      <c r="AF1683" s="4"/>
      <c r="AG1683" s="4"/>
      <c r="AH1683" s="4"/>
      <c r="AI1683" s="4"/>
      <c r="AJ1683" s="4"/>
      <c r="AK1683" s="4"/>
      <c r="AL1683" s="4"/>
      <c r="AM1683" s="4"/>
      <c r="AN1683" s="4"/>
      <c r="AO1683" s="4"/>
      <c r="AP1683" s="4"/>
      <c r="AQ1683" s="4"/>
      <c r="AR1683" s="4"/>
      <c r="AS1683" s="4"/>
      <c r="AT1683" s="4"/>
      <c r="AU1683" s="4"/>
      <c r="AV1683" s="4"/>
      <c r="AW1683" s="4"/>
      <c r="AX1683" s="4"/>
      <c r="AY1683" s="4"/>
      <c r="AZ1683" s="4"/>
      <c r="BA1683" s="4"/>
      <c r="BB1683" s="4"/>
      <c r="BC1683" s="4"/>
      <c r="BD1683" s="4"/>
      <c r="BE1683" s="4"/>
      <c r="BF1683" s="4"/>
      <c r="BG1683" s="4"/>
      <c r="BH1683" s="4"/>
      <c r="BI1683" s="4"/>
      <c r="BJ1683" s="4"/>
      <c r="BK1683" s="4"/>
      <c r="BL1683" s="4"/>
      <c r="BM1683" s="4"/>
      <c r="BN1683" s="4"/>
      <c r="BO1683" s="4"/>
      <c r="BP1683" s="4"/>
      <c r="BQ1683" s="4"/>
      <c r="BR1683" s="4"/>
      <c r="BS1683" s="4"/>
      <c r="BT1683" s="4"/>
      <c r="BU1683" s="4"/>
    </row>
    <row r="1684" spans="29:73" s="1" customFormat="1" x14ac:dyDescent="0.25">
      <c r="AC1684" s="4"/>
      <c r="AD1684" s="4"/>
      <c r="AE1684" s="4"/>
      <c r="AF1684" s="4"/>
      <c r="AG1684" s="4"/>
      <c r="AH1684" s="4"/>
      <c r="AI1684" s="4"/>
      <c r="AJ1684" s="4"/>
      <c r="AK1684" s="4"/>
      <c r="AL1684" s="4"/>
      <c r="AM1684" s="4"/>
      <c r="AN1684" s="4"/>
      <c r="AO1684" s="4"/>
      <c r="AP1684" s="4"/>
      <c r="AQ1684" s="4"/>
      <c r="AR1684" s="4"/>
      <c r="AS1684" s="4"/>
      <c r="AT1684" s="4"/>
      <c r="AU1684" s="4"/>
      <c r="AV1684" s="4"/>
      <c r="AW1684" s="4"/>
      <c r="AX1684" s="4"/>
      <c r="AY1684" s="4"/>
      <c r="AZ1684" s="4"/>
      <c r="BA1684" s="4"/>
      <c r="BB1684" s="4"/>
      <c r="BC1684" s="4"/>
      <c r="BD1684" s="4"/>
      <c r="BE1684" s="4"/>
      <c r="BF1684" s="4"/>
      <c r="BG1684" s="4"/>
      <c r="BH1684" s="4"/>
      <c r="BI1684" s="4"/>
      <c r="BJ1684" s="4"/>
      <c r="BK1684" s="4"/>
      <c r="BL1684" s="4"/>
      <c r="BM1684" s="4"/>
      <c r="BN1684" s="4"/>
      <c r="BO1684" s="4"/>
      <c r="BP1684" s="4"/>
      <c r="BQ1684" s="4"/>
      <c r="BR1684" s="4"/>
      <c r="BS1684" s="4"/>
      <c r="BT1684" s="4"/>
      <c r="BU1684" s="4"/>
    </row>
    <row r="1685" spans="29:73" s="1" customFormat="1" x14ac:dyDescent="0.25">
      <c r="AC1685" s="4"/>
      <c r="AD1685" s="4"/>
      <c r="AE1685" s="4"/>
      <c r="AF1685" s="4"/>
      <c r="AG1685" s="4"/>
      <c r="AH1685" s="4"/>
      <c r="AI1685" s="4"/>
      <c r="AJ1685" s="4"/>
      <c r="AK1685" s="4"/>
      <c r="AL1685" s="4"/>
      <c r="AM1685" s="4"/>
      <c r="AN1685" s="4"/>
      <c r="AO1685" s="4"/>
      <c r="AP1685" s="4"/>
      <c r="AQ1685" s="4"/>
      <c r="AR1685" s="4"/>
      <c r="AS1685" s="4"/>
      <c r="AT1685" s="4"/>
      <c r="AU1685" s="4"/>
      <c r="AV1685" s="4"/>
      <c r="AW1685" s="4"/>
      <c r="AX1685" s="4"/>
      <c r="AY1685" s="4"/>
      <c r="AZ1685" s="4"/>
      <c r="BA1685" s="4"/>
      <c r="BB1685" s="4"/>
      <c r="BC1685" s="4"/>
      <c r="BD1685" s="4"/>
      <c r="BE1685" s="4"/>
      <c r="BF1685" s="4"/>
      <c r="BG1685" s="4"/>
      <c r="BH1685" s="4"/>
      <c r="BI1685" s="4"/>
      <c r="BJ1685" s="4"/>
      <c r="BK1685" s="4"/>
      <c r="BL1685" s="4"/>
      <c r="BM1685" s="4"/>
      <c r="BN1685" s="4"/>
      <c r="BO1685" s="4"/>
      <c r="BP1685" s="4"/>
      <c r="BQ1685" s="4"/>
      <c r="BR1685" s="4"/>
      <c r="BS1685" s="4"/>
      <c r="BT1685" s="4"/>
      <c r="BU1685" s="4"/>
    </row>
    <row r="1686" spans="29:73" s="1" customFormat="1" x14ac:dyDescent="0.25">
      <c r="AC1686" s="4"/>
      <c r="AD1686" s="4"/>
      <c r="AE1686" s="4"/>
      <c r="AF1686" s="4"/>
      <c r="AG1686" s="4"/>
      <c r="AH1686" s="4"/>
      <c r="AI1686" s="4"/>
      <c r="AJ1686" s="4"/>
      <c r="AK1686" s="4"/>
      <c r="AL1686" s="4"/>
      <c r="AM1686" s="4"/>
      <c r="AN1686" s="4"/>
      <c r="AO1686" s="4"/>
      <c r="AP1686" s="4"/>
      <c r="AQ1686" s="4"/>
      <c r="AR1686" s="4"/>
      <c r="AS1686" s="4"/>
      <c r="AT1686" s="4"/>
      <c r="AU1686" s="4"/>
      <c r="AV1686" s="4"/>
      <c r="AW1686" s="4"/>
      <c r="AX1686" s="4"/>
      <c r="AY1686" s="4"/>
      <c r="AZ1686" s="4"/>
      <c r="BA1686" s="4"/>
      <c r="BB1686" s="4"/>
      <c r="BC1686" s="4"/>
      <c r="BD1686" s="4"/>
      <c r="BE1686" s="4"/>
      <c r="BF1686" s="4"/>
      <c r="BG1686" s="4"/>
      <c r="BH1686" s="4"/>
      <c r="BI1686" s="4"/>
      <c r="BJ1686" s="4"/>
      <c r="BK1686" s="4"/>
      <c r="BL1686" s="4"/>
      <c r="BM1686" s="4"/>
      <c r="BN1686" s="4"/>
      <c r="BO1686" s="4"/>
      <c r="BP1686" s="4"/>
      <c r="BQ1686" s="4"/>
      <c r="BR1686" s="4"/>
      <c r="BS1686" s="4"/>
      <c r="BT1686" s="4"/>
      <c r="BU1686" s="4"/>
    </row>
    <row r="1687" spans="29:73" s="1" customFormat="1" x14ac:dyDescent="0.25">
      <c r="AC1687" s="4"/>
      <c r="AD1687" s="4"/>
      <c r="AE1687" s="4"/>
      <c r="AF1687" s="4"/>
      <c r="AG1687" s="4"/>
      <c r="AH1687" s="4"/>
      <c r="AI1687" s="4"/>
      <c r="AJ1687" s="4"/>
      <c r="AK1687" s="4"/>
      <c r="AL1687" s="4"/>
      <c r="AM1687" s="4"/>
      <c r="AN1687" s="4"/>
      <c r="AO1687" s="4"/>
      <c r="AP1687" s="4"/>
      <c r="AQ1687" s="4"/>
      <c r="AR1687" s="4"/>
      <c r="AS1687" s="4"/>
      <c r="AT1687" s="4"/>
      <c r="AU1687" s="4"/>
      <c r="AV1687" s="4"/>
      <c r="AW1687" s="4"/>
      <c r="AX1687" s="4"/>
      <c r="AY1687" s="4"/>
      <c r="AZ1687" s="4"/>
      <c r="BA1687" s="4"/>
      <c r="BB1687" s="4"/>
      <c r="BC1687" s="4"/>
      <c r="BD1687" s="4"/>
      <c r="BE1687" s="4"/>
      <c r="BF1687" s="4"/>
      <c r="BG1687" s="4"/>
      <c r="BH1687" s="4"/>
      <c r="BI1687" s="4"/>
      <c r="BJ1687" s="4"/>
      <c r="BK1687" s="4"/>
      <c r="BL1687" s="4"/>
      <c r="BM1687" s="4"/>
      <c r="BN1687" s="4"/>
      <c r="BO1687" s="4"/>
      <c r="BP1687" s="4"/>
      <c r="BQ1687" s="4"/>
      <c r="BR1687" s="4"/>
      <c r="BS1687" s="4"/>
      <c r="BT1687" s="4"/>
      <c r="BU1687" s="4"/>
    </row>
    <row r="1688" spans="29:73" s="1" customFormat="1" x14ac:dyDescent="0.25">
      <c r="AC1688" s="4"/>
      <c r="AD1688" s="4"/>
      <c r="AE1688" s="4"/>
      <c r="AF1688" s="4"/>
      <c r="AG1688" s="4"/>
      <c r="AH1688" s="4"/>
      <c r="AI1688" s="4"/>
      <c r="AJ1688" s="4"/>
      <c r="AK1688" s="4"/>
      <c r="AL1688" s="4"/>
      <c r="AM1688" s="4"/>
      <c r="AN1688" s="4"/>
      <c r="AO1688" s="4"/>
      <c r="AP1688" s="4"/>
      <c r="AQ1688" s="4"/>
      <c r="AR1688" s="4"/>
      <c r="AS1688" s="4"/>
      <c r="AT1688" s="4"/>
      <c r="AU1688" s="4"/>
      <c r="AV1688" s="4"/>
      <c r="AW1688" s="4"/>
      <c r="AX1688" s="4"/>
      <c r="AY1688" s="4"/>
      <c r="AZ1688" s="4"/>
      <c r="BA1688" s="4"/>
      <c r="BB1688" s="4"/>
      <c r="BC1688" s="4"/>
      <c r="BD1688" s="4"/>
      <c r="BE1688" s="4"/>
      <c r="BF1688" s="4"/>
      <c r="BG1688" s="4"/>
      <c r="BH1688" s="4"/>
      <c r="BI1688" s="4"/>
      <c r="BJ1688" s="4"/>
      <c r="BK1688" s="4"/>
      <c r="BL1688" s="4"/>
      <c r="BM1688" s="4"/>
      <c r="BN1688" s="4"/>
      <c r="BO1688" s="4"/>
      <c r="BP1688" s="4"/>
      <c r="BQ1688" s="4"/>
      <c r="BR1688" s="4"/>
      <c r="BS1688" s="4"/>
      <c r="BT1688" s="4"/>
      <c r="BU1688" s="4"/>
    </row>
    <row r="1689" spans="29:73" s="1" customFormat="1" x14ac:dyDescent="0.25">
      <c r="AC1689" s="4"/>
      <c r="AD1689" s="4"/>
      <c r="AE1689" s="4"/>
      <c r="AF1689" s="4"/>
      <c r="AG1689" s="4"/>
      <c r="AH1689" s="4"/>
      <c r="AI1689" s="4"/>
      <c r="AJ1689" s="4"/>
      <c r="AK1689" s="4"/>
      <c r="AL1689" s="4"/>
      <c r="AM1689" s="4"/>
      <c r="AN1689" s="4"/>
      <c r="AO1689" s="4"/>
      <c r="AP1689" s="4"/>
      <c r="AQ1689" s="4"/>
      <c r="AR1689" s="4"/>
      <c r="AS1689" s="4"/>
      <c r="AT1689" s="4"/>
      <c r="AU1689" s="4"/>
      <c r="AV1689" s="4"/>
      <c r="AW1689" s="4"/>
      <c r="AX1689" s="4"/>
      <c r="AY1689" s="4"/>
      <c r="AZ1689" s="4"/>
      <c r="BA1689" s="4"/>
      <c r="BB1689" s="4"/>
      <c r="BC1689" s="4"/>
      <c r="BD1689" s="4"/>
      <c r="BE1689" s="4"/>
      <c r="BF1689" s="4"/>
      <c r="BG1689" s="4"/>
      <c r="BH1689" s="4"/>
      <c r="BI1689" s="4"/>
      <c r="BJ1689" s="4"/>
      <c r="BK1689" s="4"/>
      <c r="BL1689" s="4"/>
      <c r="BM1689" s="4"/>
      <c r="BN1689" s="4"/>
      <c r="BO1689" s="4"/>
      <c r="BP1689" s="4"/>
      <c r="BQ1689" s="4"/>
      <c r="BR1689" s="4"/>
      <c r="BS1689" s="4"/>
      <c r="BT1689" s="4"/>
      <c r="BU1689" s="4"/>
    </row>
    <row r="1690" spans="29:73" s="1" customFormat="1" x14ac:dyDescent="0.25">
      <c r="AC1690" s="4"/>
      <c r="AD1690" s="4"/>
      <c r="AE1690" s="4"/>
      <c r="AF1690" s="4"/>
      <c r="AG1690" s="4"/>
      <c r="AH1690" s="4"/>
      <c r="AI1690" s="4"/>
      <c r="AJ1690" s="4"/>
      <c r="AK1690" s="4"/>
      <c r="AL1690" s="4"/>
      <c r="AM1690" s="4"/>
      <c r="AN1690" s="4"/>
      <c r="AO1690" s="4"/>
      <c r="AP1690" s="4"/>
      <c r="AQ1690" s="4"/>
      <c r="AR1690" s="4"/>
      <c r="AS1690" s="4"/>
      <c r="AT1690" s="4"/>
      <c r="AU1690" s="4"/>
      <c r="AV1690" s="4"/>
      <c r="AW1690" s="4"/>
      <c r="AX1690" s="4"/>
      <c r="AY1690" s="4"/>
      <c r="AZ1690" s="4"/>
      <c r="BA1690" s="4"/>
      <c r="BB1690" s="4"/>
      <c r="BC1690" s="4"/>
      <c r="BD1690" s="4"/>
      <c r="BE1690" s="4"/>
      <c r="BF1690" s="4"/>
      <c r="BG1690" s="4"/>
      <c r="BH1690" s="4"/>
      <c r="BI1690" s="4"/>
      <c r="BJ1690" s="4"/>
      <c r="BK1690" s="4"/>
      <c r="BL1690" s="4"/>
      <c r="BM1690" s="4"/>
      <c r="BN1690" s="4"/>
      <c r="BO1690" s="4"/>
      <c r="BP1690" s="4"/>
      <c r="BQ1690" s="4"/>
      <c r="BR1690" s="4"/>
      <c r="BS1690" s="4"/>
      <c r="BT1690" s="4"/>
      <c r="BU1690" s="4"/>
    </row>
    <row r="1691" spans="29:73" s="1" customFormat="1" x14ac:dyDescent="0.25">
      <c r="AC1691" s="4"/>
      <c r="AD1691" s="4"/>
      <c r="AE1691" s="4"/>
      <c r="AF1691" s="4"/>
      <c r="AG1691" s="4"/>
      <c r="AH1691" s="4"/>
      <c r="AI1691" s="4"/>
      <c r="AJ1691" s="4"/>
      <c r="AK1691" s="4"/>
      <c r="AL1691" s="4"/>
      <c r="AM1691" s="4"/>
      <c r="AN1691" s="4"/>
      <c r="AO1691" s="4"/>
      <c r="AP1691" s="4"/>
      <c r="AQ1691" s="4"/>
      <c r="AR1691" s="4"/>
      <c r="AS1691" s="4"/>
      <c r="AT1691" s="4"/>
      <c r="AU1691" s="4"/>
      <c r="AV1691" s="4"/>
      <c r="AW1691" s="4"/>
      <c r="AX1691" s="4"/>
      <c r="AY1691" s="4"/>
      <c r="AZ1691" s="4"/>
      <c r="BA1691" s="4"/>
      <c r="BB1691" s="4"/>
      <c r="BC1691" s="4"/>
      <c r="BD1691" s="4"/>
      <c r="BE1691" s="4"/>
      <c r="BF1691" s="4"/>
      <c r="BG1691" s="4"/>
      <c r="BH1691" s="4"/>
      <c r="BI1691" s="4"/>
      <c r="BJ1691" s="4"/>
      <c r="BK1691" s="4"/>
      <c r="BL1691" s="4"/>
      <c r="BM1691" s="4"/>
      <c r="BN1691" s="4"/>
      <c r="BO1691" s="4"/>
      <c r="BP1691" s="4"/>
      <c r="BQ1691" s="4"/>
      <c r="BR1691" s="4"/>
      <c r="BS1691" s="4"/>
      <c r="BT1691" s="4"/>
      <c r="BU1691" s="4"/>
    </row>
    <row r="1692" spans="29:73" s="1" customFormat="1" x14ac:dyDescent="0.25">
      <c r="AC1692" s="4"/>
      <c r="AD1692" s="4"/>
      <c r="AE1692" s="4"/>
      <c r="AF1692" s="4"/>
      <c r="AG1692" s="4"/>
      <c r="AH1692" s="4"/>
      <c r="AI1692" s="4"/>
      <c r="AJ1692" s="4"/>
      <c r="AK1692" s="4"/>
      <c r="AL1692" s="4"/>
      <c r="AM1692" s="4"/>
      <c r="AN1692" s="4"/>
      <c r="AO1692" s="4"/>
      <c r="AP1692" s="4"/>
      <c r="AQ1692" s="4"/>
      <c r="AR1692" s="4"/>
      <c r="AS1692" s="4"/>
      <c r="AT1692" s="4"/>
      <c r="AU1692" s="4"/>
      <c r="AV1692" s="4"/>
      <c r="AW1692" s="4"/>
      <c r="AX1692" s="4"/>
      <c r="AY1692" s="4"/>
      <c r="AZ1692" s="4"/>
      <c r="BA1692" s="4"/>
      <c r="BB1692" s="4"/>
      <c r="BC1692" s="4"/>
      <c r="BD1692" s="4"/>
      <c r="BE1692" s="4"/>
      <c r="BF1692" s="4"/>
      <c r="BG1692" s="4"/>
      <c r="BH1692" s="4"/>
      <c r="BI1692" s="4"/>
      <c r="BJ1692" s="4"/>
      <c r="BK1692" s="4"/>
      <c r="BL1692" s="4"/>
      <c r="BM1692" s="4"/>
      <c r="BN1692" s="4"/>
      <c r="BO1692" s="4"/>
      <c r="BP1692" s="4"/>
      <c r="BQ1692" s="4"/>
      <c r="BR1692" s="4"/>
      <c r="BS1692" s="4"/>
      <c r="BT1692" s="4"/>
      <c r="BU1692" s="4"/>
    </row>
    <row r="1693" spans="29:73" s="1" customFormat="1" x14ac:dyDescent="0.25">
      <c r="AC1693" s="4"/>
      <c r="AD1693" s="4"/>
      <c r="AE1693" s="4"/>
      <c r="AF1693" s="4"/>
      <c r="AG1693" s="4"/>
      <c r="AH1693" s="4"/>
      <c r="AI1693" s="4"/>
      <c r="AJ1693" s="4"/>
      <c r="AK1693" s="4"/>
      <c r="AL1693" s="4"/>
      <c r="AM1693" s="4"/>
      <c r="AN1693" s="4"/>
      <c r="AO1693" s="4"/>
      <c r="AP1693" s="4"/>
      <c r="AQ1693" s="4"/>
      <c r="AR1693" s="4"/>
      <c r="AS1693" s="4"/>
      <c r="AT1693" s="4"/>
      <c r="AU1693" s="4"/>
      <c r="AV1693" s="4"/>
      <c r="AW1693" s="4"/>
      <c r="AX1693" s="4"/>
      <c r="AY1693" s="4"/>
      <c r="AZ1693" s="4"/>
      <c r="BA1693" s="4"/>
      <c r="BB1693" s="4"/>
      <c r="BC1693" s="4"/>
      <c r="BD1693" s="4"/>
      <c r="BE1693" s="4"/>
      <c r="BF1693" s="4"/>
      <c r="BG1693" s="4"/>
      <c r="BH1693" s="4"/>
      <c r="BI1693" s="4"/>
      <c r="BJ1693" s="4"/>
      <c r="BK1693" s="4"/>
      <c r="BL1693" s="4"/>
      <c r="BM1693" s="4"/>
      <c r="BN1693" s="4"/>
      <c r="BO1693" s="4"/>
      <c r="BP1693" s="4"/>
      <c r="BQ1693" s="4"/>
      <c r="BR1693" s="4"/>
      <c r="BS1693" s="4"/>
      <c r="BT1693" s="4"/>
      <c r="BU1693" s="4"/>
    </row>
    <row r="1694" spans="29:73" s="1" customFormat="1" x14ac:dyDescent="0.25">
      <c r="AC1694" s="4"/>
      <c r="AD1694" s="4"/>
      <c r="AE1694" s="4"/>
      <c r="AF1694" s="4"/>
      <c r="AG1694" s="4"/>
      <c r="AH1694" s="4"/>
      <c r="AI1694" s="4"/>
      <c r="AJ1694" s="4"/>
      <c r="AK1694" s="4"/>
      <c r="AL1694" s="4"/>
      <c r="AM1694" s="4"/>
      <c r="AN1694" s="4"/>
      <c r="AO1694" s="4"/>
      <c r="AP1694" s="4"/>
      <c r="AQ1694" s="4"/>
      <c r="AR1694" s="4"/>
      <c r="AS1694" s="4"/>
      <c r="AT1694" s="4"/>
      <c r="AU1694" s="4"/>
      <c r="AV1694" s="4"/>
      <c r="AW1694" s="4"/>
      <c r="AX1694" s="4"/>
      <c r="AY1694" s="4"/>
      <c r="AZ1694" s="4"/>
      <c r="BA1694" s="4"/>
      <c r="BB1694" s="4"/>
      <c r="BC1694" s="4"/>
      <c r="BD1694" s="4"/>
      <c r="BE1694" s="4"/>
      <c r="BF1694" s="4"/>
      <c r="BG1694" s="4"/>
      <c r="BH1694" s="4"/>
      <c r="BI1694" s="4"/>
      <c r="BJ1694" s="4"/>
      <c r="BK1694" s="4"/>
      <c r="BL1694" s="4"/>
      <c r="BM1694" s="4"/>
      <c r="BN1694" s="4"/>
      <c r="BO1694" s="4"/>
      <c r="BP1694" s="4"/>
      <c r="BQ1694" s="4"/>
      <c r="BR1694" s="4"/>
      <c r="BS1694" s="4"/>
      <c r="BT1694" s="4"/>
      <c r="BU1694" s="4"/>
    </row>
    <row r="1695" spans="29:73" s="1" customFormat="1" x14ac:dyDescent="0.25">
      <c r="AC1695" s="4"/>
      <c r="AD1695" s="4"/>
      <c r="AE1695" s="4"/>
      <c r="AF1695" s="4"/>
      <c r="AG1695" s="4"/>
      <c r="AH1695" s="4"/>
      <c r="AI1695" s="4"/>
      <c r="AJ1695" s="4"/>
      <c r="AK1695" s="4"/>
      <c r="AL1695" s="4"/>
      <c r="AM1695" s="4"/>
      <c r="AN1695" s="4"/>
      <c r="AO1695" s="4"/>
      <c r="AP1695" s="4"/>
      <c r="AQ1695" s="4"/>
      <c r="AR1695" s="4"/>
      <c r="AS1695" s="4"/>
      <c r="AT1695" s="4"/>
      <c r="AU1695" s="4"/>
      <c r="AV1695" s="4"/>
      <c r="AW1695" s="4"/>
      <c r="AX1695" s="4"/>
      <c r="AY1695" s="4"/>
      <c r="AZ1695" s="4"/>
      <c r="BA1695" s="4"/>
      <c r="BB1695" s="4"/>
      <c r="BC1695" s="4"/>
      <c r="BD1695" s="4"/>
      <c r="BE1695" s="4"/>
      <c r="BF1695" s="4"/>
      <c r="BG1695" s="4"/>
      <c r="BH1695" s="4"/>
      <c r="BI1695" s="4"/>
      <c r="BJ1695" s="4"/>
      <c r="BK1695" s="4"/>
      <c r="BL1695" s="4"/>
      <c r="BM1695" s="4"/>
      <c r="BN1695" s="4"/>
      <c r="BO1695" s="4"/>
      <c r="BP1695" s="4"/>
      <c r="BQ1695" s="4"/>
      <c r="BR1695" s="4"/>
      <c r="BS1695" s="4"/>
      <c r="BT1695" s="4"/>
      <c r="BU1695" s="4"/>
    </row>
    <row r="1696" spans="29:73" s="1" customFormat="1" x14ac:dyDescent="0.25">
      <c r="AC1696" s="4"/>
      <c r="AD1696" s="4"/>
      <c r="AE1696" s="4"/>
      <c r="AF1696" s="4"/>
      <c r="AG1696" s="4"/>
      <c r="AH1696" s="4"/>
      <c r="AI1696" s="4"/>
      <c r="AJ1696" s="4"/>
      <c r="AK1696" s="4"/>
      <c r="AL1696" s="4"/>
      <c r="AM1696" s="4"/>
      <c r="AN1696" s="4"/>
      <c r="AO1696" s="4"/>
      <c r="AP1696" s="4"/>
      <c r="AQ1696" s="4"/>
      <c r="AR1696" s="4"/>
      <c r="AS1696" s="4"/>
      <c r="AT1696" s="4"/>
      <c r="AU1696" s="4"/>
      <c r="AV1696" s="4"/>
      <c r="AW1696" s="4"/>
      <c r="AX1696" s="4"/>
      <c r="AY1696" s="4"/>
      <c r="AZ1696" s="4"/>
      <c r="BA1696" s="4"/>
      <c r="BB1696" s="4"/>
      <c r="BC1696" s="4"/>
      <c r="BD1696" s="4"/>
      <c r="BE1696" s="4"/>
      <c r="BF1696" s="4"/>
      <c r="BG1696" s="4"/>
      <c r="BH1696" s="4"/>
      <c r="BI1696" s="4"/>
      <c r="BJ1696" s="4"/>
      <c r="BK1696" s="4"/>
      <c r="BL1696" s="4"/>
      <c r="BM1696" s="4"/>
      <c r="BN1696" s="4"/>
      <c r="BO1696" s="4"/>
      <c r="BP1696" s="4"/>
      <c r="BQ1696" s="4"/>
      <c r="BR1696" s="4"/>
      <c r="BS1696" s="4"/>
      <c r="BT1696" s="4"/>
      <c r="BU1696" s="4"/>
    </row>
    <row r="1697" spans="29:73" s="1" customFormat="1" x14ac:dyDescent="0.25">
      <c r="AC1697" s="4"/>
      <c r="AD1697" s="4"/>
      <c r="AE1697" s="4"/>
      <c r="AF1697" s="4"/>
      <c r="AG1697" s="4"/>
      <c r="AH1697" s="4"/>
      <c r="AI1697" s="4"/>
      <c r="AJ1697" s="4"/>
      <c r="AK1697" s="4"/>
      <c r="AL1697" s="4"/>
      <c r="AM1697" s="4"/>
      <c r="AN1697" s="4"/>
      <c r="AO1697" s="4"/>
      <c r="AP1697" s="4"/>
      <c r="AQ1697" s="4"/>
      <c r="AR1697" s="4"/>
      <c r="AS1697" s="4"/>
      <c r="AT1697" s="4"/>
      <c r="AU1697" s="4"/>
      <c r="AV1697" s="4"/>
      <c r="AW1697" s="4"/>
      <c r="AX1697" s="4"/>
      <c r="AY1697" s="4"/>
      <c r="AZ1697" s="4"/>
      <c r="BA1697" s="4"/>
      <c r="BB1697" s="4"/>
      <c r="BC1697" s="4"/>
      <c r="BD1697" s="4"/>
      <c r="BE1697" s="4"/>
      <c r="BF1697" s="4"/>
      <c r="BG1697" s="4"/>
      <c r="BH1697" s="4"/>
      <c r="BI1697" s="4"/>
      <c r="BJ1697" s="4"/>
      <c r="BK1697" s="4"/>
      <c r="BL1697" s="4"/>
      <c r="BM1697" s="4"/>
      <c r="BN1697" s="4"/>
      <c r="BO1697" s="4"/>
      <c r="BP1697" s="4"/>
      <c r="BQ1697" s="4"/>
      <c r="BR1697" s="4"/>
      <c r="BS1697" s="4"/>
      <c r="BT1697" s="4"/>
      <c r="BU1697" s="4"/>
    </row>
    <row r="1698" spans="29:73" s="1" customFormat="1" x14ac:dyDescent="0.25">
      <c r="AC1698" s="4"/>
      <c r="AD1698" s="4"/>
      <c r="AE1698" s="4"/>
      <c r="AF1698" s="4"/>
      <c r="AG1698" s="4"/>
      <c r="AH1698" s="4"/>
      <c r="AI1698" s="4"/>
      <c r="AJ1698" s="4"/>
      <c r="AK1698" s="4"/>
      <c r="AL1698" s="4"/>
      <c r="AM1698" s="4"/>
      <c r="AN1698" s="4"/>
      <c r="AO1698" s="4"/>
      <c r="AP1698" s="4"/>
      <c r="AQ1698" s="4"/>
      <c r="AR1698" s="4"/>
      <c r="AS1698" s="4"/>
      <c r="AT1698" s="4"/>
      <c r="AU1698" s="4"/>
      <c r="AV1698" s="4"/>
      <c r="AW1698" s="4"/>
      <c r="AX1698" s="4"/>
      <c r="AY1698" s="4"/>
      <c r="AZ1698" s="4"/>
      <c r="BA1698" s="4"/>
      <c r="BB1698" s="4"/>
      <c r="BC1698" s="4"/>
      <c r="BD1698" s="4"/>
      <c r="BE1698" s="4"/>
      <c r="BF1698" s="4"/>
      <c r="BG1698" s="4"/>
      <c r="BH1698" s="4"/>
      <c r="BI1698" s="4"/>
      <c r="BJ1698" s="4"/>
      <c r="BK1698" s="4"/>
      <c r="BL1698" s="4"/>
      <c r="BM1698" s="4"/>
      <c r="BN1698" s="4"/>
      <c r="BO1698" s="4"/>
      <c r="BP1698" s="4"/>
      <c r="BQ1698" s="4"/>
      <c r="BR1698" s="4"/>
      <c r="BS1698" s="4"/>
      <c r="BT1698" s="4"/>
      <c r="BU1698" s="4"/>
    </row>
    <row r="1699" spans="29:73" s="1" customFormat="1" x14ac:dyDescent="0.25">
      <c r="AC1699" s="4"/>
      <c r="AD1699" s="4"/>
      <c r="AE1699" s="4"/>
      <c r="AF1699" s="4"/>
      <c r="AG1699" s="4"/>
      <c r="AH1699" s="4"/>
      <c r="AI1699" s="4"/>
      <c r="AJ1699" s="4"/>
      <c r="AK1699" s="4"/>
      <c r="AL1699" s="4"/>
      <c r="AM1699" s="4"/>
      <c r="AN1699" s="4"/>
      <c r="AO1699" s="4"/>
      <c r="AP1699" s="4"/>
      <c r="AQ1699" s="4"/>
      <c r="AR1699" s="4"/>
      <c r="AS1699" s="4"/>
      <c r="AT1699" s="4"/>
      <c r="AU1699" s="4"/>
      <c r="AV1699" s="4"/>
      <c r="AW1699" s="4"/>
      <c r="AX1699" s="4"/>
      <c r="AY1699" s="4"/>
      <c r="AZ1699" s="4"/>
      <c r="BA1699" s="4"/>
      <c r="BB1699" s="4"/>
      <c r="BC1699" s="4"/>
      <c r="BD1699" s="4"/>
      <c r="BE1699" s="4"/>
      <c r="BF1699" s="4"/>
      <c r="BG1699" s="4"/>
      <c r="BH1699" s="4"/>
      <c r="BI1699" s="4"/>
      <c r="BJ1699" s="4"/>
      <c r="BK1699" s="4"/>
      <c r="BL1699" s="4"/>
      <c r="BM1699" s="4"/>
      <c r="BN1699" s="4"/>
      <c r="BO1699" s="4"/>
      <c r="BP1699" s="4"/>
      <c r="BQ1699" s="4"/>
      <c r="BR1699" s="4"/>
      <c r="BS1699" s="4"/>
      <c r="BT1699" s="4"/>
      <c r="BU1699" s="4"/>
    </row>
    <row r="1700" spans="29:73" s="1" customFormat="1" x14ac:dyDescent="0.25">
      <c r="AC1700" s="4"/>
      <c r="AD1700" s="4"/>
      <c r="AE1700" s="4"/>
      <c r="AF1700" s="4"/>
      <c r="AG1700" s="4"/>
      <c r="AH1700" s="4"/>
      <c r="AI1700" s="4"/>
      <c r="AJ1700" s="4"/>
      <c r="AK1700" s="4"/>
      <c r="AL1700" s="4"/>
      <c r="AM1700" s="4"/>
      <c r="AN1700" s="4"/>
      <c r="AO1700" s="4"/>
      <c r="AP1700" s="4"/>
      <c r="AQ1700" s="4"/>
      <c r="AR1700" s="4"/>
      <c r="AS1700" s="4"/>
      <c r="AT1700" s="4"/>
      <c r="AU1700" s="4"/>
      <c r="AV1700" s="4"/>
      <c r="AW1700" s="4"/>
      <c r="AX1700" s="4"/>
      <c r="AY1700" s="4"/>
      <c r="AZ1700" s="4"/>
      <c r="BA1700" s="4"/>
      <c r="BB1700" s="4"/>
      <c r="BC1700" s="4"/>
      <c r="BD1700" s="4"/>
      <c r="BE1700" s="4"/>
      <c r="BF1700" s="4"/>
      <c r="BG1700" s="4"/>
      <c r="BH1700" s="4"/>
      <c r="BI1700" s="4"/>
      <c r="BJ1700" s="4"/>
      <c r="BK1700" s="4"/>
      <c r="BL1700" s="4"/>
      <c r="BM1700" s="4"/>
      <c r="BN1700" s="4"/>
      <c r="BO1700" s="4"/>
      <c r="BP1700" s="4"/>
      <c r="BQ1700" s="4"/>
      <c r="BR1700" s="4"/>
      <c r="BS1700" s="4"/>
      <c r="BT1700" s="4"/>
      <c r="BU1700" s="4"/>
    </row>
    <row r="1701" spans="29:73" s="1" customFormat="1" x14ac:dyDescent="0.25">
      <c r="AC1701" s="4"/>
      <c r="AD1701" s="4"/>
      <c r="AE1701" s="4"/>
      <c r="AF1701" s="4"/>
      <c r="AG1701" s="4"/>
      <c r="AH1701" s="4"/>
      <c r="AI1701" s="4"/>
      <c r="AJ1701" s="4"/>
      <c r="AK1701" s="4"/>
      <c r="AL1701" s="4"/>
      <c r="AM1701" s="4"/>
      <c r="AN1701" s="4"/>
      <c r="AO1701" s="4"/>
      <c r="AP1701" s="4"/>
      <c r="AQ1701" s="4"/>
      <c r="AR1701" s="4"/>
      <c r="AS1701" s="4"/>
      <c r="AT1701" s="4"/>
      <c r="AU1701" s="4"/>
      <c r="AV1701" s="4"/>
      <c r="AW1701" s="4"/>
      <c r="AX1701" s="4"/>
      <c r="AY1701" s="4"/>
      <c r="AZ1701" s="4"/>
      <c r="BA1701" s="4"/>
      <c r="BB1701" s="4"/>
      <c r="BC1701" s="4"/>
      <c r="BD1701" s="4"/>
      <c r="BE1701" s="4"/>
      <c r="BF1701" s="4"/>
      <c r="BG1701" s="4"/>
      <c r="BH1701" s="4"/>
      <c r="BI1701" s="4"/>
      <c r="BJ1701" s="4"/>
      <c r="BK1701" s="4"/>
      <c r="BL1701" s="4"/>
      <c r="BM1701" s="4"/>
      <c r="BN1701" s="4"/>
      <c r="BO1701" s="4"/>
      <c r="BP1701" s="4"/>
      <c r="BQ1701" s="4"/>
      <c r="BR1701" s="4"/>
      <c r="BS1701" s="4"/>
      <c r="BT1701" s="4"/>
      <c r="BU1701" s="4"/>
    </row>
    <row r="1702" spans="29:73" s="1" customFormat="1" x14ac:dyDescent="0.25">
      <c r="AC1702" s="4"/>
      <c r="AD1702" s="4"/>
      <c r="AE1702" s="4"/>
      <c r="AF1702" s="4"/>
      <c r="AG1702" s="4"/>
      <c r="AH1702" s="4"/>
      <c r="AI1702" s="4"/>
      <c r="AJ1702" s="4"/>
      <c r="AK1702" s="4"/>
      <c r="AL1702" s="4"/>
      <c r="AM1702" s="4"/>
      <c r="AN1702" s="4"/>
      <c r="AO1702" s="4"/>
      <c r="AP1702" s="4"/>
      <c r="AQ1702" s="4"/>
      <c r="AR1702" s="4"/>
      <c r="AS1702" s="4"/>
      <c r="AT1702" s="4"/>
      <c r="AU1702" s="4"/>
      <c r="AV1702" s="4"/>
      <c r="AW1702" s="4"/>
      <c r="AX1702" s="4"/>
      <c r="AY1702" s="4"/>
      <c r="AZ1702" s="4"/>
      <c r="BA1702" s="4"/>
      <c r="BB1702" s="4"/>
      <c r="BC1702" s="4"/>
      <c r="BD1702" s="4"/>
      <c r="BE1702" s="4"/>
      <c r="BF1702" s="4"/>
      <c r="BG1702" s="4"/>
      <c r="BH1702" s="4"/>
      <c r="BI1702" s="4"/>
      <c r="BJ1702" s="4"/>
      <c r="BK1702" s="4"/>
      <c r="BL1702" s="4"/>
      <c r="BM1702" s="4"/>
      <c r="BN1702" s="4"/>
      <c r="BO1702" s="4"/>
      <c r="BP1702" s="4"/>
      <c r="BQ1702" s="4"/>
      <c r="BR1702" s="4"/>
      <c r="BS1702" s="4"/>
      <c r="BT1702" s="4"/>
      <c r="BU1702" s="4"/>
    </row>
    <row r="1703" spans="29:73" s="1" customFormat="1" x14ac:dyDescent="0.25">
      <c r="AC1703" s="4"/>
      <c r="AD1703" s="4"/>
      <c r="AE1703" s="4"/>
      <c r="AF1703" s="4"/>
      <c r="AG1703" s="4"/>
      <c r="AH1703" s="4"/>
      <c r="AI1703" s="4"/>
      <c r="AJ1703" s="4"/>
      <c r="AK1703" s="4"/>
      <c r="AL1703" s="4"/>
      <c r="AM1703" s="4"/>
      <c r="AN1703" s="4"/>
      <c r="AO1703" s="4"/>
      <c r="AP1703" s="4"/>
      <c r="AQ1703" s="4"/>
      <c r="AR1703" s="4"/>
      <c r="AS1703" s="4"/>
      <c r="AT1703" s="4"/>
      <c r="AU1703" s="4"/>
      <c r="AV1703" s="4"/>
      <c r="AW1703" s="4"/>
      <c r="AX1703" s="4"/>
      <c r="AY1703" s="4"/>
      <c r="AZ1703" s="4"/>
      <c r="BA1703" s="4"/>
      <c r="BB1703" s="4"/>
      <c r="BC1703" s="4"/>
      <c r="BD1703" s="4"/>
      <c r="BE1703" s="4"/>
      <c r="BF1703" s="4"/>
      <c r="BG1703" s="4"/>
      <c r="BH1703" s="4"/>
      <c r="BI1703" s="4"/>
      <c r="BJ1703" s="4"/>
      <c r="BK1703" s="4"/>
      <c r="BL1703" s="4"/>
      <c r="BM1703" s="4"/>
      <c r="BN1703" s="4"/>
      <c r="BO1703" s="4"/>
      <c r="BP1703" s="4"/>
      <c r="BQ1703" s="4"/>
      <c r="BR1703" s="4"/>
      <c r="BS1703" s="4"/>
      <c r="BT1703" s="4"/>
      <c r="BU1703" s="4"/>
    </row>
    <row r="1704" spans="29:73" s="1" customFormat="1" x14ac:dyDescent="0.25">
      <c r="AC1704" s="4"/>
      <c r="AD1704" s="4"/>
      <c r="AE1704" s="4"/>
      <c r="AF1704" s="4"/>
      <c r="AG1704" s="4"/>
      <c r="AH1704" s="4"/>
      <c r="AI1704" s="4"/>
      <c r="AJ1704" s="4"/>
      <c r="AK1704" s="4"/>
      <c r="AL1704" s="4"/>
      <c r="AM1704" s="4"/>
      <c r="AN1704" s="4"/>
      <c r="AO1704" s="4"/>
      <c r="AP1704" s="4"/>
      <c r="AQ1704" s="4"/>
      <c r="AR1704" s="4"/>
      <c r="AS1704" s="4"/>
      <c r="AT1704" s="4"/>
      <c r="AU1704" s="4"/>
      <c r="AV1704" s="4"/>
      <c r="AW1704" s="4"/>
      <c r="AX1704" s="4"/>
      <c r="AY1704" s="4"/>
      <c r="AZ1704" s="4"/>
      <c r="BA1704" s="4"/>
      <c r="BB1704" s="4"/>
      <c r="BC1704" s="4"/>
      <c r="BD1704" s="4"/>
      <c r="BE1704" s="4"/>
      <c r="BF1704" s="4"/>
      <c r="BG1704" s="4"/>
      <c r="BH1704" s="4"/>
      <c r="BI1704" s="4"/>
      <c r="BJ1704" s="4"/>
      <c r="BK1704" s="4"/>
      <c r="BL1704" s="4"/>
      <c r="BM1704" s="4"/>
      <c r="BN1704" s="4"/>
      <c r="BO1704" s="4"/>
      <c r="BP1704" s="4"/>
      <c r="BQ1704" s="4"/>
      <c r="BR1704" s="4"/>
      <c r="BS1704" s="4"/>
      <c r="BT1704" s="4"/>
      <c r="BU1704" s="4"/>
    </row>
    <row r="1705" spans="29:73" s="1" customFormat="1" x14ac:dyDescent="0.25">
      <c r="AC1705" s="4"/>
      <c r="AD1705" s="4"/>
      <c r="AE1705" s="4"/>
      <c r="AF1705" s="4"/>
      <c r="AG1705" s="4"/>
      <c r="AH1705" s="4"/>
      <c r="AI1705" s="4"/>
      <c r="AJ1705" s="4"/>
      <c r="AK1705" s="4"/>
      <c r="AL1705" s="4"/>
      <c r="AM1705" s="4"/>
      <c r="AN1705" s="4"/>
      <c r="AO1705" s="4"/>
      <c r="AP1705" s="4"/>
      <c r="AQ1705" s="4"/>
      <c r="AR1705" s="4"/>
      <c r="AS1705" s="4"/>
      <c r="AT1705" s="4"/>
      <c r="AU1705" s="4"/>
      <c r="AV1705" s="4"/>
      <c r="AW1705" s="4"/>
      <c r="AX1705" s="4"/>
      <c r="AY1705" s="4"/>
      <c r="AZ1705" s="4"/>
      <c r="BA1705" s="4"/>
      <c r="BB1705" s="4"/>
      <c r="BC1705" s="4"/>
      <c r="BD1705" s="4"/>
      <c r="BE1705" s="4"/>
      <c r="BF1705" s="4"/>
      <c r="BG1705" s="4"/>
      <c r="BH1705" s="4"/>
      <c r="BI1705" s="4"/>
      <c r="BJ1705" s="4"/>
      <c r="BK1705" s="4"/>
      <c r="BL1705" s="4"/>
      <c r="BM1705" s="4"/>
      <c r="BN1705" s="4"/>
      <c r="BO1705" s="4"/>
      <c r="BP1705" s="4"/>
      <c r="BQ1705" s="4"/>
      <c r="BR1705" s="4"/>
      <c r="BS1705" s="4"/>
      <c r="BT1705" s="4"/>
      <c r="BU1705" s="4"/>
    </row>
    <row r="1706" spans="29:73" s="1" customFormat="1" x14ac:dyDescent="0.25">
      <c r="AC1706" s="4"/>
      <c r="AD1706" s="4"/>
      <c r="AE1706" s="4"/>
      <c r="AF1706" s="4"/>
      <c r="AG1706" s="4"/>
      <c r="AH1706" s="4"/>
      <c r="AI1706" s="4"/>
      <c r="AJ1706" s="4"/>
      <c r="AK1706" s="4"/>
      <c r="AL1706" s="4"/>
      <c r="AM1706" s="4"/>
      <c r="AN1706" s="4"/>
      <c r="AO1706" s="4"/>
      <c r="AP1706" s="4"/>
      <c r="AQ1706" s="4"/>
      <c r="AR1706" s="4"/>
      <c r="AS1706" s="4"/>
      <c r="AT1706" s="4"/>
      <c r="AU1706" s="4"/>
      <c r="AV1706" s="4"/>
      <c r="AW1706" s="4"/>
      <c r="AX1706" s="4"/>
      <c r="AY1706" s="4"/>
      <c r="AZ1706" s="4"/>
      <c r="BA1706" s="4"/>
      <c r="BB1706" s="4"/>
      <c r="BC1706" s="4"/>
      <c r="BD1706" s="4"/>
      <c r="BE1706" s="4"/>
      <c r="BF1706" s="4"/>
      <c r="BG1706" s="4"/>
      <c r="BH1706" s="4"/>
      <c r="BI1706" s="4"/>
      <c r="BJ1706" s="4"/>
      <c r="BK1706" s="4"/>
      <c r="BL1706" s="4"/>
      <c r="BM1706" s="4"/>
      <c r="BN1706" s="4"/>
      <c r="BO1706" s="4"/>
      <c r="BP1706" s="4"/>
      <c r="BQ1706" s="4"/>
      <c r="BR1706" s="4"/>
      <c r="BS1706" s="4"/>
      <c r="BT1706" s="4"/>
      <c r="BU1706" s="4"/>
    </row>
    <row r="1707" spans="29:73" s="1" customFormat="1" x14ac:dyDescent="0.25">
      <c r="AC1707" s="4"/>
      <c r="AD1707" s="4"/>
      <c r="AE1707" s="4"/>
      <c r="AF1707" s="4"/>
      <c r="AG1707" s="4"/>
      <c r="AH1707" s="4"/>
      <c r="AI1707" s="4"/>
      <c r="AJ1707" s="4"/>
      <c r="AK1707" s="4"/>
      <c r="AL1707" s="4"/>
      <c r="AM1707" s="4"/>
      <c r="AN1707" s="4"/>
      <c r="AO1707" s="4"/>
      <c r="AP1707" s="4"/>
      <c r="AQ1707" s="4"/>
      <c r="AR1707" s="4"/>
      <c r="AS1707" s="4"/>
      <c r="AT1707" s="4"/>
      <c r="AU1707" s="4"/>
      <c r="AV1707" s="4"/>
      <c r="AW1707" s="4"/>
      <c r="AX1707" s="4"/>
      <c r="AY1707" s="4"/>
      <c r="AZ1707" s="4"/>
      <c r="BA1707" s="4"/>
      <c r="BB1707" s="4"/>
      <c r="BC1707" s="4"/>
      <c r="BD1707" s="4"/>
      <c r="BE1707" s="4"/>
      <c r="BF1707" s="4"/>
      <c r="BG1707" s="4"/>
      <c r="BH1707" s="4"/>
      <c r="BI1707" s="4"/>
      <c r="BJ1707" s="4"/>
      <c r="BK1707" s="4"/>
      <c r="BL1707" s="4"/>
      <c r="BM1707" s="4"/>
      <c r="BN1707" s="4"/>
      <c r="BO1707" s="4"/>
      <c r="BP1707" s="4"/>
      <c r="BQ1707" s="4"/>
      <c r="BR1707" s="4"/>
      <c r="BS1707" s="4"/>
      <c r="BT1707" s="4"/>
      <c r="BU1707" s="4"/>
    </row>
    <row r="1708" spans="29:73" s="1" customFormat="1" x14ac:dyDescent="0.25">
      <c r="AC1708" s="4"/>
      <c r="AD1708" s="4"/>
      <c r="AE1708" s="4"/>
      <c r="AF1708" s="4"/>
      <c r="AG1708" s="4"/>
      <c r="AH1708" s="4"/>
      <c r="AI1708" s="4"/>
      <c r="AJ1708" s="4"/>
      <c r="AK1708" s="4"/>
      <c r="AL1708" s="4"/>
      <c r="AM1708" s="4"/>
      <c r="AN1708" s="4"/>
      <c r="AO1708" s="4"/>
      <c r="AP1708" s="4"/>
      <c r="AQ1708" s="4"/>
      <c r="AR1708" s="4"/>
      <c r="AS1708" s="4"/>
      <c r="AT1708" s="4"/>
      <c r="AU1708" s="4"/>
      <c r="AV1708" s="4"/>
      <c r="AW1708" s="4"/>
      <c r="AX1708" s="4"/>
      <c r="AY1708" s="4"/>
      <c r="AZ1708" s="4"/>
      <c r="BA1708" s="4"/>
      <c r="BB1708" s="4"/>
      <c r="BC1708" s="4"/>
      <c r="BD1708" s="4"/>
      <c r="BE1708" s="4"/>
      <c r="BF1708" s="4"/>
      <c r="BG1708" s="4"/>
      <c r="BH1708" s="4"/>
      <c r="BI1708" s="4"/>
      <c r="BJ1708" s="4"/>
      <c r="BK1708" s="4"/>
      <c r="BL1708" s="4"/>
      <c r="BM1708" s="4"/>
      <c r="BN1708" s="4"/>
      <c r="BO1708" s="4"/>
      <c r="BP1708" s="4"/>
      <c r="BQ1708" s="4"/>
      <c r="BR1708" s="4"/>
      <c r="BS1708" s="4"/>
      <c r="BT1708" s="4"/>
      <c r="BU1708" s="4"/>
    </row>
    <row r="1709" spans="29:73" s="1" customFormat="1" x14ac:dyDescent="0.25">
      <c r="AC1709" s="4"/>
      <c r="AD1709" s="4"/>
      <c r="AE1709" s="4"/>
      <c r="AF1709" s="4"/>
      <c r="AG1709" s="4"/>
      <c r="AH1709" s="4"/>
      <c r="AI1709" s="4"/>
      <c r="AJ1709" s="4"/>
      <c r="AK1709" s="4"/>
      <c r="AL1709" s="4"/>
      <c r="AM1709" s="4"/>
      <c r="AN1709" s="4"/>
      <c r="AO1709" s="4"/>
      <c r="AP1709" s="4"/>
      <c r="AQ1709" s="4"/>
      <c r="AR1709" s="4"/>
      <c r="AS1709" s="4"/>
      <c r="AT1709" s="4"/>
      <c r="AU1709" s="4"/>
      <c r="AV1709" s="4"/>
      <c r="AW1709" s="4"/>
      <c r="AX1709" s="4"/>
      <c r="AY1709" s="4"/>
      <c r="AZ1709" s="4"/>
      <c r="BA1709" s="4"/>
      <c r="BB1709" s="4"/>
      <c r="BC1709" s="4"/>
      <c r="BD1709" s="4"/>
      <c r="BE1709" s="4"/>
      <c r="BF1709" s="4"/>
      <c r="BG1709" s="4"/>
      <c r="BH1709" s="4"/>
      <c r="BI1709" s="4"/>
      <c r="BJ1709" s="4"/>
      <c r="BK1709" s="4"/>
      <c r="BL1709" s="4"/>
      <c r="BM1709" s="4"/>
      <c r="BN1709" s="4"/>
      <c r="BO1709" s="4"/>
      <c r="BP1709" s="4"/>
      <c r="BQ1709" s="4"/>
      <c r="BR1709" s="4"/>
      <c r="BS1709" s="4"/>
      <c r="BT1709" s="4"/>
      <c r="BU1709" s="4"/>
    </row>
    <row r="1710" spans="29:73" s="1" customFormat="1" x14ac:dyDescent="0.25">
      <c r="AC1710" s="4"/>
      <c r="AD1710" s="4"/>
      <c r="AE1710" s="4"/>
      <c r="AF1710" s="4"/>
      <c r="AG1710" s="4"/>
      <c r="AH1710" s="4"/>
      <c r="AI1710" s="4"/>
      <c r="AJ1710" s="4"/>
      <c r="AK1710" s="4"/>
      <c r="AL1710" s="4"/>
      <c r="AM1710" s="4"/>
      <c r="AN1710" s="4"/>
      <c r="AO1710" s="4"/>
      <c r="AP1710" s="4"/>
      <c r="AQ1710" s="4"/>
      <c r="AR1710" s="4"/>
      <c r="AS1710" s="4"/>
      <c r="AT1710" s="4"/>
      <c r="AU1710" s="4"/>
      <c r="AV1710" s="4"/>
      <c r="AW1710" s="4"/>
      <c r="AX1710" s="4"/>
      <c r="AY1710" s="4"/>
      <c r="AZ1710" s="4"/>
      <c r="BA1710" s="4"/>
      <c r="BB1710" s="4"/>
      <c r="BC1710" s="4"/>
      <c r="BD1710" s="4"/>
      <c r="BE1710" s="4"/>
      <c r="BF1710" s="4"/>
      <c r="BG1710" s="4"/>
      <c r="BH1710" s="4"/>
      <c r="BI1710" s="4"/>
      <c r="BJ1710" s="4"/>
      <c r="BK1710" s="4"/>
      <c r="BL1710" s="4"/>
      <c r="BM1710" s="4"/>
      <c r="BN1710" s="4"/>
      <c r="BO1710" s="4"/>
      <c r="BP1710" s="4"/>
      <c r="BQ1710" s="4"/>
      <c r="BR1710" s="4"/>
      <c r="BS1710" s="4"/>
      <c r="BT1710" s="4"/>
      <c r="BU1710" s="4"/>
    </row>
    <row r="1711" spans="29:73" s="1" customFormat="1" x14ac:dyDescent="0.25">
      <c r="AC1711" s="4"/>
      <c r="AD1711" s="4"/>
      <c r="AE1711" s="4"/>
      <c r="AF1711" s="4"/>
      <c r="AG1711" s="4"/>
      <c r="AH1711" s="4"/>
      <c r="AI1711" s="4"/>
      <c r="AJ1711" s="4"/>
      <c r="AK1711" s="4"/>
      <c r="AL1711" s="4"/>
      <c r="AM1711" s="4"/>
      <c r="AN1711" s="4"/>
      <c r="AO1711" s="4"/>
      <c r="AP1711" s="4"/>
      <c r="AQ1711" s="4"/>
      <c r="AR1711" s="4"/>
      <c r="AS1711" s="4"/>
      <c r="AT1711" s="4"/>
      <c r="AU1711" s="4"/>
      <c r="AV1711" s="4"/>
      <c r="AW1711" s="4"/>
      <c r="AX1711" s="4"/>
      <c r="AY1711" s="4"/>
      <c r="AZ1711" s="4"/>
      <c r="BA1711" s="4"/>
      <c r="BB1711" s="4"/>
      <c r="BC1711" s="4"/>
      <c r="BD1711" s="4"/>
      <c r="BE1711" s="4"/>
      <c r="BF1711" s="4"/>
      <c r="BG1711" s="4"/>
      <c r="BH1711" s="4"/>
      <c r="BI1711" s="4"/>
      <c r="BJ1711" s="4"/>
      <c r="BK1711" s="4"/>
      <c r="BL1711" s="4"/>
      <c r="BM1711" s="4"/>
      <c r="BN1711" s="4"/>
      <c r="BO1711" s="4"/>
      <c r="BP1711" s="4"/>
      <c r="BQ1711" s="4"/>
      <c r="BR1711" s="4"/>
      <c r="BS1711" s="4"/>
      <c r="BT1711" s="4"/>
      <c r="BU1711" s="4"/>
    </row>
    <row r="1712" spans="29:73" s="1" customFormat="1" x14ac:dyDescent="0.25">
      <c r="AC1712" s="4"/>
      <c r="AD1712" s="4"/>
      <c r="AE1712" s="4"/>
      <c r="AF1712" s="4"/>
      <c r="AG1712" s="4"/>
      <c r="AH1712" s="4"/>
      <c r="AI1712" s="4"/>
      <c r="AJ1712" s="4"/>
      <c r="AK1712" s="4"/>
      <c r="AL1712" s="4"/>
      <c r="AM1712" s="4"/>
      <c r="AN1712" s="4"/>
      <c r="AO1712" s="4"/>
      <c r="AP1712" s="4"/>
      <c r="AQ1712" s="4"/>
      <c r="AR1712" s="4"/>
      <c r="AS1712" s="4"/>
      <c r="AT1712" s="4"/>
      <c r="AU1712" s="4"/>
      <c r="AV1712" s="4"/>
      <c r="AW1712" s="4"/>
      <c r="AX1712" s="4"/>
      <c r="AY1712" s="4"/>
      <c r="AZ1712" s="4"/>
      <c r="BA1712" s="4"/>
      <c r="BB1712" s="4"/>
      <c r="BC1712" s="4"/>
      <c r="BD1712" s="4"/>
      <c r="BE1712" s="4"/>
      <c r="BF1712" s="4"/>
      <c r="BG1712" s="4"/>
      <c r="BH1712" s="4"/>
      <c r="BI1712" s="4"/>
      <c r="BJ1712" s="4"/>
      <c r="BK1712" s="4"/>
      <c r="BL1712" s="4"/>
      <c r="BM1712" s="4"/>
      <c r="BN1712" s="4"/>
      <c r="BO1712" s="4"/>
      <c r="BP1712" s="4"/>
      <c r="BQ1712" s="4"/>
      <c r="BR1712" s="4"/>
      <c r="BS1712" s="4"/>
      <c r="BT1712" s="4"/>
      <c r="BU1712" s="4"/>
    </row>
    <row r="1713" spans="29:73" s="1" customFormat="1" x14ac:dyDescent="0.25">
      <c r="AC1713" s="4"/>
      <c r="AD1713" s="4"/>
      <c r="AE1713" s="4"/>
      <c r="AF1713" s="4"/>
      <c r="AG1713" s="4"/>
      <c r="AH1713" s="4"/>
      <c r="AI1713" s="4"/>
      <c r="AJ1713" s="4"/>
      <c r="AK1713" s="4"/>
      <c r="AL1713" s="4"/>
      <c r="AM1713" s="4"/>
      <c r="AN1713" s="4"/>
      <c r="AO1713" s="4"/>
      <c r="AP1713" s="4"/>
      <c r="AQ1713" s="4"/>
      <c r="AR1713" s="4"/>
      <c r="AS1713" s="4"/>
      <c r="AT1713" s="4"/>
      <c r="AU1713" s="4"/>
      <c r="AV1713" s="4"/>
      <c r="AW1713" s="4"/>
      <c r="AX1713" s="4"/>
      <c r="AY1713" s="4"/>
      <c r="AZ1713" s="4"/>
      <c r="BA1713" s="4"/>
      <c r="BB1713" s="4"/>
      <c r="BC1713" s="4"/>
      <c r="BD1713" s="4"/>
      <c r="BE1713" s="4"/>
      <c r="BF1713" s="4"/>
      <c r="BG1713" s="4"/>
      <c r="BH1713" s="4"/>
      <c r="BI1713" s="4"/>
      <c r="BJ1713" s="4"/>
      <c r="BK1713" s="4"/>
      <c r="BL1713" s="4"/>
      <c r="BM1713" s="4"/>
      <c r="BN1713" s="4"/>
      <c r="BO1713" s="4"/>
      <c r="BP1713" s="4"/>
      <c r="BQ1713" s="4"/>
      <c r="BR1713" s="4"/>
      <c r="BS1713" s="4"/>
      <c r="BT1713" s="4"/>
      <c r="BU1713" s="4"/>
    </row>
    <row r="1714" spans="29:73" s="1" customFormat="1" x14ac:dyDescent="0.25">
      <c r="AC1714" s="4"/>
      <c r="AD1714" s="4"/>
      <c r="AE1714" s="4"/>
      <c r="AF1714" s="4"/>
      <c r="AG1714" s="4"/>
      <c r="AH1714" s="4"/>
      <c r="AI1714" s="4"/>
      <c r="AJ1714" s="4"/>
      <c r="AK1714" s="4"/>
      <c r="AL1714" s="4"/>
      <c r="AM1714" s="4"/>
      <c r="AN1714" s="4"/>
      <c r="AO1714" s="4"/>
      <c r="AP1714" s="4"/>
      <c r="AQ1714" s="4"/>
      <c r="AR1714" s="4"/>
      <c r="AS1714" s="4"/>
      <c r="AT1714" s="4"/>
      <c r="AU1714" s="4"/>
      <c r="AV1714" s="4"/>
      <c r="AW1714" s="4"/>
      <c r="AX1714" s="4"/>
      <c r="AY1714" s="4"/>
      <c r="AZ1714" s="4"/>
      <c r="BA1714" s="4"/>
      <c r="BB1714" s="4"/>
      <c r="BC1714" s="4"/>
      <c r="BD1714" s="4"/>
      <c r="BE1714" s="4"/>
      <c r="BF1714" s="4"/>
      <c r="BG1714" s="4"/>
      <c r="BH1714" s="4"/>
      <c r="BI1714" s="4"/>
      <c r="BJ1714" s="4"/>
      <c r="BK1714" s="4"/>
      <c r="BL1714" s="4"/>
      <c r="BM1714" s="4"/>
      <c r="BN1714" s="4"/>
      <c r="BO1714" s="4"/>
      <c r="BP1714" s="4"/>
      <c r="BQ1714" s="4"/>
      <c r="BR1714" s="4"/>
      <c r="BS1714" s="4"/>
      <c r="BT1714" s="4"/>
      <c r="BU1714" s="4"/>
    </row>
    <row r="1715" spans="29:73" s="1" customFormat="1" x14ac:dyDescent="0.25">
      <c r="AC1715" s="4"/>
      <c r="AD1715" s="4"/>
      <c r="AE1715" s="4"/>
      <c r="AF1715" s="4"/>
      <c r="AG1715" s="4"/>
      <c r="AH1715" s="4"/>
      <c r="AI1715" s="4"/>
      <c r="AJ1715" s="4"/>
      <c r="AK1715" s="4"/>
      <c r="AL1715" s="4"/>
      <c r="AM1715" s="4"/>
      <c r="AN1715" s="4"/>
      <c r="AO1715" s="4"/>
      <c r="AP1715" s="4"/>
      <c r="AQ1715" s="4"/>
      <c r="AR1715" s="4"/>
      <c r="AS1715" s="4"/>
      <c r="AT1715" s="4"/>
      <c r="AU1715" s="4"/>
      <c r="AV1715" s="4"/>
      <c r="AW1715" s="4"/>
      <c r="AX1715" s="4"/>
      <c r="AY1715" s="4"/>
      <c r="AZ1715" s="4"/>
      <c r="BA1715" s="4"/>
      <c r="BB1715" s="4"/>
      <c r="BC1715" s="4"/>
      <c r="BD1715" s="4"/>
      <c r="BE1715" s="4"/>
      <c r="BF1715" s="4"/>
      <c r="BG1715" s="4"/>
      <c r="BH1715" s="4"/>
      <c r="BI1715" s="4"/>
      <c r="BJ1715" s="4"/>
      <c r="BK1715" s="4"/>
      <c r="BL1715" s="4"/>
      <c r="BM1715" s="4"/>
      <c r="BN1715" s="4"/>
      <c r="BO1715" s="4"/>
      <c r="BP1715" s="4"/>
      <c r="BQ1715" s="4"/>
      <c r="BR1715" s="4"/>
      <c r="BS1715" s="4"/>
      <c r="BT1715" s="4"/>
      <c r="BU1715" s="4"/>
    </row>
    <row r="1716" spans="29:73" s="1" customFormat="1" x14ac:dyDescent="0.25">
      <c r="AC1716" s="4"/>
      <c r="AD1716" s="4"/>
      <c r="AE1716" s="4"/>
      <c r="AF1716" s="4"/>
      <c r="AG1716" s="4"/>
      <c r="AH1716" s="4"/>
      <c r="AI1716" s="4"/>
      <c r="AJ1716" s="4"/>
      <c r="AK1716" s="4"/>
      <c r="AL1716" s="4"/>
      <c r="AM1716" s="4"/>
      <c r="AN1716" s="4"/>
      <c r="AO1716" s="4"/>
      <c r="AP1716" s="4"/>
      <c r="AQ1716" s="4"/>
      <c r="AR1716" s="4"/>
      <c r="AS1716" s="4"/>
      <c r="AT1716" s="4"/>
      <c r="AU1716" s="4"/>
      <c r="AV1716" s="4"/>
      <c r="AW1716" s="4"/>
      <c r="AX1716" s="4"/>
      <c r="AY1716" s="4"/>
      <c r="AZ1716" s="4"/>
      <c r="BA1716" s="4"/>
      <c r="BB1716" s="4"/>
      <c r="BC1716" s="4"/>
      <c r="BD1716" s="4"/>
      <c r="BE1716" s="4"/>
      <c r="BF1716" s="4"/>
      <c r="BG1716" s="4"/>
      <c r="BH1716" s="4"/>
      <c r="BI1716" s="4"/>
      <c r="BJ1716" s="4"/>
      <c r="BK1716" s="4"/>
      <c r="BL1716" s="4"/>
      <c r="BM1716" s="4"/>
      <c r="BN1716" s="4"/>
      <c r="BO1716" s="4"/>
      <c r="BP1716" s="4"/>
      <c r="BQ1716" s="4"/>
      <c r="BR1716" s="4"/>
      <c r="BS1716" s="4"/>
      <c r="BT1716" s="4"/>
      <c r="BU1716" s="4"/>
    </row>
    <row r="1717" spans="29:73" s="1" customFormat="1" x14ac:dyDescent="0.25">
      <c r="AC1717" s="4"/>
      <c r="AD1717" s="4"/>
      <c r="AE1717" s="4"/>
      <c r="AF1717" s="4"/>
      <c r="AG1717" s="4"/>
      <c r="AH1717" s="4"/>
      <c r="AI1717" s="4"/>
      <c r="AJ1717" s="4"/>
      <c r="AK1717" s="4"/>
      <c r="AL1717" s="4"/>
      <c r="AM1717" s="4"/>
      <c r="AN1717" s="4"/>
      <c r="AO1717" s="4"/>
      <c r="AP1717" s="4"/>
      <c r="AQ1717" s="4"/>
      <c r="AR1717" s="4"/>
      <c r="AS1717" s="4"/>
      <c r="AT1717" s="4"/>
      <c r="AU1717" s="4"/>
      <c r="AV1717" s="4"/>
      <c r="AW1717" s="4"/>
      <c r="AX1717" s="4"/>
      <c r="AY1717" s="4"/>
      <c r="AZ1717" s="4"/>
      <c r="BA1717" s="4"/>
      <c r="BB1717" s="4"/>
      <c r="BC1717" s="4"/>
      <c r="BD1717" s="4"/>
      <c r="BE1717" s="4"/>
      <c r="BF1717" s="4"/>
      <c r="BG1717" s="4"/>
      <c r="BH1717" s="4"/>
      <c r="BI1717" s="4"/>
      <c r="BJ1717" s="4"/>
      <c r="BK1717" s="4"/>
      <c r="BL1717" s="4"/>
      <c r="BM1717" s="4"/>
      <c r="BN1717" s="4"/>
      <c r="BO1717" s="4"/>
      <c r="BP1717" s="4"/>
      <c r="BQ1717" s="4"/>
      <c r="BR1717" s="4"/>
      <c r="BS1717" s="4"/>
      <c r="BT1717" s="4"/>
      <c r="BU1717" s="4"/>
    </row>
    <row r="1718" spans="29:73" s="1" customFormat="1" x14ac:dyDescent="0.25">
      <c r="AC1718" s="4"/>
      <c r="AD1718" s="4"/>
      <c r="AE1718" s="4"/>
      <c r="AF1718" s="4"/>
      <c r="AG1718" s="4"/>
      <c r="AH1718" s="4"/>
      <c r="AI1718" s="4"/>
      <c r="AJ1718" s="4"/>
      <c r="AK1718" s="4"/>
      <c r="AL1718" s="4"/>
      <c r="AM1718" s="4"/>
      <c r="AN1718" s="4"/>
      <c r="AO1718" s="4"/>
      <c r="AP1718" s="4"/>
      <c r="AQ1718" s="4"/>
      <c r="AR1718" s="4"/>
      <c r="AS1718" s="4"/>
      <c r="AT1718" s="4"/>
      <c r="AU1718" s="4"/>
      <c r="AV1718" s="4"/>
      <c r="AW1718" s="4"/>
      <c r="AX1718" s="4"/>
      <c r="AY1718" s="4"/>
      <c r="AZ1718" s="4"/>
      <c r="BA1718" s="4"/>
      <c r="BB1718" s="4"/>
      <c r="BC1718" s="4"/>
      <c r="BD1718" s="4"/>
      <c r="BE1718" s="4"/>
      <c r="BF1718" s="4"/>
      <c r="BG1718" s="4"/>
      <c r="BH1718" s="4"/>
      <c r="BI1718" s="4"/>
      <c r="BJ1718" s="4"/>
      <c r="BK1718" s="4"/>
      <c r="BL1718" s="4"/>
      <c r="BM1718" s="4"/>
      <c r="BN1718" s="4"/>
      <c r="BO1718" s="4"/>
      <c r="BP1718" s="4"/>
      <c r="BQ1718" s="4"/>
      <c r="BR1718" s="4"/>
      <c r="BS1718" s="4"/>
      <c r="BT1718" s="4"/>
      <c r="BU1718" s="4"/>
    </row>
    <row r="1719" spans="29:73" s="1" customFormat="1" x14ac:dyDescent="0.25">
      <c r="AC1719" s="4"/>
      <c r="AD1719" s="4"/>
      <c r="AE1719" s="4"/>
      <c r="AF1719" s="4"/>
      <c r="AG1719" s="4"/>
      <c r="AH1719" s="4"/>
      <c r="AI1719" s="4"/>
      <c r="AJ1719" s="4"/>
      <c r="AK1719" s="4"/>
      <c r="AL1719" s="4"/>
      <c r="AM1719" s="4"/>
      <c r="AN1719" s="4"/>
      <c r="AO1719" s="4"/>
      <c r="AP1719" s="4"/>
      <c r="AQ1719" s="4"/>
      <c r="AR1719" s="4"/>
      <c r="AS1719" s="4"/>
      <c r="AT1719" s="4"/>
      <c r="AU1719" s="4"/>
      <c r="AV1719" s="4"/>
      <c r="AW1719" s="4"/>
      <c r="AX1719" s="4"/>
      <c r="AY1719" s="4"/>
      <c r="AZ1719" s="4"/>
      <c r="BA1719" s="4"/>
      <c r="BB1719" s="4"/>
      <c r="BC1719" s="4"/>
      <c r="BD1719" s="4"/>
      <c r="BE1719" s="4"/>
      <c r="BF1719" s="4"/>
      <c r="BG1719" s="4"/>
      <c r="BH1719" s="4"/>
      <c r="BI1719" s="4"/>
      <c r="BJ1719" s="4"/>
      <c r="BK1719" s="4"/>
      <c r="BL1719" s="4"/>
      <c r="BM1719" s="4"/>
      <c r="BN1719" s="4"/>
      <c r="BO1719" s="4"/>
      <c r="BP1719" s="4"/>
      <c r="BQ1719" s="4"/>
      <c r="BR1719" s="4"/>
      <c r="BS1719" s="4"/>
      <c r="BT1719" s="4"/>
      <c r="BU1719" s="4"/>
    </row>
    <row r="1720" spans="29:73" s="1" customFormat="1" x14ac:dyDescent="0.25">
      <c r="AC1720" s="4"/>
      <c r="AD1720" s="4"/>
      <c r="AE1720" s="4"/>
      <c r="AF1720" s="4"/>
      <c r="AG1720" s="4"/>
      <c r="AH1720" s="4"/>
      <c r="AI1720" s="4"/>
      <c r="AJ1720" s="4"/>
      <c r="AK1720" s="4"/>
      <c r="AL1720" s="4"/>
      <c r="AM1720" s="4"/>
      <c r="AN1720" s="4"/>
      <c r="AO1720" s="4"/>
      <c r="AP1720" s="4"/>
      <c r="AQ1720" s="4"/>
      <c r="AR1720" s="4"/>
      <c r="AS1720" s="4"/>
      <c r="AT1720" s="4"/>
      <c r="AU1720" s="4"/>
      <c r="AV1720" s="4"/>
      <c r="AW1720" s="4"/>
      <c r="AX1720" s="4"/>
      <c r="AY1720" s="4"/>
      <c r="AZ1720" s="4"/>
      <c r="BA1720" s="4"/>
      <c r="BB1720" s="4"/>
      <c r="BC1720" s="4"/>
      <c r="BD1720" s="4"/>
      <c r="BE1720" s="4"/>
      <c r="BF1720" s="4"/>
      <c r="BG1720" s="4"/>
      <c r="BH1720" s="4"/>
      <c r="BI1720" s="4"/>
      <c r="BJ1720" s="4"/>
      <c r="BK1720" s="4"/>
      <c r="BL1720" s="4"/>
      <c r="BM1720" s="4"/>
      <c r="BN1720" s="4"/>
      <c r="BO1720" s="4"/>
      <c r="BP1720" s="4"/>
      <c r="BQ1720" s="4"/>
      <c r="BR1720" s="4"/>
      <c r="BS1720" s="4"/>
      <c r="BT1720" s="4"/>
      <c r="BU1720" s="4"/>
    </row>
    <row r="1721" spans="29:73" s="1" customFormat="1" x14ac:dyDescent="0.25">
      <c r="AC1721" s="4"/>
      <c r="AD1721" s="4"/>
      <c r="AE1721" s="4"/>
      <c r="AF1721" s="4"/>
      <c r="AG1721" s="4"/>
      <c r="AH1721" s="4"/>
      <c r="AI1721" s="4"/>
      <c r="AJ1721" s="4"/>
      <c r="AK1721" s="4"/>
      <c r="AL1721" s="4"/>
      <c r="AM1721" s="4"/>
      <c r="AN1721" s="4"/>
      <c r="AO1721" s="4"/>
      <c r="AP1721" s="4"/>
      <c r="AQ1721" s="4"/>
      <c r="AR1721" s="4"/>
      <c r="AS1721" s="4"/>
      <c r="AT1721" s="4"/>
      <c r="AU1721" s="4"/>
      <c r="AV1721" s="4"/>
      <c r="AW1721" s="4"/>
      <c r="AX1721" s="4"/>
      <c r="AY1721" s="4"/>
      <c r="AZ1721" s="4"/>
      <c r="BA1721" s="4"/>
      <c r="BB1721" s="4"/>
      <c r="BC1721" s="4"/>
      <c r="BD1721" s="4"/>
      <c r="BE1721" s="4"/>
      <c r="BF1721" s="4"/>
      <c r="BG1721" s="4"/>
      <c r="BH1721" s="4"/>
      <c r="BI1721" s="4"/>
      <c r="BJ1721" s="4"/>
      <c r="BK1721" s="4"/>
      <c r="BL1721" s="4"/>
      <c r="BM1721" s="4"/>
      <c r="BN1721" s="4"/>
      <c r="BO1721" s="4"/>
      <c r="BP1721" s="4"/>
      <c r="BQ1721" s="4"/>
      <c r="BR1721" s="4"/>
      <c r="BS1721" s="4"/>
      <c r="BT1721" s="4"/>
      <c r="BU1721" s="4"/>
    </row>
    <row r="1722" spans="29:73" s="1" customFormat="1" x14ac:dyDescent="0.25">
      <c r="AC1722" s="4"/>
      <c r="AD1722" s="4"/>
      <c r="AE1722" s="4"/>
      <c r="AF1722" s="4"/>
      <c r="AG1722" s="4"/>
      <c r="AH1722" s="4"/>
      <c r="AI1722" s="4"/>
      <c r="AJ1722" s="4"/>
      <c r="AK1722" s="4"/>
      <c r="AL1722" s="4"/>
      <c r="AM1722" s="4"/>
      <c r="AN1722" s="4"/>
      <c r="AO1722" s="4"/>
      <c r="AP1722" s="4"/>
      <c r="AQ1722" s="4"/>
      <c r="AR1722" s="4"/>
      <c r="AS1722" s="4"/>
      <c r="AT1722" s="4"/>
      <c r="AU1722" s="4"/>
      <c r="AV1722" s="4"/>
      <c r="AW1722" s="4"/>
      <c r="AX1722" s="4"/>
      <c r="AY1722" s="4"/>
      <c r="AZ1722" s="4"/>
      <c r="BA1722" s="4"/>
      <c r="BB1722" s="4"/>
      <c r="BC1722" s="4"/>
      <c r="BD1722" s="4"/>
      <c r="BE1722" s="4"/>
      <c r="BF1722" s="4"/>
      <c r="BG1722" s="4"/>
      <c r="BH1722" s="4"/>
      <c r="BI1722" s="4"/>
      <c r="BJ1722" s="4"/>
      <c r="BK1722" s="4"/>
      <c r="BL1722" s="4"/>
      <c r="BM1722" s="4"/>
      <c r="BN1722" s="4"/>
      <c r="BO1722" s="4"/>
      <c r="BP1722" s="4"/>
      <c r="BQ1722" s="4"/>
      <c r="BR1722" s="4"/>
      <c r="BS1722" s="4"/>
      <c r="BT1722" s="4"/>
      <c r="BU1722" s="4"/>
    </row>
    <row r="1723" spans="29:73" s="1" customFormat="1" x14ac:dyDescent="0.25">
      <c r="AC1723" s="4"/>
      <c r="AD1723" s="4"/>
      <c r="AE1723" s="4"/>
      <c r="AF1723" s="4"/>
      <c r="AG1723" s="4"/>
      <c r="AH1723" s="4"/>
      <c r="AI1723" s="4"/>
      <c r="AJ1723" s="4"/>
      <c r="AK1723" s="4"/>
      <c r="AL1723" s="4"/>
      <c r="AM1723" s="4"/>
      <c r="AN1723" s="4"/>
      <c r="AO1723" s="4"/>
      <c r="AP1723" s="4"/>
      <c r="AQ1723" s="4"/>
      <c r="AR1723" s="4"/>
      <c r="AS1723" s="4"/>
      <c r="AT1723" s="4"/>
      <c r="AU1723" s="4"/>
      <c r="AV1723" s="4"/>
      <c r="AW1723" s="4"/>
      <c r="AX1723" s="4"/>
      <c r="AY1723" s="4"/>
      <c r="AZ1723" s="4"/>
      <c r="BA1723" s="4"/>
      <c r="BB1723" s="4"/>
      <c r="BC1723" s="4"/>
      <c r="BD1723" s="4"/>
      <c r="BE1723" s="4"/>
      <c r="BF1723" s="4"/>
      <c r="BG1723" s="4"/>
      <c r="BH1723" s="4"/>
      <c r="BI1723" s="4"/>
      <c r="BJ1723" s="4"/>
      <c r="BK1723" s="4"/>
      <c r="BL1723" s="4"/>
      <c r="BM1723" s="4"/>
      <c r="BN1723" s="4"/>
      <c r="BO1723" s="4"/>
      <c r="BP1723" s="4"/>
      <c r="BQ1723" s="4"/>
      <c r="BR1723" s="4"/>
      <c r="BS1723" s="4"/>
      <c r="BT1723" s="4"/>
      <c r="BU1723" s="4"/>
    </row>
    <row r="1724" spans="29:73" s="1" customFormat="1" x14ac:dyDescent="0.25">
      <c r="AC1724" s="4"/>
      <c r="AD1724" s="4"/>
      <c r="AE1724" s="4"/>
      <c r="AF1724" s="4"/>
      <c r="AG1724" s="4"/>
      <c r="AH1724" s="4"/>
      <c r="AI1724" s="4"/>
      <c r="AJ1724" s="4"/>
      <c r="AK1724" s="4"/>
      <c r="AL1724" s="4"/>
      <c r="AM1724" s="4"/>
      <c r="AN1724" s="4"/>
      <c r="AO1724" s="4"/>
      <c r="AP1724" s="4"/>
      <c r="AQ1724" s="4"/>
      <c r="AR1724" s="4"/>
      <c r="AS1724" s="4"/>
      <c r="AT1724" s="4"/>
      <c r="AU1724" s="4"/>
      <c r="AV1724" s="4"/>
      <c r="AW1724" s="4"/>
      <c r="AX1724" s="4"/>
      <c r="AY1724" s="4"/>
      <c r="AZ1724" s="4"/>
      <c r="BA1724" s="4"/>
      <c r="BB1724" s="4"/>
      <c r="BC1724" s="4"/>
      <c r="BD1724" s="4"/>
      <c r="BE1724" s="4"/>
      <c r="BF1724" s="4"/>
      <c r="BG1724" s="4"/>
      <c r="BH1724" s="4"/>
      <c r="BI1724" s="4"/>
      <c r="BJ1724" s="4"/>
      <c r="BK1724" s="4"/>
      <c r="BL1724" s="4"/>
      <c r="BM1724" s="4"/>
      <c r="BN1724" s="4"/>
      <c r="BO1724" s="4"/>
      <c r="BP1724" s="4"/>
      <c r="BQ1724" s="4"/>
      <c r="BR1724" s="4"/>
      <c r="BS1724" s="4"/>
      <c r="BT1724" s="4"/>
      <c r="BU1724" s="4"/>
    </row>
    <row r="1725" spans="29:73" s="1" customFormat="1" x14ac:dyDescent="0.25">
      <c r="AC1725" s="4"/>
      <c r="AD1725" s="4"/>
      <c r="AE1725" s="4"/>
      <c r="AF1725" s="4"/>
      <c r="AG1725" s="4"/>
      <c r="AH1725" s="4"/>
      <c r="AI1725" s="4"/>
      <c r="AJ1725" s="4"/>
      <c r="AK1725" s="4"/>
      <c r="AL1725" s="4"/>
      <c r="AM1725" s="4"/>
      <c r="AN1725" s="4"/>
      <c r="AO1725" s="4"/>
      <c r="AP1725" s="4"/>
      <c r="AQ1725" s="4"/>
      <c r="AR1725" s="4"/>
      <c r="AS1725" s="4"/>
      <c r="AT1725" s="4"/>
      <c r="AU1725" s="4"/>
      <c r="AV1725" s="4"/>
      <c r="AW1725" s="4"/>
      <c r="AX1725" s="4"/>
      <c r="AY1725" s="4"/>
      <c r="AZ1725" s="4"/>
      <c r="BA1725" s="4"/>
      <c r="BB1725" s="4"/>
      <c r="BC1725" s="4"/>
      <c r="BD1725" s="4"/>
      <c r="BE1725" s="4"/>
      <c r="BF1725" s="4"/>
      <c r="BG1725" s="4"/>
      <c r="BH1725" s="4"/>
      <c r="BI1725" s="4"/>
      <c r="BJ1725" s="4"/>
      <c r="BK1725" s="4"/>
      <c r="BL1725" s="4"/>
      <c r="BM1725" s="4"/>
      <c r="BN1725" s="4"/>
      <c r="BO1725" s="4"/>
      <c r="BP1725" s="4"/>
      <c r="BQ1725" s="4"/>
      <c r="BR1725" s="4"/>
      <c r="BS1725" s="4"/>
      <c r="BT1725" s="4"/>
      <c r="BU1725" s="4"/>
    </row>
    <row r="1726" spans="29:73" s="1" customFormat="1" x14ac:dyDescent="0.25">
      <c r="AC1726" s="4"/>
      <c r="AD1726" s="4"/>
      <c r="AE1726" s="4"/>
      <c r="AF1726" s="4"/>
      <c r="AG1726" s="4"/>
      <c r="AH1726" s="4"/>
      <c r="AI1726" s="4"/>
      <c r="AJ1726" s="4"/>
      <c r="AK1726" s="4"/>
      <c r="AL1726" s="4"/>
      <c r="AM1726" s="4"/>
      <c r="AN1726" s="4"/>
      <c r="AO1726" s="4"/>
      <c r="AP1726" s="4"/>
      <c r="AQ1726" s="4"/>
      <c r="AR1726" s="4"/>
      <c r="AS1726" s="4"/>
      <c r="AT1726" s="4"/>
      <c r="AU1726" s="4"/>
      <c r="AV1726" s="4"/>
      <c r="AW1726" s="4"/>
      <c r="AX1726" s="4"/>
      <c r="AY1726" s="4"/>
      <c r="AZ1726" s="4"/>
      <c r="BA1726" s="4"/>
      <c r="BB1726" s="4"/>
      <c r="BC1726" s="4"/>
      <c r="BD1726" s="4"/>
      <c r="BE1726" s="4"/>
      <c r="BF1726" s="4"/>
      <c r="BG1726" s="4"/>
      <c r="BH1726" s="4"/>
      <c r="BI1726" s="4"/>
      <c r="BJ1726" s="4"/>
      <c r="BK1726" s="4"/>
      <c r="BL1726" s="4"/>
      <c r="BM1726" s="4"/>
      <c r="BN1726" s="4"/>
      <c r="BO1726" s="4"/>
      <c r="BP1726" s="4"/>
      <c r="BQ1726" s="4"/>
      <c r="BR1726" s="4"/>
      <c r="BS1726" s="4"/>
      <c r="BT1726" s="4"/>
      <c r="BU1726" s="4"/>
    </row>
    <row r="1727" spans="29:73" s="1" customFormat="1" x14ac:dyDescent="0.25">
      <c r="AC1727" s="4"/>
      <c r="AD1727" s="4"/>
      <c r="AE1727" s="4"/>
      <c r="AF1727" s="4"/>
      <c r="AG1727" s="4"/>
      <c r="AH1727" s="4"/>
      <c r="AI1727" s="4"/>
      <c r="AJ1727" s="4"/>
      <c r="AK1727" s="4"/>
      <c r="AL1727" s="4"/>
      <c r="AM1727" s="4"/>
      <c r="AN1727" s="4"/>
      <c r="AO1727" s="4"/>
      <c r="AP1727" s="4"/>
      <c r="AQ1727" s="4"/>
      <c r="AR1727" s="4"/>
      <c r="AS1727" s="4"/>
      <c r="AT1727" s="4"/>
      <c r="AU1727" s="4"/>
      <c r="AV1727" s="4"/>
      <c r="AW1727" s="4"/>
      <c r="AX1727" s="4"/>
      <c r="AY1727" s="4"/>
      <c r="AZ1727" s="4"/>
      <c r="BA1727" s="4"/>
      <c r="BB1727" s="4"/>
      <c r="BC1727" s="4"/>
      <c r="BD1727" s="4"/>
      <c r="BE1727" s="4"/>
      <c r="BF1727" s="4"/>
      <c r="BG1727" s="4"/>
      <c r="BH1727" s="4"/>
      <c r="BI1727" s="4"/>
      <c r="BJ1727" s="4"/>
      <c r="BK1727" s="4"/>
      <c r="BL1727" s="4"/>
      <c r="BM1727" s="4"/>
      <c r="BN1727" s="4"/>
      <c r="BO1727" s="4"/>
      <c r="BP1727" s="4"/>
      <c r="BQ1727" s="4"/>
      <c r="BR1727" s="4"/>
      <c r="BS1727" s="4"/>
      <c r="BT1727" s="4"/>
      <c r="BU1727" s="4"/>
    </row>
    <row r="1728" spans="29:73" s="1" customFormat="1" x14ac:dyDescent="0.25">
      <c r="AC1728" s="4"/>
      <c r="AD1728" s="4"/>
      <c r="AE1728" s="4"/>
      <c r="AF1728" s="4"/>
      <c r="AG1728" s="4"/>
      <c r="AH1728" s="4"/>
      <c r="AI1728" s="4"/>
      <c r="AJ1728" s="4"/>
      <c r="AK1728" s="4"/>
      <c r="AL1728" s="4"/>
      <c r="AM1728" s="4"/>
      <c r="AN1728" s="4"/>
      <c r="AO1728" s="4"/>
      <c r="AP1728" s="4"/>
      <c r="AQ1728" s="4"/>
      <c r="AR1728" s="4"/>
      <c r="AS1728" s="4"/>
      <c r="AT1728" s="4"/>
      <c r="AU1728" s="4"/>
      <c r="AV1728" s="4"/>
      <c r="AW1728" s="4"/>
      <c r="AX1728" s="4"/>
      <c r="AY1728" s="4"/>
      <c r="AZ1728" s="4"/>
      <c r="BA1728" s="4"/>
      <c r="BB1728" s="4"/>
      <c r="BC1728" s="4"/>
      <c r="BD1728" s="4"/>
      <c r="BE1728" s="4"/>
      <c r="BF1728" s="4"/>
      <c r="BG1728" s="4"/>
      <c r="BH1728" s="4"/>
      <c r="BI1728" s="4"/>
      <c r="BJ1728" s="4"/>
      <c r="BK1728" s="4"/>
      <c r="BL1728" s="4"/>
      <c r="BM1728" s="4"/>
      <c r="BN1728" s="4"/>
      <c r="BO1728" s="4"/>
      <c r="BP1728" s="4"/>
      <c r="BQ1728" s="4"/>
      <c r="BR1728" s="4"/>
      <c r="BS1728" s="4"/>
      <c r="BT1728" s="4"/>
      <c r="BU1728" s="4"/>
    </row>
    <row r="1729" spans="29:73" s="1" customFormat="1" x14ac:dyDescent="0.25">
      <c r="AC1729" s="4"/>
      <c r="AD1729" s="4"/>
      <c r="AE1729" s="4"/>
      <c r="AF1729" s="4"/>
      <c r="AG1729" s="4"/>
      <c r="AH1729" s="4"/>
      <c r="AI1729" s="4"/>
      <c r="AJ1729" s="4"/>
      <c r="AK1729" s="4"/>
      <c r="AL1729" s="4"/>
      <c r="AM1729" s="4"/>
      <c r="AN1729" s="4"/>
      <c r="AO1729" s="4"/>
      <c r="AP1729" s="4"/>
      <c r="AQ1729" s="4"/>
      <c r="AR1729" s="4"/>
      <c r="AS1729" s="4"/>
      <c r="AT1729" s="4"/>
      <c r="AU1729" s="4"/>
      <c r="AV1729" s="4"/>
      <c r="AW1729" s="4"/>
      <c r="AX1729" s="4"/>
      <c r="AY1729" s="4"/>
      <c r="AZ1729" s="4"/>
      <c r="BA1729" s="4"/>
      <c r="BB1729" s="4"/>
      <c r="BC1729" s="4"/>
      <c r="BD1729" s="4"/>
      <c r="BE1729" s="4"/>
      <c r="BF1729" s="4"/>
      <c r="BG1729" s="4"/>
      <c r="BH1729" s="4"/>
      <c r="BI1729" s="4"/>
      <c r="BJ1729" s="4"/>
      <c r="BK1729" s="4"/>
      <c r="BL1729" s="4"/>
      <c r="BM1729" s="4"/>
      <c r="BN1729" s="4"/>
      <c r="BO1729" s="4"/>
      <c r="BP1729" s="4"/>
      <c r="BQ1729" s="4"/>
      <c r="BR1729" s="4"/>
      <c r="BS1729" s="4"/>
      <c r="BT1729" s="4"/>
      <c r="BU1729" s="4"/>
    </row>
    <row r="1730" spans="29:73" s="1" customFormat="1" x14ac:dyDescent="0.25">
      <c r="AC1730" s="4"/>
      <c r="AD1730" s="4"/>
      <c r="AE1730" s="4"/>
      <c r="AF1730" s="4"/>
      <c r="AG1730" s="4"/>
      <c r="AH1730" s="4"/>
      <c r="AI1730" s="4"/>
      <c r="AJ1730" s="4"/>
      <c r="AK1730" s="4"/>
      <c r="AL1730" s="4"/>
      <c r="AM1730" s="4"/>
      <c r="AN1730" s="4"/>
      <c r="AO1730" s="4"/>
      <c r="AP1730" s="4"/>
      <c r="AQ1730" s="4"/>
      <c r="AR1730" s="4"/>
      <c r="AS1730" s="4"/>
      <c r="AT1730" s="4"/>
      <c r="AU1730" s="4"/>
      <c r="AV1730" s="4"/>
      <c r="AW1730" s="4"/>
      <c r="AX1730" s="4"/>
      <c r="AY1730" s="4"/>
      <c r="AZ1730" s="4"/>
      <c r="BA1730" s="4"/>
      <c r="BB1730" s="4"/>
      <c r="BC1730" s="4"/>
      <c r="BD1730" s="4"/>
      <c r="BE1730" s="4"/>
      <c r="BF1730" s="4"/>
      <c r="BG1730" s="4"/>
      <c r="BH1730" s="4"/>
      <c r="BI1730" s="4"/>
      <c r="BJ1730" s="4"/>
      <c r="BK1730" s="4"/>
      <c r="BL1730" s="4"/>
      <c r="BM1730" s="4"/>
      <c r="BN1730" s="4"/>
      <c r="BO1730" s="4"/>
      <c r="BP1730" s="4"/>
      <c r="BQ1730" s="4"/>
      <c r="BR1730" s="4"/>
      <c r="BS1730" s="4"/>
      <c r="BT1730" s="4"/>
      <c r="BU1730" s="4"/>
    </row>
    <row r="1731" spans="29:73" s="1" customFormat="1" x14ac:dyDescent="0.25">
      <c r="AC1731" s="4"/>
      <c r="AD1731" s="4"/>
      <c r="AE1731" s="4"/>
      <c r="AF1731" s="4"/>
      <c r="AG1731" s="4"/>
      <c r="AH1731" s="4"/>
      <c r="AI1731" s="4"/>
      <c r="AJ1731" s="4"/>
      <c r="AK1731" s="4"/>
      <c r="AL1731" s="4"/>
      <c r="AM1731" s="4"/>
      <c r="AN1731" s="4"/>
      <c r="AO1731" s="4"/>
      <c r="AP1731" s="4"/>
      <c r="AQ1731" s="4"/>
      <c r="AR1731" s="4"/>
      <c r="AS1731" s="4"/>
      <c r="AT1731" s="4"/>
      <c r="AU1731" s="4"/>
      <c r="AV1731" s="4"/>
      <c r="AW1731" s="4"/>
      <c r="AX1731" s="4"/>
      <c r="AY1731" s="4"/>
      <c r="AZ1731" s="4"/>
      <c r="BA1731" s="4"/>
      <c r="BB1731" s="4"/>
      <c r="BC1731" s="4"/>
      <c r="BD1731" s="4"/>
      <c r="BE1731" s="4"/>
      <c r="BF1731" s="4"/>
      <c r="BG1731" s="4"/>
      <c r="BH1731" s="4"/>
      <c r="BI1731" s="4"/>
      <c r="BJ1731" s="4"/>
      <c r="BK1731" s="4"/>
      <c r="BL1731" s="4"/>
      <c r="BM1731" s="4"/>
      <c r="BN1731" s="4"/>
      <c r="BO1731" s="4"/>
      <c r="BP1731" s="4"/>
      <c r="BQ1731" s="4"/>
      <c r="BR1731" s="4"/>
      <c r="BS1731" s="4"/>
      <c r="BT1731" s="4"/>
      <c r="BU1731" s="4"/>
    </row>
    <row r="1732" spans="29:73" s="1" customFormat="1" x14ac:dyDescent="0.25">
      <c r="AC1732" s="4"/>
      <c r="AD1732" s="4"/>
      <c r="AE1732" s="4"/>
      <c r="AF1732" s="4"/>
      <c r="AG1732" s="4"/>
      <c r="AH1732" s="4"/>
      <c r="AI1732" s="4"/>
      <c r="AJ1732" s="4"/>
      <c r="AK1732" s="4"/>
      <c r="AL1732" s="4"/>
      <c r="AM1732" s="4"/>
      <c r="AN1732" s="4"/>
      <c r="AO1732" s="4"/>
      <c r="AP1732" s="4"/>
      <c r="AQ1732" s="4"/>
      <c r="AR1732" s="4"/>
      <c r="AS1732" s="4"/>
      <c r="AT1732" s="4"/>
      <c r="AU1732" s="4"/>
      <c r="AV1732" s="4"/>
      <c r="AW1732" s="4"/>
      <c r="AX1732" s="4"/>
      <c r="AY1732" s="4"/>
      <c r="AZ1732" s="4"/>
      <c r="BA1732" s="4"/>
      <c r="BB1732" s="4"/>
      <c r="BC1732" s="4"/>
      <c r="BD1732" s="4"/>
      <c r="BE1732" s="4"/>
      <c r="BF1732" s="4"/>
      <c r="BG1732" s="4"/>
      <c r="BH1732" s="4"/>
      <c r="BI1732" s="4"/>
      <c r="BJ1732" s="4"/>
      <c r="BK1732" s="4"/>
      <c r="BL1732" s="4"/>
      <c r="BM1732" s="4"/>
      <c r="BN1732" s="4"/>
      <c r="BO1732" s="4"/>
      <c r="BP1732" s="4"/>
      <c r="BQ1732" s="4"/>
      <c r="BR1732" s="4"/>
      <c r="BS1732" s="4"/>
      <c r="BT1732" s="4"/>
      <c r="BU1732" s="4"/>
    </row>
    <row r="1733" spans="29:73" s="1" customFormat="1" x14ac:dyDescent="0.25">
      <c r="AC1733" s="4"/>
      <c r="AD1733" s="4"/>
      <c r="AE1733" s="4"/>
      <c r="AF1733" s="4"/>
      <c r="AG1733" s="4"/>
      <c r="AH1733" s="4"/>
      <c r="AI1733" s="4"/>
      <c r="AJ1733" s="4"/>
      <c r="AK1733" s="4"/>
      <c r="AL1733" s="4"/>
      <c r="AM1733" s="4"/>
      <c r="AN1733" s="4"/>
      <c r="AO1733" s="4"/>
      <c r="AP1733" s="4"/>
      <c r="AQ1733" s="4"/>
      <c r="AR1733" s="4"/>
      <c r="AS1733" s="4"/>
      <c r="AT1733" s="4"/>
      <c r="AU1733" s="4"/>
      <c r="AV1733" s="4"/>
      <c r="AW1733" s="4"/>
      <c r="AX1733" s="4"/>
      <c r="AY1733" s="4"/>
      <c r="AZ1733" s="4"/>
      <c r="BA1733" s="4"/>
      <c r="BB1733" s="4"/>
      <c r="BC1733" s="4"/>
      <c r="BD1733" s="4"/>
      <c r="BE1733" s="4"/>
      <c r="BF1733" s="4"/>
      <c r="BG1733" s="4"/>
      <c r="BH1733" s="4"/>
      <c r="BI1733" s="4"/>
      <c r="BJ1733" s="4"/>
      <c r="BK1733" s="4"/>
      <c r="BL1733" s="4"/>
      <c r="BM1733" s="4"/>
      <c r="BN1733" s="4"/>
      <c r="BO1733" s="4"/>
      <c r="BP1733" s="4"/>
      <c r="BQ1733" s="4"/>
      <c r="BR1733" s="4"/>
      <c r="BS1733" s="4"/>
      <c r="BT1733" s="4"/>
      <c r="BU1733" s="4"/>
    </row>
    <row r="1734" spans="29:73" s="1" customFormat="1" x14ac:dyDescent="0.25">
      <c r="AC1734" s="4"/>
      <c r="AD1734" s="4"/>
      <c r="AE1734" s="4"/>
      <c r="AF1734" s="4"/>
      <c r="AG1734" s="4"/>
      <c r="AH1734" s="4"/>
      <c r="AI1734" s="4"/>
      <c r="AJ1734" s="4"/>
      <c r="AK1734" s="4"/>
      <c r="AL1734" s="4"/>
      <c r="AM1734" s="4"/>
      <c r="AN1734" s="4"/>
      <c r="AO1734" s="4"/>
      <c r="AP1734" s="4"/>
      <c r="AQ1734" s="4"/>
      <c r="AR1734" s="4"/>
      <c r="AS1734" s="4"/>
      <c r="AT1734" s="4"/>
      <c r="AU1734" s="4"/>
      <c r="AV1734" s="4"/>
      <c r="AW1734" s="4"/>
      <c r="AX1734" s="4"/>
      <c r="AY1734" s="4"/>
      <c r="AZ1734" s="4"/>
      <c r="BA1734" s="4"/>
      <c r="BB1734" s="4"/>
      <c r="BC1734" s="4"/>
      <c r="BD1734" s="4"/>
      <c r="BE1734" s="4"/>
      <c r="BF1734" s="4"/>
      <c r="BG1734" s="4"/>
      <c r="BH1734" s="4"/>
      <c r="BI1734" s="4"/>
      <c r="BJ1734" s="4"/>
      <c r="BK1734" s="4"/>
      <c r="BL1734" s="4"/>
      <c r="BM1734" s="4"/>
      <c r="BN1734" s="4"/>
      <c r="BO1734" s="4"/>
      <c r="BP1734" s="4"/>
      <c r="BQ1734" s="4"/>
      <c r="BR1734" s="4"/>
      <c r="BS1734" s="4"/>
      <c r="BT1734" s="4"/>
      <c r="BU1734" s="4"/>
    </row>
    <row r="1735" spans="29:73" s="1" customFormat="1" x14ac:dyDescent="0.25">
      <c r="AC1735" s="4"/>
      <c r="AD1735" s="4"/>
      <c r="AE1735" s="4"/>
      <c r="AF1735" s="4"/>
      <c r="AG1735" s="4"/>
      <c r="AH1735" s="4"/>
      <c r="AI1735" s="4"/>
      <c r="AJ1735" s="4"/>
      <c r="AK1735" s="4"/>
      <c r="AL1735" s="4"/>
      <c r="AM1735" s="4"/>
      <c r="AN1735" s="4"/>
      <c r="AO1735" s="4"/>
      <c r="AP1735" s="4"/>
      <c r="AQ1735" s="4"/>
      <c r="AR1735" s="4"/>
      <c r="AS1735" s="4"/>
      <c r="AT1735" s="4"/>
      <c r="AU1735" s="4"/>
      <c r="AV1735" s="4"/>
      <c r="AW1735" s="4"/>
      <c r="AX1735" s="4"/>
      <c r="AY1735" s="4"/>
      <c r="AZ1735" s="4"/>
      <c r="BA1735" s="4"/>
      <c r="BB1735" s="4"/>
      <c r="BC1735" s="4"/>
      <c r="BD1735" s="4"/>
      <c r="BE1735" s="4"/>
      <c r="BF1735" s="4"/>
      <c r="BG1735" s="4"/>
      <c r="BH1735" s="4"/>
      <c r="BI1735" s="4"/>
      <c r="BJ1735" s="4"/>
      <c r="BK1735" s="4"/>
      <c r="BL1735" s="4"/>
      <c r="BM1735" s="4"/>
      <c r="BN1735" s="4"/>
      <c r="BO1735" s="4"/>
      <c r="BP1735" s="4"/>
      <c r="BQ1735" s="4"/>
      <c r="BR1735" s="4"/>
      <c r="BS1735" s="4"/>
      <c r="BT1735" s="4"/>
      <c r="BU1735" s="4"/>
    </row>
    <row r="1736" spans="29:73" s="1" customFormat="1" x14ac:dyDescent="0.25">
      <c r="AC1736" s="4"/>
      <c r="AD1736" s="4"/>
      <c r="AE1736" s="4"/>
      <c r="AF1736" s="4"/>
      <c r="AG1736" s="4"/>
      <c r="AH1736" s="4"/>
      <c r="AI1736" s="4"/>
      <c r="AJ1736" s="4"/>
      <c r="AK1736" s="4"/>
      <c r="AL1736" s="4"/>
      <c r="AM1736" s="4"/>
      <c r="AN1736" s="4"/>
      <c r="AO1736" s="4"/>
      <c r="AP1736" s="4"/>
      <c r="AQ1736" s="4"/>
      <c r="AR1736" s="4"/>
      <c r="AS1736" s="4"/>
      <c r="AT1736" s="4"/>
      <c r="AU1736" s="4"/>
      <c r="AV1736" s="4"/>
      <c r="AW1736" s="4"/>
      <c r="AX1736" s="4"/>
      <c r="AY1736" s="4"/>
      <c r="AZ1736" s="4"/>
      <c r="BA1736" s="4"/>
      <c r="BB1736" s="4"/>
      <c r="BC1736" s="4"/>
      <c r="BD1736" s="4"/>
      <c r="BE1736" s="4"/>
      <c r="BF1736" s="4"/>
      <c r="BG1736" s="4"/>
      <c r="BH1736" s="4"/>
      <c r="BI1736" s="4"/>
      <c r="BJ1736" s="4"/>
      <c r="BK1736" s="4"/>
      <c r="BL1736" s="4"/>
      <c r="BM1736" s="4"/>
      <c r="BN1736" s="4"/>
      <c r="BO1736" s="4"/>
      <c r="BP1736" s="4"/>
      <c r="BQ1736" s="4"/>
      <c r="BR1736" s="4"/>
      <c r="BS1736" s="4"/>
      <c r="BT1736" s="4"/>
      <c r="BU1736" s="4"/>
    </row>
    <row r="1737" spans="29:73" s="1" customFormat="1" x14ac:dyDescent="0.25">
      <c r="AC1737" s="4"/>
      <c r="AD1737" s="4"/>
      <c r="AE1737" s="4"/>
      <c r="AF1737" s="4"/>
      <c r="AG1737" s="4"/>
      <c r="AH1737" s="4"/>
      <c r="AI1737" s="4"/>
      <c r="AJ1737" s="4"/>
      <c r="AK1737" s="4"/>
      <c r="AL1737" s="4"/>
      <c r="AM1737" s="4"/>
      <c r="AN1737" s="4"/>
      <c r="AO1737" s="4"/>
      <c r="AP1737" s="4"/>
      <c r="AQ1737" s="4"/>
      <c r="AR1737" s="4"/>
      <c r="AS1737" s="4"/>
      <c r="AT1737" s="4"/>
      <c r="AU1737" s="4"/>
      <c r="AV1737" s="4"/>
      <c r="AW1737" s="4"/>
      <c r="AX1737" s="4"/>
      <c r="AY1737" s="4"/>
      <c r="AZ1737" s="4"/>
      <c r="BA1737" s="4"/>
      <c r="BB1737" s="4"/>
      <c r="BC1737" s="4"/>
      <c r="BD1737" s="4"/>
      <c r="BE1737" s="4"/>
      <c r="BF1737" s="4"/>
      <c r="BG1737" s="4"/>
      <c r="BH1737" s="4"/>
      <c r="BI1737" s="4"/>
      <c r="BJ1737" s="4"/>
      <c r="BK1737" s="4"/>
      <c r="BL1737" s="4"/>
      <c r="BM1737" s="4"/>
      <c r="BN1737" s="4"/>
      <c r="BO1737" s="4"/>
      <c r="BP1737" s="4"/>
      <c r="BQ1737" s="4"/>
      <c r="BR1737" s="4"/>
      <c r="BS1737" s="4"/>
      <c r="BT1737" s="4"/>
      <c r="BU1737" s="4"/>
    </row>
    <row r="1738" spans="29:73" s="1" customFormat="1" x14ac:dyDescent="0.25">
      <c r="AC1738" s="4"/>
      <c r="AD1738" s="4"/>
      <c r="AE1738" s="4"/>
      <c r="AF1738" s="4"/>
      <c r="AG1738" s="4"/>
      <c r="AH1738" s="4"/>
      <c r="AI1738" s="4"/>
      <c r="AJ1738" s="4"/>
      <c r="AK1738" s="4"/>
      <c r="AL1738" s="4"/>
      <c r="AM1738" s="4"/>
      <c r="AN1738" s="4"/>
      <c r="AO1738" s="4"/>
      <c r="AP1738" s="4"/>
      <c r="AQ1738" s="4"/>
      <c r="AR1738" s="4"/>
      <c r="AS1738" s="4"/>
      <c r="AT1738" s="4"/>
      <c r="AU1738" s="4"/>
      <c r="AV1738" s="4"/>
      <c r="AW1738" s="4"/>
      <c r="AX1738" s="4"/>
      <c r="AY1738" s="4"/>
      <c r="AZ1738" s="4"/>
      <c r="BA1738" s="4"/>
      <c r="BB1738" s="4"/>
      <c r="BC1738" s="4"/>
      <c r="BD1738" s="4"/>
      <c r="BE1738" s="4"/>
      <c r="BF1738" s="4"/>
      <c r="BG1738" s="4"/>
      <c r="BH1738" s="4"/>
      <c r="BI1738" s="4"/>
      <c r="BJ1738" s="4"/>
      <c r="BK1738" s="4"/>
      <c r="BL1738" s="4"/>
      <c r="BM1738" s="4"/>
      <c r="BN1738" s="4"/>
      <c r="BO1738" s="4"/>
      <c r="BP1738" s="4"/>
      <c r="BQ1738" s="4"/>
      <c r="BR1738" s="4"/>
      <c r="BS1738" s="4"/>
      <c r="BT1738" s="4"/>
      <c r="BU1738" s="4"/>
    </row>
    <row r="1739" spans="29:73" s="1" customFormat="1" x14ac:dyDescent="0.25">
      <c r="AC1739" s="4"/>
      <c r="AD1739" s="4"/>
      <c r="AE1739" s="4"/>
      <c r="AF1739" s="4"/>
      <c r="AG1739" s="4"/>
      <c r="AH1739" s="4"/>
      <c r="AI1739" s="4"/>
      <c r="AJ1739" s="4"/>
      <c r="AK1739" s="4"/>
      <c r="AL1739" s="4"/>
      <c r="AM1739" s="4"/>
      <c r="AN1739" s="4"/>
      <c r="AO1739" s="4"/>
      <c r="AP1739" s="4"/>
      <c r="AQ1739" s="4"/>
      <c r="AR1739" s="4"/>
      <c r="AS1739" s="4"/>
      <c r="AT1739" s="4"/>
      <c r="AU1739" s="4"/>
      <c r="AV1739" s="4"/>
      <c r="AW1739" s="4"/>
      <c r="AX1739" s="4"/>
      <c r="AY1739" s="4"/>
      <c r="AZ1739" s="4"/>
      <c r="BA1739" s="4"/>
      <c r="BB1739" s="4"/>
      <c r="BC1739" s="4"/>
      <c r="BD1739" s="4"/>
      <c r="BE1739" s="4"/>
      <c r="BF1739" s="4"/>
      <c r="BG1739" s="4"/>
      <c r="BH1739" s="4"/>
      <c r="BI1739" s="4"/>
      <c r="BJ1739" s="4"/>
      <c r="BK1739" s="4"/>
      <c r="BL1739" s="4"/>
      <c r="BM1739" s="4"/>
      <c r="BN1739" s="4"/>
      <c r="BO1739" s="4"/>
      <c r="BP1739" s="4"/>
      <c r="BQ1739" s="4"/>
      <c r="BR1739" s="4"/>
      <c r="BS1739" s="4"/>
      <c r="BT1739" s="4"/>
      <c r="BU1739" s="4"/>
    </row>
    <row r="1740" spans="29:73" s="1" customFormat="1" x14ac:dyDescent="0.25">
      <c r="AC1740" s="4"/>
      <c r="AD1740" s="4"/>
      <c r="AE1740" s="4"/>
      <c r="AF1740" s="4"/>
      <c r="AG1740" s="4"/>
      <c r="AH1740" s="4"/>
      <c r="AI1740" s="4"/>
      <c r="AJ1740" s="4"/>
      <c r="AK1740" s="4"/>
      <c r="AL1740" s="4"/>
      <c r="AM1740" s="4"/>
      <c r="AN1740" s="4"/>
      <c r="AO1740" s="4"/>
      <c r="AP1740" s="4"/>
      <c r="AQ1740" s="4"/>
      <c r="AR1740" s="4"/>
      <c r="AS1740" s="4"/>
      <c r="AT1740" s="4"/>
      <c r="AU1740" s="4"/>
      <c r="AV1740" s="4"/>
      <c r="AW1740" s="4"/>
      <c r="AX1740" s="4"/>
      <c r="AY1740" s="4"/>
      <c r="AZ1740" s="4"/>
      <c r="BA1740" s="4"/>
      <c r="BB1740" s="4"/>
      <c r="BC1740" s="4"/>
      <c r="BD1740" s="4"/>
      <c r="BE1740" s="4"/>
      <c r="BF1740" s="4"/>
      <c r="BG1740" s="4"/>
      <c r="BH1740" s="4"/>
      <c r="BI1740" s="4"/>
      <c r="BJ1740" s="4"/>
      <c r="BK1740" s="4"/>
      <c r="BL1740" s="4"/>
      <c r="BM1740" s="4"/>
      <c r="BN1740" s="4"/>
      <c r="BO1740" s="4"/>
      <c r="BP1740" s="4"/>
      <c r="BQ1740" s="4"/>
      <c r="BR1740" s="4"/>
      <c r="BS1740" s="4"/>
      <c r="BT1740" s="4"/>
      <c r="BU1740" s="4"/>
    </row>
    <row r="1741" spans="29:73" s="1" customFormat="1" x14ac:dyDescent="0.25">
      <c r="AC1741" s="4"/>
      <c r="AD1741" s="4"/>
      <c r="AE1741" s="4"/>
      <c r="AF1741" s="4"/>
      <c r="AG1741" s="4"/>
      <c r="AH1741" s="4"/>
      <c r="AI1741" s="4"/>
      <c r="AJ1741" s="4"/>
      <c r="AK1741" s="4"/>
      <c r="AL1741" s="4"/>
      <c r="AM1741" s="4"/>
      <c r="AN1741" s="4"/>
      <c r="AO1741" s="4"/>
      <c r="AP1741" s="4"/>
      <c r="AQ1741" s="4"/>
      <c r="AR1741" s="4"/>
      <c r="AS1741" s="4"/>
      <c r="AT1741" s="4"/>
      <c r="AU1741" s="4"/>
      <c r="AV1741" s="4"/>
      <c r="AW1741" s="4"/>
      <c r="AX1741" s="4"/>
      <c r="AY1741" s="4"/>
      <c r="AZ1741" s="4"/>
      <c r="BA1741" s="4"/>
      <c r="BB1741" s="4"/>
      <c r="BC1741" s="4"/>
      <c r="BD1741" s="4"/>
      <c r="BE1741" s="4"/>
      <c r="BF1741" s="4"/>
      <c r="BG1741" s="4"/>
      <c r="BH1741" s="4"/>
      <c r="BI1741" s="4"/>
      <c r="BJ1741" s="4"/>
      <c r="BK1741" s="4"/>
      <c r="BL1741" s="4"/>
      <c r="BM1741" s="4"/>
      <c r="BN1741" s="4"/>
      <c r="BO1741" s="4"/>
      <c r="BP1741" s="4"/>
      <c r="BQ1741" s="4"/>
      <c r="BR1741" s="4"/>
      <c r="BS1741" s="4"/>
      <c r="BT1741" s="4"/>
      <c r="BU1741" s="4"/>
    </row>
    <row r="1742" spans="29:73" s="1" customFormat="1" x14ac:dyDescent="0.25">
      <c r="AC1742" s="4"/>
      <c r="AD1742" s="4"/>
      <c r="AE1742" s="4"/>
      <c r="AF1742" s="4"/>
      <c r="AG1742" s="4"/>
      <c r="AH1742" s="4"/>
      <c r="AI1742" s="4"/>
      <c r="AJ1742" s="4"/>
      <c r="AK1742" s="4"/>
      <c r="AL1742" s="4"/>
      <c r="AM1742" s="4"/>
      <c r="AN1742" s="4"/>
      <c r="AO1742" s="4"/>
      <c r="AP1742" s="4"/>
      <c r="AQ1742" s="4"/>
      <c r="AR1742" s="4"/>
      <c r="AS1742" s="4"/>
      <c r="AT1742" s="4"/>
      <c r="AU1742" s="4"/>
      <c r="AV1742" s="4"/>
      <c r="AW1742" s="4"/>
      <c r="AX1742" s="4"/>
      <c r="AY1742" s="4"/>
      <c r="AZ1742" s="4"/>
      <c r="BA1742" s="4"/>
      <c r="BB1742" s="4"/>
      <c r="BC1742" s="4"/>
      <c r="BD1742" s="4"/>
      <c r="BE1742" s="4"/>
      <c r="BF1742" s="4"/>
      <c r="BG1742" s="4"/>
      <c r="BH1742" s="4"/>
      <c r="BI1742" s="4"/>
      <c r="BJ1742" s="4"/>
      <c r="BK1742" s="4"/>
      <c r="BL1742" s="4"/>
      <c r="BM1742" s="4"/>
      <c r="BN1742" s="4"/>
      <c r="BO1742" s="4"/>
      <c r="BP1742" s="4"/>
      <c r="BQ1742" s="4"/>
      <c r="BR1742" s="4"/>
      <c r="BS1742" s="4"/>
      <c r="BT1742" s="4"/>
      <c r="BU1742" s="4"/>
    </row>
    <row r="1743" spans="29:73" s="1" customFormat="1" x14ac:dyDescent="0.25">
      <c r="AC1743" s="4"/>
      <c r="AD1743" s="4"/>
      <c r="AE1743" s="4"/>
      <c r="AF1743" s="4"/>
      <c r="AG1743" s="4"/>
      <c r="AH1743" s="4"/>
      <c r="AI1743" s="4"/>
      <c r="AJ1743" s="4"/>
      <c r="AK1743" s="4"/>
      <c r="AL1743" s="4"/>
      <c r="AM1743" s="4"/>
      <c r="AN1743" s="4"/>
      <c r="AO1743" s="4"/>
      <c r="AP1743" s="4"/>
      <c r="AQ1743" s="4"/>
      <c r="AR1743" s="4"/>
      <c r="AS1743" s="4"/>
      <c r="AT1743" s="4"/>
      <c r="AU1743" s="4"/>
      <c r="AV1743" s="4"/>
      <c r="AW1743" s="4"/>
      <c r="AX1743" s="4"/>
      <c r="AY1743" s="4"/>
      <c r="AZ1743" s="4"/>
      <c r="BA1743" s="4"/>
      <c r="BB1743" s="4"/>
      <c r="BC1743" s="4"/>
      <c r="BD1743" s="4"/>
      <c r="BE1743" s="4"/>
      <c r="BF1743" s="4"/>
      <c r="BG1743" s="4"/>
      <c r="BH1743" s="4"/>
      <c r="BI1743" s="4"/>
      <c r="BJ1743" s="4"/>
      <c r="BK1743" s="4"/>
      <c r="BL1743" s="4"/>
      <c r="BM1743" s="4"/>
      <c r="BN1743" s="4"/>
      <c r="BO1743" s="4"/>
      <c r="BP1743" s="4"/>
      <c r="BQ1743" s="4"/>
      <c r="BR1743" s="4"/>
      <c r="BS1743" s="4"/>
      <c r="BT1743" s="4"/>
      <c r="BU1743" s="4"/>
    </row>
    <row r="1744" spans="29:73" s="1" customFormat="1" x14ac:dyDescent="0.25">
      <c r="AC1744" s="4"/>
      <c r="AD1744" s="4"/>
      <c r="AE1744" s="4"/>
      <c r="AF1744" s="4"/>
      <c r="AG1744" s="4"/>
      <c r="AH1744" s="4"/>
      <c r="AI1744" s="4"/>
      <c r="AJ1744" s="4"/>
      <c r="AK1744" s="4"/>
      <c r="AL1744" s="4"/>
      <c r="AM1744" s="4"/>
      <c r="AN1744" s="4"/>
      <c r="AO1744" s="4"/>
      <c r="AP1744" s="4"/>
      <c r="AQ1744" s="4"/>
      <c r="AR1744" s="4"/>
      <c r="AS1744" s="4"/>
      <c r="AT1744" s="4"/>
      <c r="AU1744" s="4"/>
      <c r="AV1744" s="4"/>
      <c r="AW1744" s="4"/>
      <c r="AX1744" s="4"/>
      <c r="AY1744" s="4"/>
      <c r="AZ1744" s="4"/>
      <c r="BA1744" s="4"/>
      <c r="BB1744" s="4"/>
      <c r="BC1744" s="4"/>
      <c r="BD1744" s="4"/>
      <c r="BE1744" s="4"/>
      <c r="BF1744" s="4"/>
      <c r="BG1744" s="4"/>
      <c r="BH1744" s="4"/>
      <c r="BI1744" s="4"/>
      <c r="BJ1744" s="4"/>
      <c r="BK1744" s="4"/>
      <c r="BL1744" s="4"/>
      <c r="BM1744" s="4"/>
      <c r="BN1744" s="4"/>
      <c r="BO1744" s="4"/>
      <c r="BP1744" s="4"/>
      <c r="BQ1744" s="4"/>
      <c r="BR1744" s="4"/>
      <c r="BS1744" s="4"/>
      <c r="BT1744" s="4"/>
      <c r="BU1744" s="4"/>
    </row>
    <row r="1745" spans="29:73" s="1" customFormat="1" x14ac:dyDescent="0.25">
      <c r="AC1745" s="4"/>
      <c r="AD1745" s="4"/>
      <c r="AE1745" s="4"/>
      <c r="AF1745" s="4"/>
      <c r="AG1745" s="4"/>
      <c r="AH1745" s="4"/>
      <c r="AI1745" s="4"/>
      <c r="AJ1745" s="4"/>
      <c r="AK1745" s="4"/>
      <c r="AL1745" s="4"/>
      <c r="AM1745" s="4"/>
      <c r="AN1745" s="4"/>
      <c r="AO1745" s="4"/>
      <c r="AP1745" s="4"/>
      <c r="AQ1745" s="4"/>
      <c r="AR1745" s="4"/>
      <c r="AS1745" s="4"/>
      <c r="AT1745" s="4"/>
      <c r="AU1745" s="4"/>
      <c r="AV1745" s="4"/>
      <c r="AW1745" s="4"/>
      <c r="AX1745" s="4"/>
      <c r="AY1745" s="4"/>
      <c r="AZ1745" s="4"/>
      <c r="BA1745" s="4"/>
      <c r="BB1745" s="4"/>
      <c r="BC1745" s="4"/>
      <c r="BD1745" s="4"/>
      <c r="BE1745" s="4"/>
      <c r="BF1745" s="4"/>
      <c r="BG1745" s="4"/>
      <c r="BH1745" s="4"/>
      <c r="BI1745" s="4"/>
      <c r="BJ1745" s="4"/>
      <c r="BK1745" s="4"/>
      <c r="BL1745" s="4"/>
      <c r="BM1745" s="4"/>
      <c r="BN1745" s="4"/>
      <c r="BO1745" s="4"/>
      <c r="BP1745" s="4"/>
      <c r="BQ1745" s="4"/>
      <c r="BR1745" s="4"/>
      <c r="BS1745" s="4"/>
      <c r="BT1745" s="4"/>
      <c r="BU1745" s="4"/>
    </row>
    <row r="1746" spans="29:73" s="1" customFormat="1" x14ac:dyDescent="0.25">
      <c r="AC1746" s="4"/>
      <c r="AD1746" s="4"/>
      <c r="AE1746" s="4"/>
      <c r="AF1746" s="4"/>
      <c r="AG1746" s="4"/>
      <c r="AH1746" s="4"/>
      <c r="AI1746" s="4"/>
      <c r="AJ1746" s="4"/>
      <c r="AK1746" s="4"/>
      <c r="AL1746" s="4"/>
      <c r="AM1746" s="4"/>
      <c r="AN1746" s="4"/>
      <c r="AO1746" s="4"/>
      <c r="AP1746" s="4"/>
      <c r="AQ1746" s="4"/>
      <c r="AR1746" s="4"/>
      <c r="AS1746" s="4"/>
      <c r="AT1746" s="4"/>
      <c r="AU1746" s="4"/>
      <c r="AV1746" s="4"/>
      <c r="AW1746" s="4"/>
      <c r="AX1746" s="4"/>
      <c r="AY1746" s="4"/>
      <c r="AZ1746" s="4"/>
      <c r="BA1746" s="4"/>
      <c r="BB1746" s="4"/>
      <c r="BC1746" s="4"/>
      <c r="BD1746" s="4"/>
      <c r="BE1746" s="4"/>
      <c r="BF1746" s="4"/>
      <c r="BG1746" s="4"/>
      <c r="BH1746" s="4"/>
      <c r="BI1746" s="4"/>
      <c r="BJ1746" s="4"/>
      <c r="BK1746" s="4"/>
      <c r="BL1746" s="4"/>
      <c r="BM1746" s="4"/>
      <c r="BN1746" s="4"/>
      <c r="BO1746" s="4"/>
      <c r="BP1746" s="4"/>
      <c r="BQ1746" s="4"/>
      <c r="BR1746" s="4"/>
      <c r="BS1746" s="4"/>
      <c r="BT1746" s="4"/>
      <c r="BU1746" s="4"/>
    </row>
    <row r="1747" spans="29:73" s="1" customFormat="1" x14ac:dyDescent="0.25">
      <c r="AC1747" s="4"/>
      <c r="AD1747" s="4"/>
      <c r="AE1747" s="4"/>
      <c r="AF1747" s="4"/>
      <c r="AG1747" s="4"/>
      <c r="AH1747" s="4"/>
      <c r="AI1747" s="4"/>
      <c r="AJ1747" s="4"/>
      <c r="AK1747" s="4"/>
      <c r="AL1747" s="4"/>
      <c r="AM1747" s="4"/>
      <c r="AN1747" s="4"/>
      <c r="AO1747" s="4"/>
      <c r="AP1747" s="4"/>
      <c r="AQ1747" s="4"/>
      <c r="AR1747" s="4"/>
      <c r="AS1747" s="4"/>
      <c r="AT1747" s="4"/>
      <c r="AU1747" s="4"/>
      <c r="AV1747" s="4"/>
      <c r="AW1747" s="4"/>
      <c r="AX1747" s="4"/>
      <c r="AY1747" s="4"/>
      <c r="AZ1747" s="4"/>
      <c r="BA1747" s="4"/>
      <c r="BB1747" s="4"/>
      <c r="BC1747" s="4"/>
      <c r="BD1747" s="4"/>
      <c r="BE1747" s="4"/>
      <c r="BF1747" s="4"/>
      <c r="BG1747" s="4"/>
      <c r="BH1747" s="4"/>
      <c r="BI1747" s="4"/>
      <c r="BJ1747" s="4"/>
      <c r="BK1747" s="4"/>
      <c r="BL1747" s="4"/>
      <c r="BM1747" s="4"/>
      <c r="BN1747" s="4"/>
      <c r="BO1747" s="4"/>
      <c r="BP1747" s="4"/>
      <c r="BQ1747" s="4"/>
      <c r="BR1747" s="4"/>
      <c r="BS1747" s="4"/>
      <c r="BT1747" s="4"/>
      <c r="BU1747" s="4"/>
    </row>
    <row r="1748" spans="29:73" s="1" customFormat="1" x14ac:dyDescent="0.25">
      <c r="AC1748" s="4"/>
      <c r="AD1748" s="4"/>
      <c r="AE1748" s="4"/>
      <c r="AF1748" s="4"/>
      <c r="AG1748" s="4"/>
      <c r="AH1748" s="4"/>
      <c r="AI1748" s="4"/>
      <c r="AJ1748" s="4"/>
      <c r="AK1748" s="4"/>
      <c r="AL1748" s="4"/>
      <c r="AM1748" s="4"/>
      <c r="AN1748" s="4"/>
      <c r="AO1748" s="4"/>
      <c r="AP1748" s="4"/>
      <c r="AQ1748" s="4"/>
      <c r="AR1748" s="4"/>
      <c r="AS1748" s="4"/>
      <c r="AT1748" s="4"/>
      <c r="AU1748" s="4"/>
      <c r="AV1748" s="4"/>
      <c r="AW1748" s="4"/>
      <c r="AX1748" s="4"/>
      <c r="AY1748" s="4"/>
      <c r="AZ1748" s="4"/>
      <c r="BA1748" s="4"/>
      <c r="BB1748" s="4"/>
      <c r="BC1748" s="4"/>
      <c r="BD1748" s="4"/>
      <c r="BE1748" s="4"/>
      <c r="BF1748" s="4"/>
      <c r="BG1748" s="4"/>
      <c r="BH1748" s="4"/>
      <c r="BI1748" s="4"/>
      <c r="BJ1748" s="4"/>
      <c r="BK1748" s="4"/>
      <c r="BL1748" s="4"/>
      <c r="BM1748" s="4"/>
      <c r="BN1748" s="4"/>
      <c r="BO1748" s="4"/>
      <c r="BP1748" s="4"/>
      <c r="BQ1748" s="4"/>
      <c r="BR1748" s="4"/>
      <c r="BS1748" s="4"/>
      <c r="BT1748" s="4"/>
      <c r="BU1748" s="4"/>
    </row>
    <row r="1749" spans="29:73" s="1" customFormat="1" x14ac:dyDescent="0.25">
      <c r="AC1749" s="4"/>
      <c r="AD1749" s="4"/>
      <c r="AE1749" s="4"/>
      <c r="AF1749" s="4"/>
      <c r="AG1749" s="4"/>
      <c r="AH1749" s="4"/>
      <c r="AI1749" s="4"/>
      <c r="AJ1749" s="4"/>
      <c r="AK1749" s="4"/>
      <c r="AL1749" s="4"/>
      <c r="AM1749" s="4"/>
      <c r="AN1749" s="4"/>
      <c r="AO1749" s="4"/>
      <c r="AP1749" s="4"/>
      <c r="AQ1749" s="4"/>
      <c r="AR1749" s="4"/>
      <c r="AS1749" s="4"/>
      <c r="AT1749" s="4"/>
      <c r="AU1749" s="4"/>
      <c r="AV1749" s="4"/>
      <c r="AW1749" s="4"/>
      <c r="AX1749" s="4"/>
      <c r="AY1749" s="4"/>
      <c r="AZ1749" s="4"/>
      <c r="BA1749" s="4"/>
      <c r="BB1749" s="4"/>
      <c r="BC1749" s="4"/>
      <c r="BD1749" s="4"/>
      <c r="BE1749" s="4"/>
      <c r="BF1749" s="4"/>
      <c r="BG1749" s="4"/>
      <c r="BH1749" s="4"/>
      <c r="BI1749" s="4"/>
      <c r="BJ1749" s="4"/>
      <c r="BK1749" s="4"/>
      <c r="BL1749" s="4"/>
      <c r="BM1749" s="4"/>
      <c r="BN1749" s="4"/>
      <c r="BO1749" s="4"/>
      <c r="BP1749" s="4"/>
      <c r="BQ1749" s="4"/>
      <c r="BR1749" s="4"/>
      <c r="BS1749" s="4"/>
      <c r="BT1749" s="4"/>
      <c r="BU1749" s="4"/>
    </row>
    <row r="1750" spans="29:73" s="1" customFormat="1" x14ac:dyDescent="0.25">
      <c r="AC1750" s="4"/>
      <c r="AD1750" s="4"/>
      <c r="AE1750" s="4"/>
      <c r="AF1750" s="4"/>
      <c r="AG1750" s="4"/>
      <c r="AH1750" s="4"/>
      <c r="AI1750" s="4"/>
      <c r="AJ1750" s="4"/>
      <c r="AK1750" s="4"/>
      <c r="AL1750" s="4"/>
      <c r="AM1750" s="4"/>
      <c r="AN1750" s="4"/>
      <c r="AO1750" s="4"/>
      <c r="AP1750" s="4"/>
      <c r="AQ1750" s="4"/>
      <c r="AR1750" s="4"/>
      <c r="AS1750" s="4"/>
      <c r="AT1750" s="4"/>
      <c r="AU1750" s="4"/>
      <c r="AV1750" s="4"/>
      <c r="AW1750" s="4"/>
      <c r="AX1750" s="4"/>
      <c r="AY1750" s="4"/>
      <c r="AZ1750" s="4"/>
      <c r="BA1750" s="4"/>
      <c r="BB1750" s="4"/>
      <c r="BC1750" s="4"/>
      <c r="BD1750" s="4"/>
      <c r="BE1750" s="4"/>
      <c r="BF1750" s="4"/>
      <c r="BG1750" s="4"/>
      <c r="BH1750" s="4"/>
      <c r="BI1750" s="4"/>
      <c r="BJ1750" s="4"/>
      <c r="BK1750" s="4"/>
      <c r="BL1750" s="4"/>
      <c r="BM1750" s="4"/>
      <c r="BN1750" s="4"/>
      <c r="BO1750" s="4"/>
      <c r="BP1750" s="4"/>
      <c r="BQ1750" s="4"/>
      <c r="BR1750" s="4"/>
      <c r="BS1750" s="4"/>
      <c r="BT1750" s="4"/>
      <c r="BU1750" s="4"/>
    </row>
    <row r="1751" spans="29:73" s="1" customFormat="1" x14ac:dyDescent="0.25">
      <c r="AC1751" s="4"/>
      <c r="AD1751" s="4"/>
      <c r="AE1751" s="4"/>
      <c r="AF1751" s="4"/>
      <c r="AG1751" s="4"/>
      <c r="AH1751" s="4"/>
      <c r="AI1751" s="4"/>
      <c r="AJ1751" s="4"/>
      <c r="AK1751" s="4"/>
      <c r="AL1751" s="4"/>
      <c r="AM1751" s="4"/>
      <c r="AN1751" s="4"/>
      <c r="AO1751" s="4"/>
      <c r="AP1751" s="4"/>
      <c r="AQ1751" s="4"/>
      <c r="AR1751" s="4"/>
      <c r="AS1751" s="4"/>
      <c r="AT1751" s="4"/>
      <c r="AU1751" s="4"/>
      <c r="AV1751" s="4"/>
      <c r="AW1751" s="4"/>
      <c r="AX1751" s="4"/>
      <c r="AY1751" s="4"/>
      <c r="AZ1751" s="4"/>
      <c r="BA1751" s="4"/>
      <c r="BB1751" s="4"/>
      <c r="BC1751" s="4"/>
      <c r="BD1751" s="4"/>
      <c r="BE1751" s="4"/>
      <c r="BF1751" s="4"/>
      <c r="BG1751" s="4"/>
      <c r="BH1751" s="4"/>
      <c r="BI1751" s="4"/>
      <c r="BJ1751" s="4"/>
      <c r="BK1751" s="4"/>
      <c r="BL1751" s="4"/>
      <c r="BM1751" s="4"/>
      <c r="BN1751" s="4"/>
      <c r="BO1751" s="4"/>
      <c r="BP1751" s="4"/>
      <c r="BQ1751" s="4"/>
      <c r="BR1751" s="4"/>
      <c r="BS1751" s="4"/>
      <c r="BT1751" s="4"/>
      <c r="BU1751" s="4"/>
    </row>
    <row r="1752" spans="29:73" s="1" customFormat="1" x14ac:dyDescent="0.25">
      <c r="AC1752" s="4"/>
      <c r="AD1752" s="4"/>
      <c r="AE1752" s="4"/>
      <c r="AF1752" s="4"/>
      <c r="AG1752" s="4"/>
      <c r="AH1752" s="4"/>
      <c r="AI1752" s="4"/>
      <c r="AJ1752" s="4"/>
      <c r="AK1752" s="4"/>
      <c r="AL1752" s="4"/>
      <c r="AM1752" s="4"/>
      <c r="AN1752" s="4"/>
      <c r="AO1752" s="4"/>
      <c r="AP1752" s="4"/>
      <c r="AQ1752" s="4"/>
      <c r="AR1752" s="4"/>
      <c r="AS1752" s="4"/>
      <c r="AT1752" s="4"/>
      <c r="AU1752" s="4"/>
      <c r="AV1752" s="4"/>
      <c r="AW1752" s="4"/>
      <c r="AX1752" s="4"/>
      <c r="AY1752" s="4"/>
      <c r="AZ1752" s="4"/>
      <c r="BA1752" s="4"/>
      <c r="BB1752" s="4"/>
      <c r="BC1752" s="4"/>
      <c r="BD1752" s="4"/>
      <c r="BE1752" s="4"/>
      <c r="BF1752" s="4"/>
      <c r="BG1752" s="4"/>
      <c r="BH1752" s="4"/>
      <c r="BI1752" s="4"/>
      <c r="BJ1752" s="4"/>
      <c r="BK1752" s="4"/>
      <c r="BL1752" s="4"/>
      <c r="BM1752" s="4"/>
      <c r="BN1752" s="4"/>
      <c r="BO1752" s="4"/>
      <c r="BP1752" s="4"/>
      <c r="BQ1752" s="4"/>
      <c r="BR1752" s="4"/>
      <c r="BS1752" s="4"/>
      <c r="BT1752" s="4"/>
      <c r="BU1752" s="4"/>
    </row>
    <row r="1753" spans="29:73" s="1" customFormat="1" x14ac:dyDescent="0.25">
      <c r="AC1753" s="4"/>
      <c r="AD1753" s="4"/>
      <c r="AE1753" s="4"/>
      <c r="AF1753" s="4"/>
      <c r="AG1753" s="4"/>
      <c r="AH1753" s="4"/>
      <c r="AI1753" s="4"/>
      <c r="AJ1753" s="4"/>
      <c r="AK1753" s="4"/>
      <c r="AL1753" s="4"/>
      <c r="AM1753" s="4"/>
      <c r="AN1753" s="4"/>
      <c r="AO1753" s="4"/>
      <c r="AP1753" s="4"/>
      <c r="AQ1753" s="4"/>
      <c r="AR1753" s="4"/>
      <c r="AS1753" s="4"/>
      <c r="AT1753" s="4"/>
      <c r="AU1753" s="4"/>
      <c r="AV1753" s="4"/>
      <c r="AW1753" s="4"/>
      <c r="AX1753" s="4"/>
      <c r="AY1753" s="4"/>
      <c r="AZ1753" s="4"/>
      <c r="BA1753" s="4"/>
      <c r="BB1753" s="4"/>
      <c r="BC1753" s="4"/>
      <c r="BD1753" s="4"/>
      <c r="BE1753" s="4"/>
      <c r="BF1753" s="4"/>
      <c r="BG1753" s="4"/>
      <c r="BH1753" s="4"/>
      <c r="BI1753" s="4"/>
      <c r="BJ1753" s="4"/>
      <c r="BK1753" s="4"/>
      <c r="BL1753" s="4"/>
      <c r="BM1753" s="4"/>
      <c r="BN1753" s="4"/>
      <c r="BO1753" s="4"/>
      <c r="BP1753" s="4"/>
      <c r="BQ1753" s="4"/>
      <c r="BR1753" s="4"/>
      <c r="BS1753" s="4"/>
      <c r="BT1753" s="4"/>
      <c r="BU1753" s="4"/>
    </row>
    <row r="1754" spans="29:73" s="1" customFormat="1" x14ac:dyDescent="0.25">
      <c r="AC1754" s="4"/>
      <c r="AD1754" s="4"/>
      <c r="AE1754" s="4"/>
      <c r="AF1754" s="4"/>
      <c r="AG1754" s="4"/>
      <c r="AH1754" s="4"/>
      <c r="AI1754" s="4"/>
      <c r="AJ1754" s="4"/>
      <c r="AK1754" s="4"/>
      <c r="AL1754" s="4"/>
      <c r="AM1754" s="4"/>
      <c r="AN1754" s="4"/>
      <c r="AO1754" s="4"/>
      <c r="AP1754" s="4"/>
      <c r="AQ1754" s="4"/>
      <c r="AR1754" s="4"/>
      <c r="AS1754" s="4"/>
      <c r="AT1754" s="4"/>
      <c r="AU1754" s="4"/>
      <c r="AV1754" s="4"/>
      <c r="AW1754" s="4"/>
      <c r="AX1754" s="4"/>
      <c r="AY1754" s="4"/>
      <c r="AZ1754" s="4"/>
      <c r="BA1754" s="4"/>
      <c r="BB1754" s="4"/>
      <c r="BC1754" s="4"/>
      <c r="BD1754" s="4"/>
      <c r="BE1754" s="4"/>
      <c r="BF1754" s="4"/>
      <c r="BG1754" s="4"/>
      <c r="BH1754" s="4"/>
      <c r="BI1754" s="4"/>
      <c r="BJ1754" s="4"/>
      <c r="BK1754" s="4"/>
      <c r="BL1754" s="4"/>
      <c r="BM1754" s="4"/>
      <c r="BN1754" s="4"/>
      <c r="BO1754" s="4"/>
      <c r="BP1754" s="4"/>
      <c r="BQ1754" s="4"/>
      <c r="BR1754" s="4"/>
      <c r="BS1754" s="4"/>
      <c r="BT1754" s="4"/>
      <c r="BU1754" s="4"/>
    </row>
    <row r="1755" spans="29:73" s="1" customFormat="1" x14ac:dyDescent="0.25">
      <c r="AC1755" s="4"/>
      <c r="AD1755" s="4"/>
      <c r="AE1755" s="4"/>
      <c r="AF1755" s="4"/>
      <c r="AG1755" s="4"/>
      <c r="AH1755" s="4"/>
      <c r="AI1755" s="4"/>
      <c r="AJ1755" s="4"/>
      <c r="AK1755" s="4"/>
      <c r="AL1755" s="4"/>
      <c r="AM1755" s="4"/>
      <c r="AN1755" s="4"/>
      <c r="AO1755" s="4"/>
      <c r="AP1755" s="4"/>
      <c r="AQ1755" s="4"/>
      <c r="AR1755" s="4"/>
      <c r="AS1755" s="4"/>
      <c r="AT1755" s="4"/>
      <c r="AU1755" s="4"/>
      <c r="AV1755" s="4"/>
      <c r="AW1755" s="4"/>
      <c r="AX1755" s="4"/>
      <c r="AY1755" s="4"/>
      <c r="AZ1755" s="4"/>
      <c r="BA1755" s="4"/>
      <c r="BB1755" s="4"/>
      <c r="BC1755" s="4"/>
      <c r="BD1755" s="4"/>
      <c r="BE1755" s="4"/>
      <c r="BF1755" s="4"/>
      <c r="BG1755" s="4"/>
      <c r="BH1755" s="4"/>
      <c r="BI1755" s="4"/>
      <c r="BJ1755" s="4"/>
      <c r="BK1755" s="4"/>
      <c r="BL1755" s="4"/>
      <c r="BM1755" s="4"/>
      <c r="BN1755" s="4"/>
      <c r="BO1755" s="4"/>
      <c r="BP1755" s="4"/>
      <c r="BQ1755" s="4"/>
      <c r="BR1755" s="4"/>
      <c r="BS1755" s="4"/>
      <c r="BT1755" s="4"/>
      <c r="BU1755" s="4"/>
    </row>
    <row r="1756" spans="29:73" s="1" customFormat="1" x14ac:dyDescent="0.25">
      <c r="AC1756" s="4"/>
      <c r="AD1756" s="4"/>
      <c r="AE1756" s="4"/>
      <c r="AF1756" s="4"/>
      <c r="AG1756" s="4"/>
      <c r="AH1756" s="4"/>
      <c r="AI1756" s="4"/>
      <c r="AJ1756" s="4"/>
      <c r="AK1756" s="4"/>
      <c r="AL1756" s="4"/>
      <c r="AM1756" s="4"/>
      <c r="AN1756" s="4"/>
      <c r="AO1756" s="4"/>
      <c r="AP1756" s="4"/>
      <c r="AQ1756" s="4"/>
      <c r="AR1756" s="4"/>
      <c r="AS1756" s="4"/>
      <c r="AT1756" s="4"/>
      <c r="AU1756" s="4"/>
      <c r="AV1756" s="4"/>
      <c r="AW1756" s="4"/>
      <c r="AX1756" s="4"/>
      <c r="AY1756" s="4"/>
      <c r="AZ1756" s="4"/>
      <c r="BA1756" s="4"/>
      <c r="BB1756" s="4"/>
      <c r="BC1756" s="4"/>
      <c r="BD1756" s="4"/>
      <c r="BE1756" s="4"/>
      <c r="BF1756" s="4"/>
      <c r="BG1756" s="4"/>
      <c r="BH1756" s="4"/>
      <c r="BI1756" s="4"/>
      <c r="BJ1756" s="4"/>
      <c r="BK1756" s="4"/>
      <c r="BL1756" s="4"/>
      <c r="BM1756" s="4"/>
      <c r="BN1756" s="4"/>
      <c r="BO1756" s="4"/>
      <c r="BP1756" s="4"/>
      <c r="BQ1756" s="4"/>
      <c r="BR1756" s="4"/>
      <c r="BS1756" s="4"/>
      <c r="BT1756" s="4"/>
      <c r="BU1756" s="4"/>
    </row>
    <row r="1757" spans="29:73" s="1" customFormat="1" x14ac:dyDescent="0.25">
      <c r="AC1757" s="4"/>
      <c r="AD1757" s="4"/>
      <c r="AE1757" s="4"/>
      <c r="AF1757" s="4"/>
      <c r="AG1757" s="4"/>
      <c r="AH1757" s="4"/>
      <c r="AI1757" s="4"/>
      <c r="AJ1757" s="4"/>
      <c r="AK1757" s="4"/>
      <c r="AL1757" s="4"/>
      <c r="AM1757" s="4"/>
      <c r="AN1757" s="4"/>
      <c r="AO1757" s="4"/>
      <c r="AP1757" s="4"/>
      <c r="AQ1757" s="4"/>
      <c r="AR1757" s="4"/>
      <c r="AS1757" s="4"/>
      <c r="AT1757" s="4"/>
      <c r="AU1757" s="4"/>
      <c r="AV1757" s="4"/>
      <c r="AW1757" s="4"/>
      <c r="AX1757" s="4"/>
      <c r="AY1757" s="4"/>
      <c r="AZ1757" s="4"/>
      <c r="BA1757" s="4"/>
      <c r="BB1757" s="4"/>
      <c r="BC1757" s="4"/>
      <c r="BD1757" s="4"/>
      <c r="BE1757" s="4"/>
      <c r="BF1757" s="4"/>
      <c r="BG1757" s="4"/>
      <c r="BH1757" s="4"/>
      <c r="BI1757" s="4"/>
      <c r="BJ1757" s="4"/>
      <c r="BK1757" s="4"/>
      <c r="BL1757" s="4"/>
      <c r="BM1757" s="4"/>
      <c r="BN1757" s="4"/>
      <c r="BO1757" s="4"/>
      <c r="BP1757" s="4"/>
      <c r="BQ1757" s="4"/>
      <c r="BR1757" s="4"/>
      <c r="BS1757" s="4"/>
      <c r="BT1757" s="4"/>
      <c r="BU1757" s="4"/>
    </row>
    <row r="1758" spans="29:73" s="1" customFormat="1" x14ac:dyDescent="0.25">
      <c r="AC1758" s="4"/>
      <c r="AD1758" s="4"/>
      <c r="AE1758" s="4"/>
      <c r="AF1758" s="4"/>
      <c r="AG1758" s="4"/>
      <c r="AH1758" s="4"/>
      <c r="AI1758" s="4"/>
      <c r="AJ1758" s="4"/>
      <c r="AK1758" s="4"/>
      <c r="AL1758" s="4"/>
      <c r="AM1758" s="4"/>
      <c r="AN1758" s="4"/>
      <c r="AO1758" s="4"/>
      <c r="AP1758" s="4"/>
      <c r="AQ1758" s="4"/>
      <c r="AR1758" s="4"/>
      <c r="AS1758" s="4"/>
      <c r="AT1758" s="4"/>
      <c r="AU1758" s="4"/>
      <c r="AV1758" s="4"/>
      <c r="AW1758" s="4"/>
      <c r="AX1758" s="4"/>
      <c r="AY1758" s="4"/>
      <c r="AZ1758" s="4"/>
      <c r="BA1758" s="4"/>
      <c r="BB1758" s="4"/>
      <c r="BC1758" s="4"/>
      <c r="BD1758" s="4"/>
      <c r="BE1758" s="4"/>
      <c r="BF1758" s="4"/>
      <c r="BG1758" s="4"/>
      <c r="BH1758" s="4"/>
      <c r="BI1758" s="4"/>
      <c r="BJ1758" s="4"/>
      <c r="BK1758" s="4"/>
      <c r="BL1758" s="4"/>
      <c r="BM1758" s="4"/>
      <c r="BN1758" s="4"/>
      <c r="BO1758" s="4"/>
      <c r="BP1758" s="4"/>
      <c r="BQ1758" s="4"/>
      <c r="BR1758" s="4"/>
      <c r="BS1758" s="4"/>
      <c r="BT1758" s="4"/>
      <c r="BU1758" s="4"/>
    </row>
    <row r="1759" spans="29:73" s="1" customFormat="1" x14ac:dyDescent="0.25">
      <c r="AC1759" s="4"/>
      <c r="AD1759" s="4"/>
      <c r="AE1759" s="4"/>
      <c r="AF1759" s="4"/>
      <c r="AG1759" s="4"/>
      <c r="AH1759" s="4"/>
      <c r="AI1759" s="4"/>
      <c r="AJ1759" s="4"/>
      <c r="AK1759" s="4"/>
      <c r="AL1759" s="4"/>
      <c r="AM1759" s="4"/>
      <c r="AN1759" s="4"/>
      <c r="AO1759" s="4"/>
      <c r="AP1759" s="4"/>
      <c r="AQ1759" s="4"/>
      <c r="AR1759" s="4"/>
      <c r="AS1759" s="4"/>
      <c r="AT1759" s="4"/>
      <c r="AU1759" s="4"/>
      <c r="AV1759" s="4"/>
      <c r="AW1759" s="4"/>
      <c r="AX1759" s="4"/>
      <c r="AY1759" s="4"/>
      <c r="AZ1759" s="4"/>
      <c r="BA1759" s="4"/>
      <c r="BB1759" s="4"/>
      <c r="BC1759" s="4"/>
      <c r="BD1759" s="4"/>
      <c r="BE1759" s="4"/>
      <c r="BF1759" s="4"/>
      <c r="BG1759" s="4"/>
      <c r="BH1759" s="4"/>
      <c r="BI1759" s="4"/>
      <c r="BJ1759" s="4"/>
      <c r="BK1759" s="4"/>
      <c r="BL1759" s="4"/>
      <c r="BM1759" s="4"/>
      <c r="BN1759" s="4"/>
      <c r="BO1759" s="4"/>
      <c r="BP1759" s="4"/>
      <c r="BQ1759" s="4"/>
      <c r="BR1759" s="4"/>
      <c r="BS1759" s="4"/>
      <c r="BT1759" s="4"/>
      <c r="BU1759" s="4"/>
    </row>
    <row r="1760" spans="29:73" s="1" customFormat="1" x14ac:dyDescent="0.25">
      <c r="AC1760" s="4"/>
      <c r="AD1760" s="4"/>
      <c r="AE1760" s="4"/>
      <c r="AF1760" s="4"/>
      <c r="AG1760" s="4"/>
      <c r="AH1760" s="4"/>
      <c r="AI1760" s="4"/>
      <c r="AJ1760" s="4"/>
      <c r="AK1760" s="4"/>
      <c r="AL1760" s="4"/>
      <c r="AM1760" s="4"/>
      <c r="AN1760" s="4"/>
      <c r="AO1760" s="4"/>
      <c r="AP1760" s="4"/>
      <c r="AQ1760" s="4"/>
      <c r="AR1760" s="4"/>
      <c r="AS1760" s="4"/>
      <c r="AT1760" s="4"/>
      <c r="AU1760" s="4"/>
      <c r="AV1760" s="4"/>
      <c r="AW1760" s="4"/>
      <c r="AX1760" s="4"/>
      <c r="AY1760" s="4"/>
      <c r="AZ1760" s="4"/>
      <c r="BA1760" s="4"/>
      <c r="BB1760" s="4"/>
      <c r="BC1760" s="4"/>
      <c r="BD1760" s="4"/>
      <c r="BE1760" s="4"/>
      <c r="BF1760" s="4"/>
      <c r="BG1760" s="4"/>
      <c r="BH1760" s="4"/>
      <c r="BI1760" s="4"/>
      <c r="BJ1760" s="4"/>
      <c r="BK1760" s="4"/>
      <c r="BL1760" s="4"/>
      <c r="BM1760" s="4"/>
      <c r="BN1760" s="4"/>
      <c r="BO1760" s="4"/>
      <c r="BP1760" s="4"/>
      <c r="BQ1760" s="4"/>
      <c r="BR1760" s="4"/>
      <c r="BS1760" s="4"/>
      <c r="BT1760" s="4"/>
      <c r="BU1760" s="4"/>
    </row>
    <row r="1761" spans="29:73" s="1" customFormat="1" x14ac:dyDescent="0.25">
      <c r="AC1761" s="4"/>
      <c r="AD1761" s="4"/>
      <c r="AE1761" s="4"/>
      <c r="AF1761" s="4"/>
      <c r="AG1761" s="4"/>
      <c r="AH1761" s="4"/>
      <c r="AI1761" s="4"/>
      <c r="AJ1761" s="4"/>
      <c r="AK1761" s="4"/>
      <c r="AL1761" s="4"/>
      <c r="AM1761" s="4"/>
      <c r="AN1761" s="4"/>
      <c r="AO1761" s="4"/>
      <c r="AP1761" s="4"/>
      <c r="AQ1761" s="4"/>
      <c r="AR1761" s="4"/>
      <c r="AS1761" s="4"/>
      <c r="AT1761" s="4"/>
      <c r="AU1761" s="4"/>
      <c r="AV1761" s="4"/>
      <c r="AW1761" s="4"/>
      <c r="AX1761" s="4"/>
      <c r="AY1761" s="4"/>
      <c r="AZ1761" s="4"/>
      <c r="BA1761" s="4"/>
      <c r="BB1761" s="4"/>
      <c r="BC1761" s="4"/>
      <c r="BD1761" s="4"/>
      <c r="BE1761" s="4"/>
      <c r="BF1761" s="4"/>
      <c r="BG1761" s="4"/>
      <c r="BH1761" s="4"/>
      <c r="BI1761" s="4"/>
      <c r="BJ1761" s="4"/>
      <c r="BK1761" s="4"/>
      <c r="BL1761" s="4"/>
      <c r="BM1761" s="4"/>
      <c r="BN1761" s="4"/>
      <c r="BO1761" s="4"/>
      <c r="BP1761" s="4"/>
      <c r="BQ1761" s="4"/>
      <c r="BR1761" s="4"/>
      <c r="BS1761" s="4"/>
      <c r="BT1761" s="4"/>
      <c r="BU1761" s="4"/>
    </row>
    <row r="1762" spans="29:73" s="1" customFormat="1" x14ac:dyDescent="0.25">
      <c r="AC1762" s="4"/>
      <c r="AD1762" s="4"/>
      <c r="AE1762" s="4"/>
      <c r="AF1762" s="4"/>
      <c r="AG1762" s="4"/>
      <c r="AH1762" s="4"/>
      <c r="AI1762" s="4"/>
      <c r="AJ1762" s="4"/>
      <c r="AK1762" s="4"/>
      <c r="AL1762" s="4"/>
      <c r="AM1762" s="4"/>
      <c r="AN1762" s="4"/>
      <c r="AO1762" s="4"/>
      <c r="AP1762" s="4"/>
      <c r="AQ1762" s="4"/>
      <c r="AR1762" s="4"/>
      <c r="AS1762" s="4"/>
      <c r="AT1762" s="4"/>
      <c r="AU1762" s="4"/>
      <c r="AV1762" s="4"/>
      <c r="AW1762" s="4"/>
      <c r="AX1762" s="4"/>
      <c r="AY1762" s="4"/>
      <c r="AZ1762" s="4"/>
      <c r="BA1762" s="4"/>
      <c r="BB1762" s="4"/>
      <c r="BC1762" s="4"/>
      <c r="BD1762" s="4"/>
      <c r="BE1762" s="4"/>
      <c r="BF1762" s="4"/>
      <c r="BG1762" s="4"/>
      <c r="BH1762" s="4"/>
      <c r="BI1762" s="4"/>
      <c r="BJ1762" s="4"/>
      <c r="BK1762" s="4"/>
      <c r="BL1762" s="4"/>
      <c r="BM1762" s="4"/>
      <c r="BN1762" s="4"/>
      <c r="BO1762" s="4"/>
      <c r="BP1762" s="4"/>
      <c r="BQ1762" s="4"/>
      <c r="BR1762" s="4"/>
      <c r="BS1762" s="4"/>
      <c r="BT1762" s="4"/>
      <c r="BU1762" s="4"/>
    </row>
    <row r="1763" spans="29:73" s="1" customFormat="1" x14ac:dyDescent="0.25">
      <c r="AC1763" s="4"/>
      <c r="AD1763" s="4"/>
      <c r="AE1763" s="4"/>
      <c r="AF1763" s="4"/>
      <c r="AG1763" s="4"/>
      <c r="AH1763" s="4"/>
      <c r="AI1763" s="4"/>
      <c r="AJ1763" s="4"/>
      <c r="AK1763" s="4"/>
      <c r="AL1763" s="4"/>
      <c r="AM1763" s="4"/>
      <c r="AN1763" s="4"/>
      <c r="AO1763" s="4"/>
      <c r="AP1763" s="4"/>
      <c r="AQ1763" s="4"/>
      <c r="AR1763" s="4"/>
      <c r="AS1763" s="4"/>
      <c r="AT1763" s="4"/>
      <c r="AU1763" s="4"/>
      <c r="AV1763" s="4"/>
      <c r="AW1763" s="4"/>
      <c r="AX1763" s="4"/>
      <c r="AY1763" s="4"/>
      <c r="AZ1763" s="4"/>
      <c r="BA1763" s="4"/>
      <c r="BB1763" s="4"/>
      <c r="BC1763" s="4"/>
      <c r="BD1763" s="4"/>
      <c r="BE1763" s="4"/>
      <c r="BF1763" s="4"/>
      <c r="BG1763" s="4"/>
      <c r="BH1763" s="4"/>
      <c r="BI1763" s="4"/>
      <c r="BJ1763" s="4"/>
      <c r="BK1763" s="4"/>
      <c r="BL1763" s="4"/>
      <c r="BM1763" s="4"/>
      <c r="BN1763" s="4"/>
      <c r="BO1763" s="4"/>
      <c r="BP1763" s="4"/>
      <c r="BQ1763" s="4"/>
      <c r="BR1763" s="4"/>
      <c r="BS1763" s="4"/>
      <c r="BT1763" s="4"/>
      <c r="BU1763" s="4"/>
    </row>
    <row r="1764" spans="29:73" s="1" customFormat="1" x14ac:dyDescent="0.25">
      <c r="AC1764" s="4"/>
      <c r="AD1764" s="4"/>
      <c r="AE1764" s="4"/>
      <c r="AF1764" s="4"/>
      <c r="AG1764" s="4"/>
      <c r="AH1764" s="4"/>
      <c r="AI1764" s="4"/>
      <c r="AJ1764" s="4"/>
      <c r="AK1764" s="4"/>
      <c r="AL1764" s="4"/>
      <c r="AM1764" s="4"/>
      <c r="AN1764" s="4"/>
      <c r="AO1764" s="4"/>
      <c r="AP1764" s="4"/>
      <c r="AQ1764" s="4"/>
      <c r="AR1764" s="4"/>
      <c r="AS1764" s="4"/>
      <c r="AT1764" s="4"/>
      <c r="AU1764" s="4"/>
      <c r="AV1764" s="4"/>
      <c r="AW1764" s="4"/>
      <c r="AX1764" s="4"/>
      <c r="AY1764" s="4"/>
      <c r="AZ1764" s="4"/>
      <c r="BA1764" s="4"/>
      <c r="BB1764" s="4"/>
      <c r="BC1764" s="4"/>
      <c r="BD1764" s="4"/>
      <c r="BE1764" s="4"/>
      <c r="BF1764" s="4"/>
      <c r="BG1764" s="4"/>
      <c r="BH1764" s="4"/>
      <c r="BI1764" s="4"/>
      <c r="BJ1764" s="4"/>
      <c r="BK1764" s="4"/>
      <c r="BL1764" s="4"/>
      <c r="BM1764" s="4"/>
      <c r="BN1764" s="4"/>
      <c r="BO1764" s="4"/>
      <c r="BP1764" s="4"/>
      <c r="BQ1764" s="4"/>
      <c r="BR1764" s="4"/>
      <c r="BS1764" s="4"/>
      <c r="BT1764" s="4"/>
      <c r="BU1764" s="4"/>
    </row>
    <row r="1765" spans="29:73" s="1" customFormat="1" x14ac:dyDescent="0.25">
      <c r="AC1765" s="4"/>
      <c r="AD1765" s="4"/>
      <c r="AE1765" s="4"/>
      <c r="AF1765" s="4"/>
      <c r="AG1765" s="4"/>
      <c r="AH1765" s="4"/>
      <c r="AI1765" s="4"/>
      <c r="AJ1765" s="4"/>
      <c r="AK1765" s="4"/>
      <c r="AL1765" s="4"/>
      <c r="AM1765" s="4"/>
      <c r="AN1765" s="4"/>
      <c r="AO1765" s="4"/>
      <c r="AP1765" s="4"/>
      <c r="AQ1765" s="4"/>
      <c r="AR1765" s="4"/>
      <c r="AS1765" s="4"/>
      <c r="AT1765" s="4"/>
      <c r="AU1765" s="4"/>
      <c r="AV1765" s="4"/>
      <c r="AW1765" s="4"/>
      <c r="AX1765" s="4"/>
      <c r="AY1765" s="4"/>
      <c r="AZ1765" s="4"/>
      <c r="BA1765" s="4"/>
      <c r="BB1765" s="4"/>
      <c r="BC1765" s="4"/>
      <c r="BD1765" s="4"/>
      <c r="BE1765" s="4"/>
      <c r="BF1765" s="4"/>
      <c r="BG1765" s="4"/>
      <c r="BH1765" s="4"/>
      <c r="BI1765" s="4"/>
      <c r="BJ1765" s="4"/>
      <c r="BK1765" s="4"/>
      <c r="BL1765" s="4"/>
      <c r="BM1765" s="4"/>
      <c r="BN1765" s="4"/>
      <c r="BO1765" s="4"/>
      <c r="BP1765" s="4"/>
      <c r="BQ1765" s="4"/>
      <c r="BR1765" s="4"/>
      <c r="BS1765" s="4"/>
      <c r="BT1765" s="4"/>
      <c r="BU1765" s="4"/>
    </row>
    <row r="1766" spans="29:73" s="1" customFormat="1" x14ac:dyDescent="0.25">
      <c r="AC1766" s="4"/>
      <c r="AD1766" s="4"/>
      <c r="AE1766" s="4"/>
      <c r="AF1766" s="4"/>
      <c r="AG1766" s="4"/>
      <c r="AH1766" s="4"/>
      <c r="AI1766" s="4"/>
      <c r="AJ1766" s="4"/>
      <c r="AK1766" s="4"/>
      <c r="AL1766" s="4"/>
      <c r="AM1766" s="4"/>
      <c r="AN1766" s="4"/>
      <c r="AO1766" s="4"/>
      <c r="AP1766" s="4"/>
      <c r="AQ1766" s="4"/>
      <c r="AR1766" s="4"/>
      <c r="AS1766" s="4"/>
      <c r="AT1766" s="4"/>
      <c r="AU1766" s="4"/>
      <c r="AV1766" s="4"/>
      <c r="AW1766" s="4"/>
      <c r="AX1766" s="4"/>
      <c r="AY1766" s="4"/>
      <c r="AZ1766" s="4"/>
      <c r="BA1766" s="4"/>
      <c r="BB1766" s="4"/>
      <c r="BC1766" s="4"/>
      <c r="BD1766" s="4"/>
      <c r="BE1766" s="4"/>
      <c r="BF1766" s="4"/>
      <c r="BG1766" s="4"/>
      <c r="BH1766" s="4"/>
      <c r="BI1766" s="4"/>
      <c r="BJ1766" s="4"/>
      <c r="BK1766" s="4"/>
      <c r="BL1766" s="4"/>
      <c r="BM1766" s="4"/>
      <c r="BN1766" s="4"/>
      <c r="BO1766" s="4"/>
      <c r="BP1766" s="4"/>
      <c r="BQ1766" s="4"/>
      <c r="BR1766" s="4"/>
      <c r="BS1766" s="4"/>
      <c r="BT1766" s="4"/>
      <c r="BU1766" s="4"/>
    </row>
    <row r="1767" spans="29:73" s="1" customFormat="1" x14ac:dyDescent="0.25">
      <c r="AC1767" s="4"/>
      <c r="AD1767" s="4"/>
      <c r="AE1767" s="4"/>
      <c r="AF1767" s="4"/>
      <c r="AG1767" s="4"/>
      <c r="AH1767" s="4"/>
      <c r="AI1767" s="4"/>
      <c r="AJ1767" s="4"/>
      <c r="AK1767" s="4"/>
      <c r="AL1767" s="4"/>
      <c r="AM1767" s="4"/>
      <c r="AN1767" s="4"/>
      <c r="AO1767" s="4"/>
      <c r="AP1767" s="4"/>
      <c r="AQ1767" s="4"/>
      <c r="AR1767" s="4"/>
      <c r="AS1767" s="4"/>
      <c r="AT1767" s="4"/>
      <c r="AU1767" s="4"/>
      <c r="AV1767" s="4"/>
      <c r="AW1767" s="4"/>
      <c r="AX1767" s="4"/>
      <c r="AY1767" s="4"/>
      <c r="AZ1767" s="4"/>
      <c r="BA1767" s="4"/>
      <c r="BB1767" s="4"/>
      <c r="BC1767" s="4"/>
      <c r="BD1767" s="4"/>
      <c r="BE1767" s="4"/>
      <c r="BF1767" s="4"/>
      <c r="BG1767" s="4"/>
      <c r="BH1767" s="4"/>
      <c r="BI1767" s="4"/>
      <c r="BJ1767" s="4"/>
      <c r="BK1767" s="4"/>
      <c r="BL1767" s="4"/>
      <c r="BM1767" s="4"/>
      <c r="BN1767" s="4"/>
      <c r="BO1767" s="4"/>
      <c r="BP1767" s="4"/>
      <c r="BQ1767" s="4"/>
      <c r="BR1767" s="4"/>
      <c r="BS1767" s="4"/>
      <c r="BT1767" s="4"/>
      <c r="BU1767" s="4"/>
    </row>
    <row r="1768" spans="29:73" s="1" customFormat="1" x14ac:dyDescent="0.25">
      <c r="AC1768" s="4"/>
      <c r="AD1768" s="4"/>
      <c r="AE1768" s="4"/>
      <c r="AF1768" s="4"/>
      <c r="AG1768" s="4"/>
      <c r="AH1768" s="4"/>
      <c r="AI1768" s="4"/>
      <c r="AJ1768" s="4"/>
      <c r="AK1768" s="4"/>
      <c r="AL1768" s="4"/>
      <c r="AM1768" s="4"/>
      <c r="AN1768" s="4"/>
      <c r="AO1768" s="4"/>
      <c r="AP1768" s="4"/>
      <c r="AQ1768" s="4"/>
      <c r="AR1768" s="4"/>
      <c r="AS1768" s="4"/>
      <c r="AT1768" s="4"/>
      <c r="AU1768" s="4"/>
      <c r="AV1768" s="4"/>
      <c r="AW1768" s="4"/>
      <c r="AX1768" s="4"/>
      <c r="AY1768" s="4"/>
      <c r="AZ1768" s="4"/>
      <c r="BA1768" s="4"/>
      <c r="BB1768" s="4"/>
      <c r="BC1768" s="4"/>
      <c r="BD1768" s="4"/>
      <c r="BE1768" s="4"/>
      <c r="BF1768" s="4"/>
      <c r="BG1768" s="4"/>
      <c r="BH1768" s="4"/>
      <c r="BI1768" s="4"/>
      <c r="BJ1768" s="4"/>
      <c r="BK1768" s="4"/>
      <c r="BL1768" s="4"/>
      <c r="BM1768" s="4"/>
      <c r="BN1768" s="4"/>
      <c r="BO1768" s="4"/>
      <c r="BP1768" s="4"/>
      <c r="BQ1768" s="4"/>
      <c r="BR1768" s="4"/>
      <c r="BS1768" s="4"/>
      <c r="BT1768" s="4"/>
      <c r="BU1768" s="4"/>
    </row>
    <row r="1769" spans="29:73" s="1" customFormat="1" x14ac:dyDescent="0.25">
      <c r="AC1769" s="4"/>
      <c r="AD1769" s="4"/>
      <c r="AE1769" s="4"/>
      <c r="AF1769" s="4"/>
      <c r="AG1769" s="4"/>
      <c r="AH1769" s="4"/>
      <c r="AI1769" s="4"/>
      <c r="AJ1769" s="4"/>
      <c r="AK1769" s="4"/>
      <c r="AL1769" s="4"/>
      <c r="AM1769" s="4"/>
      <c r="AN1769" s="4"/>
      <c r="AO1769" s="4"/>
      <c r="AP1769" s="4"/>
      <c r="AQ1769" s="4"/>
      <c r="AR1769" s="4"/>
      <c r="AS1769" s="4"/>
      <c r="AT1769" s="4"/>
      <c r="AU1769" s="4"/>
      <c r="AV1769" s="4"/>
      <c r="AW1769" s="4"/>
      <c r="AX1769" s="4"/>
      <c r="AY1769" s="4"/>
      <c r="AZ1769" s="4"/>
      <c r="BA1769" s="4"/>
      <c r="BB1769" s="4"/>
      <c r="BC1769" s="4"/>
      <c r="BD1769" s="4"/>
      <c r="BE1769" s="4"/>
      <c r="BF1769" s="4"/>
      <c r="BG1769" s="4"/>
      <c r="BH1769" s="4"/>
      <c r="BI1769" s="4"/>
      <c r="BJ1769" s="4"/>
      <c r="BK1769" s="4"/>
      <c r="BL1769" s="4"/>
      <c r="BM1769" s="4"/>
      <c r="BN1769" s="4"/>
      <c r="BO1769" s="4"/>
      <c r="BP1769" s="4"/>
      <c r="BQ1769" s="4"/>
      <c r="BR1769" s="4"/>
      <c r="BS1769" s="4"/>
      <c r="BT1769" s="4"/>
      <c r="BU1769" s="4"/>
    </row>
    <row r="1770" spans="29:73" s="1" customFormat="1" x14ac:dyDescent="0.25">
      <c r="AC1770" s="4"/>
      <c r="AD1770" s="4"/>
      <c r="AE1770" s="4"/>
      <c r="AF1770" s="4"/>
      <c r="AG1770" s="4"/>
      <c r="AH1770" s="4"/>
      <c r="AI1770" s="4"/>
      <c r="AJ1770" s="4"/>
      <c r="AK1770" s="4"/>
      <c r="AL1770" s="4"/>
      <c r="AM1770" s="4"/>
      <c r="AN1770" s="4"/>
      <c r="AO1770" s="4"/>
      <c r="AP1770" s="4"/>
      <c r="AQ1770" s="4"/>
      <c r="AR1770" s="4"/>
      <c r="AS1770" s="4"/>
      <c r="AT1770" s="4"/>
      <c r="AU1770" s="4"/>
      <c r="AV1770" s="4"/>
      <c r="AW1770" s="4"/>
      <c r="AX1770" s="4"/>
      <c r="AY1770" s="4"/>
      <c r="AZ1770" s="4"/>
      <c r="BA1770" s="4"/>
      <c r="BB1770" s="4"/>
      <c r="BC1770" s="4"/>
      <c r="BD1770" s="4"/>
      <c r="BE1770" s="4"/>
      <c r="BF1770" s="4"/>
      <c r="BG1770" s="4"/>
      <c r="BH1770" s="4"/>
      <c r="BI1770" s="4"/>
      <c r="BJ1770" s="4"/>
      <c r="BK1770" s="4"/>
      <c r="BL1770" s="4"/>
      <c r="BM1770" s="4"/>
      <c r="BN1770" s="4"/>
      <c r="BO1770" s="4"/>
      <c r="BP1770" s="4"/>
      <c r="BQ1770" s="4"/>
      <c r="BR1770" s="4"/>
      <c r="BS1770" s="4"/>
      <c r="BT1770" s="4"/>
      <c r="BU1770" s="4"/>
    </row>
    <row r="1771" spans="29:73" s="1" customFormat="1" x14ac:dyDescent="0.25">
      <c r="AC1771" s="4"/>
      <c r="AD1771" s="4"/>
      <c r="AE1771" s="4"/>
      <c r="AF1771" s="4"/>
      <c r="AG1771" s="4"/>
      <c r="AH1771" s="4"/>
      <c r="AI1771" s="4"/>
      <c r="AJ1771" s="4"/>
      <c r="AK1771" s="4"/>
      <c r="AL1771" s="4"/>
      <c r="AM1771" s="4"/>
      <c r="AN1771" s="4"/>
      <c r="AO1771" s="4"/>
      <c r="AP1771" s="4"/>
      <c r="AQ1771" s="4"/>
      <c r="AR1771" s="4"/>
      <c r="AS1771" s="4"/>
      <c r="AT1771" s="4"/>
      <c r="AU1771" s="4"/>
      <c r="AV1771" s="4"/>
      <c r="AW1771" s="4"/>
      <c r="AX1771" s="4"/>
      <c r="AY1771" s="4"/>
      <c r="AZ1771" s="4"/>
      <c r="BA1771" s="4"/>
      <c r="BB1771" s="4"/>
      <c r="BC1771" s="4"/>
      <c r="BD1771" s="4"/>
      <c r="BE1771" s="4"/>
      <c r="BF1771" s="4"/>
      <c r="BG1771" s="4"/>
      <c r="BH1771" s="4"/>
      <c r="BI1771" s="4"/>
      <c r="BJ1771" s="4"/>
      <c r="BK1771" s="4"/>
      <c r="BL1771" s="4"/>
      <c r="BM1771" s="4"/>
      <c r="BN1771" s="4"/>
      <c r="BO1771" s="4"/>
      <c r="BP1771" s="4"/>
      <c r="BQ1771" s="4"/>
      <c r="BR1771" s="4"/>
      <c r="BS1771" s="4"/>
      <c r="BT1771" s="4"/>
      <c r="BU1771" s="4"/>
    </row>
    <row r="1772" spans="29:73" s="1" customFormat="1" x14ac:dyDescent="0.25">
      <c r="AC1772" s="4"/>
      <c r="AD1772" s="4"/>
      <c r="AE1772" s="4"/>
      <c r="AF1772" s="4"/>
      <c r="AG1772" s="4"/>
      <c r="AH1772" s="4"/>
      <c r="AI1772" s="4"/>
      <c r="AJ1772" s="4"/>
      <c r="AK1772" s="4"/>
      <c r="AL1772" s="4"/>
      <c r="AM1772" s="4"/>
      <c r="AN1772" s="4"/>
      <c r="AO1772" s="4"/>
      <c r="AP1772" s="4"/>
      <c r="AQ1772" s="4"/>
      <c r="AR1772" s="4"/>
      <c r="AS1772" s="4"/>
      <c r="AT1772" s="4"/>
      <c r="AU1772" s="4"/>
      <c r="AV1772" s="4"/>
      <c r="AW1772" s="4"/>
      <c r="AX1772" s="4"/>
      <c r="AY1772" s="4"/>
      <c r="AZ1772" s="4"/>
      <c r="BA1772" s="4"/>
      <c r="BB1772" s="4"/>
      <c r="BC1772" s="4"/>
      <c r="BD1772" s="4"/>
      <c r="BE1772" s="4"/>
      <c r="BF1772" s="4"/>
      <c r="BG1772" s="4"/>
      <c r="BH1772" s="4"/>
      <c r="BI1772" s="4"/>
      <c r="BJ1772" s="4"/>
      <c r="BK1772" s="4"/>
      <c r="BL1772" s="4"/>
      <c r="BM1772" s="4"/>
      <c r="BN1772" s="4"/>
      <c r="BO1772" s="4"/>
      <c r="BP1772" s="4"/>
      <c r="BQ1772" s="4"/>
      <c r="BR1772" s="4"/>
      <c r="BS1772" s="4"/>
      <c r="BT1772" s="4"/>
      <c r="BU1772" s="4"/>
    </row>
    <row r="1773" spans="29:73" s="1" customFormat="1" x14ac:dyDescent="0.25">
      <c r="AC1773" s="4"/>
      <c r="AD1773" s="4"/>
      <c r="AE1773" s="4"/>
      <c r="AF1773" s="4"/>
      <c r="AG1773" s="4"/>
      <c r="AH1773" s="4"/>
      <c r="AI1773" s="4"/>
      <c r="AJ1773" s="4"/>
      <c r="AK1773" s="4"/>
      <c r="AL1773" s="4"/>
      <c r="AM1773" s="4"/>
      <c r="AN1773" s="4"/>
      <c r="AO1773" s="4"/>
      <c r="AP1773" s="4"/>
      <c r="AQ1773" s="4"/>
      <c r="AR1773" s="4"/>
      <c r="AS1773" s="4"/>
      <c r="AT1773" s="4"/>
      <c r="AU1773" s="4"/>
      <c r="AV1773" s="4"/>
      <c r="AW1773" s="4"/>
      <c r="AX1773" s="4"/>
      <c r="AY1773" s="4"/>
      <c r="AZ1773" s="4"/>
      <c r="BA1773" s="4"/>
      <c r="BB1773" s="4"/>
      <c r="BC1773" s="4"/>
      <c r="BD1773" s="4"/>
      <c r="BE1773" s="4"/>
      <c r="BF1773" s="4"/>
      <c r="BG1773" s="4"/>
      <c r="BH1773" s="4"/>
      <c r="BI1773" s="4"/>
      <c r="BJ1773" s="4"/>
      <c r="BK1773" s="4"/>
      <c r="BL1773" s="4"/>
      <c r="BM1773" s="4"/>
      <c r="BN1773" s="4"/>
      <c r="BO1773" s="4"/>
      <c r="BP1773" s="4"/>
      <c r="BQ1773" s="4"/>
      <c r="BR1773" s="4"/>
      <c r="BS1773" s="4"/>
      <c r="BT1773" s="4"/>
      <c r="BU1773" s="4"/>
    </row>
    <row r="1774" spans="29:73" s="1" customFormat="1" x14ac:dyDescent="0.25">
      <c r="AC1774" s="4"/>
      <c r="AD1774" s="4"/>
      <c r="AE1774" s="4"/>
      <c r="AF1774" s="4"/>
      <c r="AG1774" s="4"/>
      <c r="AH1774" s="4"/>
      <c r="AI1774" s="4"/>
      <c r="AJ1774" s="4"/>
      <c r="AK1774" s="4"/>
      <c r="AL1774" s="4"/>
      <c r="AM1774" s="4"/>
      <c r="AN1774" s="4"/>
      <c r="AO1774" s="4"/>
      <c r="AP1774" s="4"/>
      <c r="AQ1774" s="4"/>
      <c r="AR1774" s="4"/>
      <c r="AS1774" s="4"/>
      <c r="AT1774" s="4"/>
      <c r="AU1774" s="4"/>
      <c r="AV1774" s="4"/>
      <c r="AW1774" s="4"/>
      <c r="AX1774" s="4"/>
      <c r="AY1774" s="4"/>
      <c r="AZ1774" s="4"/>
      <c r="BA1774" s="4"/>
      <c r="BB1774" s="4"/>
      <c r="BC1774" s="4"/>
      <c r="BD1774" s="4"/>
      <c r="BE1774" s="4"/>
      <c r="BF1774" s="4"/>
      <c r="BG1774" s="4"/>
      <c r="BH1774" s="4"/>
      <c r="BI1774" s="4"/>
      <c r="BJ1774" s="4"/>
      <c r="BK1774" s="4"/>
      <c r="BL1774" s="4"/>
      <c r="BM1774" s="4"/>
      <c r="BN1774" s="4"/>
      <c r="BO1774" s="4"/>
      <c r="BP1774" s="4"/>
      <c r="BQ1774" s="4"/>
      <c r="BR1774" s="4"/>
      <c r="BS1774" s="4"/>
      <c r="BT1774" s="4"/>
      <c r="BU1774" s="4"/>
    </row>
    <row r="1775" spans="29:73" s="1" customFormat="1" x14ac:dyDescent="0.25">
      <c r="AC1775" s="4"/>
      <c r="AD1775" s="4"/>
      <c r="AE1775" s="4"/>
      <c r="AF1775" s="4"/>
      <c r="AG1775" s="4"/>
      <c r="AH1775" s="4"/>
      <c r="AI1775" s="4"/>
      <c r="AJ1775" s="4"/>
      <c r="AK1775" s="4"/>
      <c r="AL1775" s="4"/>
      <c r="AM1775" s="4"/>
      <c r="AN1775" s="4"/>
      <c r="AO1775" s="4"/>
      <c r="AP1775" s="4"/>
      <c r="AQ1775" s="4"/>
      <c r="AR1775" s="4"/>
      <c r="AS1775" s="4"/>
      <c r="AT1775" s="4"/>
      <c r="AU1775" s="4"/>
      <c r="AV1775" s="4"/>
      <c r="AW1775" s="4"/>
      <c r="AX1775" s="4"/>
      <c r="AY1775" s="4"/>
      <c r="AZ1775" s="4"/>
      <c r="BA1775" s="4"/>
      <c r="BB1775" s="4"/>
      <c r="BC1775" s="4"/>
      <c r="BD1775" s="4"/>
      <c r="BE1775" s="4"/>
      <c r="BF1775" s="4"/>
      <c r="BG1775" s="4"/>
      <c r="BH1775" s="4"/>
      <c r="BI1775" s="4"/>
      <c r="BJ1775" s="4"/>
      <c r="BK1775" s="4"/>
      <c r="BL1775" s="4"/>
      <c r="BM1775" s="4"/>
      <c r="BN1775" s="4"/>
      <c r="BO1775" s="4"/>
      <c r="BP1775" s="4"/>
      <c r="BQ1775" s="4"/>
      <c r="BR1775" s="4"/>
      <c r="BS1775" s="4"/>
      <c r="BT1775" s="4"/>
      <c r="BU1775" s="4"/>
    </row>
    <row r="1776" spans="29:73" s="1" customFormat="1" x14ac:dyDescent="0.25">
      <c r="AC1776" s="4"/>
      <c r="AD1776" s="4"/>
      <c r="AE1776" s="4"/>
      <c r="AF1776" s="4"/>
      <c r="AG1776" s="4"/>
      <c r="AH1776" s="4"/>
      <c r="AI1776" s="4"/>
      <c r="AJ1776" s="4"/>
      <c r="AK1776" s="4"/>
      <c r="AL1776" s="4"/>
      <c r="AM1776" s="4"/>
      <c r="AN1776" s="4"/>
      <c r="AO1776" s="4"/>
      <c r="AP1776" s="4"/>
      <c r="AQ1776" s="4"/>
      <c r="AR1776" s="4"/>
      <c r="AS1776" s="4"/>
      <c r="AT1776" s="4"/>
      <c r="AU1776" s="4"/>
      <c r="AV1776" s="4"/>
      <c r="AW1776" s="4"/>
      <c r="AX1776" s="4"/>
      <c r="AY1776" s="4"/>
      <c r="AZ1776" s="4"/>
      <c r="BA1776" s="4"/>
      <c r="BB1776" s="4"/>
      <c r="BC1776" s="4"/>
      <c r="BD1776" s="4"/>
      <c r="BE1776" s="4"/>
      <c r="BF1776" s="4"/>
      <c r="BG1776" s="4"/>
      <c r="BH1776" s="4"/>
      <c r="BI1776" s="4"/>
      <c r="BJ1776" s="4"/>
      <c r="BK1776" s="4"/>
      <c r="BL1776" s="4"/>
      <c r="BM1776" s="4"/>
      <c r="BN1776" s="4"/>
      <c r="BO1776" s="4"/>
      <c r="BP1776" s="4"/>
      <c r="BQ1776" s="4"/>
      <c r="BR1776" s="4"/>
      <c r="BS1776" s="4"/>
      <c r="BT1776" s="4"/>
      <c r="BU1776" s="4"/>
    </row>
    <row r="1777" spans="29:73" s="1" customFormat="1" x14ac:dyDescent="0.25">
      <c r="AC1777" s="4"/>
      <c r="AD1777" s="4"/>
      <c r="AE1777" s="4"/>
      <c r="AF1777" s="4"/>
      <c r="AG1777" s="4"/>
      <c r="AH1777" s="4"/>
      <c r="AI1777" s="4"/>
      <c r="AJ1777" s="4"/>
      <c r="AK1777" s="4"/>
      <c r="AL1777" s="4"/>
      <c r="AM1777" s="4"/>
      <c r="AN1777" s="4"/>
      <c r="AO1777" s="4"/>
      <c r="AP1777" s="4"/>
      <c r="AQ1777" s="4"/>
      <c r="AR1777" s="4"/>
      <c r="AS1777" s="4"/>
      <c r="AT1777" s="4"/>
      <c r="AU1777" s="4"/>
      <c r="AV1777" s="4"/>
      <c r="AW1777" s="4"/>
      <c r="AX1777" s="4"/>
      <c r="AY1777" s="4"/>
      <c r="AZ1777" s="4"/>
      <c r="BA1777" s="4"/>
      <c r="BB1777" s="4"/>
      <c r="BC1777" s="4"/>
      <c r="BD1777" s="4"/>
      <c r="BE1777" s="4"/>
      <c r="BF1777" s="4"/>
      <c r="BG1777" s="4"/>
      <c r="BH1777" s="4"/>
      <c r="BI1777" s="4"/>
      <c r="BJ1777" s="4"/>
      <c r="BK1777" s="4"/>
      <c r="BL1777" s="4"/>
      <c r="BM1777" s="4"/>
      <c r="BN1777" s="4"/>
      <c r="BO1777" s="4"/>
      <c r="BP1777" s="4"/>
      <c r="BQ1777" s="4"/>
      <c r="BR1777" s="4"/>
      <c r="BS1777" s="4"/>
      <c r="BT1777" s="4"/>
      <c r="BU1777" s="4"/>
    </row>
    <row r="1778" spans="29:73" s="1" customFormat="1" x14ac:dyDescent="0.25">
      <c r="AC1778" s="4"/>
      <c r="AD1778" s="4"/>
      <c r="AE1778" s="4"/>
      <c r="AF1778" s="4"/>
      <c r="AG1778" s="4"/>
      <c r="AH1778" s="4"/>
      <c r="AI1778" s="4"/>
      <c r="AJ1778" s="4"/>
      <c r="AK1778" s="4"/>
      <c r="AL1778" s="4"/>
      <c r="AM1778" s="4"/>
      <c r="AN1778" s="4"/>
      <c r="AO1778" s="4"/>
      <c r="AP1778" s="4"/>
      <c r="AQ1778" s="4"/>
      <c r="AR1778" s="4"/>
      <c r="AS1778" s="4"/>
      <c r="AT1778" s="4"/>
      <c r="AU1778" s="4"/>
      <c r="AV1778" s="4"/>
      <c r="AW1778" s="4"/>
      <c r="AX1778" s="4"/>
      <c r="AY1778" s="4"/>
      <c r="AZ1778" s="4"/>
      <c r="BA1778" s="4"/>
      <c r="BB1778" s="4"/>
      <c r="BC1778" s="4"/>
      <c r="BD1778" s="4"/>
      <c r="BE1778" s="4"/>
      <c r="BF1778" s="4"/>
      <c r="BG1778" s="4"/>
      <c r="BH1778" s="4"/>
      <c r="BI1778" s="4"/>
      <c r="BJ1778" s="4"/>
      <c r="BK1778" s="4"/>
      <c r="BL1778" s="4"/>
      <c r="BM1778" s="4"/>
      <c r="BN1778" s="4"/>
      <c r="BO1778" s="4"/>
      <c r="BP1778" s="4"/>
      <c r="BQ1778" s="4"/>
      <c r="BR1778" s="4"/>
      <c r="BS1778" s="4"/>
      <c r="BT1778" s="4"/>
      <c r="BU1778" s="4"/>
    </row>
    <row r="1779" spans="29:73" s="1" customFormat="1" x14ac:dyDescent="0.25">
      <c r="AC1779" s="4"/>
      <c r="AD1779" s="4"/>
      <c r="AE1779" s="4"/>
      <c r="AF1779" s="4"/>
      <c r="AG1779" s="4"/>
      <c r="AH1779" s="4"/>
      <c r="AI1779" s="4"/>
      <c r="AJ1779" s="4"/>
      <c r="AK1779" s="4"/>
      <c r="AL1779" s="4"/>
      <c r="AM1779" s="4"/>
      <c r="AN1779" s="4"/>
      <c r="AO1779" s="4"/>
      <c r="AP1779" s="4"/>
      <c r="AQ1779" s="4"/>
      <c r="AR1779" s="4"/>
      <c r="AS1779" s="4"/>
      <c r="AT1779" s="4"/>
      <c r="AU1779" s="4"/>
      <c r="AV1779" s="4"/>
      <c r="AW1779" s="4"/>
      <c r="AX1779" s="4"/>
      <c r="AY1779" s="4"/>
      <c r="AZ1779" s="4"/>
      <c r="BA1779" s="4"/>
      <c r="BB1779" s="4"/>
      <c r="BC1779" s="4"/>
      <c r="BD1779" s="4"/>
      <c r="BE1779" s="4"/>
      <c r="BF1779" s="4"/>
      <c r="BG1779" s="4"/>
      <c r="BH1779" s="4"/>
      <c r="BI1779" s="4"/>
      <c r="BJ1779" s="4"/>
      <c r="BK1779" s="4"/>
      <c r="BL1779" s="4"/>
      <c r="BM1779" s="4"/>
      <c r="BN1779" s="4"/>
      <c r="BO1779" s="4"/>
      <c r="BP1779" s="4"/>
      <c r="BQ1779" s="4"/>
      <c r="BR1779" s="4"/>
      <c r="BS1779" s="4"/>
      <c r="BT1779" s="4"/>
      <c r="BU1779" s="4"/>
    </row>
    <row r="1780" spans="29:73" s="1" customFormat="1" x14ac:dyDescent="0.25">
      <c r="AC1780" s="4"/>
      <c r="AD1780" s="4"/>
      <c r="AE1780" s="4"/>
      <c r="AF1780" s="4"/>
      <c r="AG1780" s="4"/>
      <c r="AH1780" s="4"/>
      <c r="AI1780" s="4"/>
      <c r="AJ1780" s="4"/>
      <c r="AK1780" s="4"/>
      <c r="AL1780" s="4"/>
      <c r="AM1780" s="4"/>
      <c r="AN1780" s="4"/>
      <c r="AO1780" s="4"/>
      <c r="AP1780" s="4"/>
      <c r="AQ1780" s="4"/>
      <c r="AR1780" s="4"/>
      <c r="AS1780" s="4"/>
      <c r="AT1780" s="4"/>
      <c r="AU1780" s="4"/>
      <c r="AV1780" s="4"/>
      <c r="AW1780" s="4"/>
      <c r="AX1780" s="4"/>
      <c r="AY1780" s="4"/>
      <c r="AZ1780" s="4"/>
      <c r="BA1780" s="4"/>
      <c r="BB1780" s="4"/>
      <c r="BC1780" s="4"/>
      <c r="BD1780" s="4"/>
      <c r="BE1780" s="4"/>
      <c r="BF1780" s="4"/>
      <c r="BG1780" s="4"/>
      <c r="BH1780" s="4"/>
      <c r="BI1780" s="4"/>
      <c r="BJ1780" s="4"/>
      <c r="BK1780" s="4"/>
      <c r="BL1780" s="4"/>
      <c r="BM1780" s="4"/>
      <c r="BN1780" s="4"/>
      <c r="BO1780" s="4"/>
      <c r="BP1780" s="4"/>
      <c r="BQ1780" s="4"/>
      <c r="BR1780" s="4"/>
      <c r="BS1780" s="4"/>
      <c r="BT1780" s="4"/>
      <c r="BU1780" s="4"/>
    </row>
    <row r="1781" spans="29:73" s="1" customFormat="1" x14ac:dyDescent="0.25">
      <c r="AC1781" s="4"/>
      <c r="AD1781" s="4"/>
      <c r="AE1781" s="4"/>
      <c r="AF1781" s="4"/>
      <c r="AG1781" s="4"/>
      <c r="AH1781" s="4"/>
      <c r="AI1781" s="4"/>
      <c r="AJ1781" s="4"/>
      <c r="AK1781" s="4"/>
      <c r="AL1781" s="4"/>
      <c r="AM1781" s="4"/>
      <c r="AN1781" s="4"/>
      <c r="AO1781" s="4"/>
      <c r="AP1781" s="4"/>
      <c r="AQ1781" s="4"/>
      <c r="AR1781" s="4"/>
      <c r="AS1781" s="4"/>
      <c r="AT1781" s="4"/>
      <c r="AU1781" s="4"/>
      <c r="AV1781" s="4"/>
      <c r="AW1781" s="4"/>
      <c r="AX1781" s="4"/>
      <c r="AY1781" s="4"/>
      <c r="AZ1781" s="4"/>
      <c r="BA1781" s="4"/>
      <c r="BB1781" s="4"/>
      <c r="BC1781" s="4"/>
      <c r="BD1781" s="4"/>
      <c r="BE1781" s="4"/>
      <c r="BF1781" s="4"/>
      <c r="BG1781" s="4"/>
      <c r="BH1781" s="4"/>
      <c r="BI1781" s="4"/>
      <c r="BJ1781" s="4"/>
      <c r="BK1781" s="4"/>
      <c r="BL1781" s="4"/>
      <c r="BM1781" s="4"/>
      <c r="BN1781" s="4"/>
      <c r="BO1781" s="4"/>
      <c r="BP1781" s="4"/>
      <c r="BQ1781" s="4"/>
      <c r="BR1781" s="4"/>
      <c r="BS1781" s="4"/>
      <c r="BT1781" s="4"/>
      <c r="BU1781" s="4"/>
    </row>
    <row r="1782" spans="29:73" s="1" customFormat="1" x14ac:dyDescent="0.25">
      <c r="AC1782" s="4"/>
      <c r="AD1782" s="4"/>
      <c r="AE1782" s="4"/>
      <c r="AF1782" s="4"/>
      <c r="AG1782" s="4"/>
      <c r="AH1782" s="4"/>
      <c r="AI1782" s="4"/>
      <c r="AJ1782" s="4"/>
      <c r="AK1782" s="4"/>
      <c r="AL1782" s="4"/>
      <c r="AM1782" s="4"/>
      <c r="AN1782" s="4"/>
      <c r="AO1782" s="4"/>
      <c r="AP1782" s="4"/>
      <c r="AQ1782" s="4"/>
      <c r="AR1782" s="4"/>
      <c r="AS1782" s="4"/>
      <c r="AT1782" s="4"/>
      <c r="AU1782" s="4"/>
      <c r="AV1782" s="4"/>
      <c r="AW1782" s="4"/>
      <c r="AX1782" s="4"/>
      <c r="AY1782" s="4"/>
      <c r="AZ1782" s="4"/>
      <c r="BA1782" s="4"/>
      <c r="BB1782" s="4"/>
      <c r="BC1782" s="4"/>
      <c r="BD1782" s="4"/>
      <c r="BE1782" s="4"/>
      <c r="BF1782" s="4"/>
      <c r="BG1782" s="4"/>
      <c r="BH1782" s="4"/>
      <c r="BI1782" s="4"/>
      <c r="BJ1782" s="4"/>
      <c r="BK1782" s="4"/>
      <c r="BL1782" s="4"/>
      <c r="BM1782" s="4"/>
      <c r="BN1782" s="4"/>
      <c r="BO1782" s="4"/>
      <c r="BP1782" s="4"/>
      <c r="BQ1782" s="4"/>
      <c r="BR1782" s="4"/>
      <c r="BS1782" s="4"/>
      <c r="BT1782" s="4"/>
      <c r="BU1782" s="4"/>
    </row>
    <row r="1783" spans="29:73" s="1" customFormat="1" x14ac:dyDescent="0.25">
      <c r="AC1783" s="4"/>
      <c r="AD1783" s="4"/>
      <c r="AE1783" s="4"/>
      <c r="AF1783" s="4"/>
      <c r="AG1783" s="4"/>
      <c r="AH1783" s="4"/>
      <c r="AI1783" s="4"/>
      <c r="AJ1783" s="4"/>
      <c r="AK1783" s="4"/>
      <c r="AL1783" s="4"/>
      <c r="AM1783" s="4"/>
      <c r="AN1783" s="4"/>
      <c r="AO1783" s="4"/>
      <c r="AP1783" s="4"/>
      <c r="AQ1783" s="4"/>
      <c r="AR1783" s="4"/>
      <c r="AS1783" s="4"/>
      <c r="AT1783" s="4"/>
      <c r="AU1783" s="4"/>
      <c r="AV1783" s="4"/>
      <c r="AW1783" s="4"/>
      <c r="AX1783" s="4"/>
      <c r="AY1783" s="4"/>
      <c r="AZ1783" s="4"/>
      <c r="BA1783" s="4"/>
      <c r="BB1783" s="4"/>
      <c r="BC1783" s="4"/>
      <c r="BD1783" s="4"/>
      <c r="BE1783" s="4"/>
      <c r="BF1783" s="4"/>
      <c r="BG1783" s="4"/>
      <c r="BH1783" s="4"/>
      <c r="BI1783" s="4"/>
      <c r="BJ1783" s="4"/>
      <c r="BK1783" s="4"/>
      <c r="BL1783" s="4"/>
      <c r="BM1783" s="4"/>
      <c r="BN1783" s="4"/>
      <c r="BO1783" s="4"/>
      <c r="BP1783" s="4"/>
      <c r="BQ1783" s="4"/>
      <c r="BR1783" s="4"/>
      <c r="BS1783" s="4"/>
      <c r="BT1783" s="4"/>
      <c r="BU1783" s="4"/>
    </row>
    <row r="1784" spans="29:73" s="1" customFormat="1" x14ac:dyDescent="0.25">
      <c r="AC1784" s="4"/>
      <c r="AD1784" s="4"/>
      <c r="AE1784" s="4"/>
      <c r="AF1784" s="4"/>
      <c r="AG1784" s="4"/>
      <c r="AH1784" s="4"/>
      <c r="AI1784" s="4"/>
      <c r="AJ1784" s="4"/>
      <c r="AK1784" s="4"/>
      <c r="AL1784" s="4"/>
      <c r="AM1784" s="4"/>
      <c r="AN1784" s="4"/>
      <c r="AO1784" s="4"/>
      <c r="AP1784" s="4"/>
      <c r="AQ1784" s="4"/>
      <c r="AR1784" s="4"/>
      <c r="AS1784" s="4"/>
      <c r="AT1784" s="4"/>
      <c r="AU1784" s="4"/>
      <c r="AV1784" s="4"/>
      <c r="AW1784" s="4"/>
      <c r="AX1784" s="4"/>
      <c r="AY1784" s="4"/>
      <c r="AZ1784" s="4"/>
      <c r="BA1784" s="4"/>
      <c r="BB1784" s="4"/>
      <c r="BC1784" s="4"/>
      <c r="BD1784" s="4"/>
      <c r="BE1784" s="4"/>
      <c r="BF1784" s="4"/>
      <c r="BG1784" s="4"/>
      <c r="BH1784" s="4"/>
      <c r="BI1784" s="4"/>
      <c r="BJ1784" s="4"/>
      <c r="BK1784" s="4"/>
      <c r="BL1784" s="4"/>
      <c r="BM1784" s="4"/>
      <c r="BN1784" s="4"/>
      <c r="BO1784" s="4"/>
      <c r="BP1784" s="4"/>
      <c r="BQ1784" s="4"/>
      <c r="BR1784" s="4"/>
      <c r="BS1784" s="4"/>
      <c r="BT1784" s="4"/>
      <c r="BU1784" s="4"/>
    </row>
    <row r="1785" spans="29:73" s="1" customFormat="1" x14ac:dyDescent="0.25">
      <c r="AC1785" s="4"/>
      <c r="AD1785" s="4"/>
      <c r="AE1785" s="4"/>
      <c r="AF1785" s="4"/>
      <c r="AG1785" s="4"/>
      <c r="AH1785" s="4"/>
      <c r="AI1785" s="4"/>
      <c r="AJ1785" s="4"/>
      <c r="AK1785" s="4"/>
      <c r="AL1785" s="4"/>
      <c r="AM1785" s="4"/>
      <c r="AN1785" s="4"/>
      <c r="AO1785" s="4"/>
      <c r="AP1785" s="4"/>
      <c r="AQ1785" s="4"/>
      <c r="AR1785" s="4"/>
      <c r="AS1785" s="4"/>
      <c r="AT1785" s="4"/>
      <c r="AU1785" s="4"/>
      <c r="AV1785" s="4"/>
      <c r="AW1785" s="4"/>
      <c r="AX1785" s="4"/>
      <c r="AY1785" s="4"/>
      <c r="AZ1785" s="4"/>
      <c r="BA1785" s="4"/>
      <c r="BB1785" s="4"/>
      <c r="BC1785" s="4"/>
      <c r="BD1785" s="4"/>
      <c r="BE1785" s="4"/>
      <c r="BF1785" s="4"/>
      <c r="BG1785" s="4"/>
      <c r="BH1785" s="4"/>
      <c r="BI1785" s="4"/>
      <c r="BJ1785" s="4"/>
      <c r="BK1785" s="4"/>
      <c r="BL1785" s="4"/>
      <c r="BM1785" s="4"/>
      <c r="BN1785" s="4"/>
      <c r="BO1785" s="4"/>
      <c r="BP1785" s="4"/>
      <c r="BQ1785" s="4"/>
      <c r="BR1785" s="4"/>
      <c r="BS1785" s="4"/>
      <c r="BT1785" s="4"/>
      <c r="BU1785" s="4"/>
    </row>
    <row r="1786" spans="29:73" s="1" customFormat="1" x14ac:dyDescent="0.25">
      <c r="AC1786" s="4"/>
      <c r="AD1786" s="4"/>
      <c r="AE1786" s="4"/>
      <c r="AF1786" s="4"/>
      <c r="AG1786" s="4"/>
      <c r="AH1786" s="4"/>
      <c r="AI1786" s="4"/>
      <c r="AJ1786" s="4"/>
      <c r="AK1786" s="4"/>
      <c r="AL1786" s="4"/>
      <c r="AM1786" s="4"/>
      <c r="AN1786" s="4"/>
      <c r="AO1786" s="4"/>
      <c r="AP1786" s="4"/>
      <c r="AQ1786" s="4"/>
      <c r="AR1786" s="4"/>
      <c r="AS1786" s="4"/>
      <c r="AT1786" s="4"/>
      <c r="AU1786" s="4"/>
      <c r="AV1786" s="4"/>
      <c r="AW1786" s="4"/>
      <c r="AX1786" s="4"/>
      <c r="AY1786" s="4"/>
      <c r="AZ1786" s="4"/>
      <c r="BA1786" s="4"/>
      <c r="BB1786" s="4"/>
      <c r="BC1786" s="4"/>
      <c r="BD1786" s="4"/>
      <c r="BE1786" s="4"/>
      <c r="BF1786" s="4"/>
      <c r="BG1786" s="4"/>
      <c r="BH1786" s="4"/>
      <c r="BI1786" s="4"/>
      <c r="BJ1786" s="4"/>
      <c r="BK1786" s="4"/>
      <c r="BL1786" s="4"/>
      <c r="BM1786" s="4"/>
      <c r="BN1786" s="4"/>
      <c r="BO1786" s="4"/>
      <c r="BP1786" s="4"/>
      <c r="BQ1786" s="4"/>
      <c r="BR1786" s="4"/>
      <c r="BS1786" s="4"/>
      <c r="BT1786" s="4"/>
      <c r="BU1786" s="4"/>
    </row>
    <row r="1787" spans="29:73" s="1" customFormat="1" x14ac:dyDescent="0.25">
      <c r="AC1787" s="4"/>
      <c r="AD1787" s="4"/>
      <c r="AE1787" s="4"/>
      <c r="AF1787" s="4"/>
      <c r="AG1787" s="4"/>
      <c r="AH1787" s="4"/>
      <c r="AI1787" s="4"/>
      <c r="AJ1787" s="4"/>
      <c r="AK1787" s="4"/>
      <c r="AL1787" s="4"/>
      <c r="AM1787" s="4"/>
      <c r="AN1787" s="4"/>
      <c r="AO1787" s="4"/>
      <c r="AP1787" s="4"/>
      <c r="AQ1787" s="4"/>
      <c r="AR1787" s="4"/>
      <c r="AS1787" s="4"/>
      <c r="AT1787" s="4"/>
      <c r="AU1787" s="4"/>
      <c r="AV1787" s="4"/>
      <c r="AW1787" s="4"/>
      <c r="AX1787" s="4"/>
      <c r="AY1787" s="4"/>
      <c r="AZ1787" s="4"/>
      <c r="BA1787" s="4"/>
      <c r="BB1787" s="4"/>
      <c r="BC1787" s="4"/>
      <c r="BD1787" s="4"/>
      <c r="BE1787" s="4"/>
      <c r="BF1787" s="4"/>
      <c r="BG1787" s="4"/>
      <c r="BH1787" s="4"/>
      <c r="BI1787" s="4"/>
      <c r="BJ1787" s="4"/>
      <c r="BK1787" s="4"/>
      <c r="BL1787" s="4"/>
      <c r="BM1787" s="4"/>
      <c r="BN1787" s="4"/>
      <c r="BO1787" s="4"/>
      <c r="BP1787" s="4"/>
      <c r="BQ1787" s="4"/>
      <c r="BR1787" s="4"/>
      <c r="BS1787" s="4"/>
      <c r="BT1787" s="4"/>
      <c r="BU1787" s="4"/>
    </row>
    <row r="1788" spans="29:73" s="1" customFormat="1" x14ac:dyDescent="0.25">
      <c r="AC1788" s="4"/>
      <c r="AD1788" s="4"/>
      <c r="AE1788" s="4"/>
      <c r="AF1788" s="4"/>
      <c r="AG1788" s="4"/>
      <c r="AH1788" s="4"/>
      <c r="AI1788" s="4"/>
      <c r="AJ1788" s="4"/>
      <c r="AK1788" s="4"/>
      <c r="AL1788" s="4"/>
      <c r="AM1788" s="4"/>
      <c r="AN1788" s="4"/>
      <c r="AO1788" s="4"/>
      <c r="AP1788" s="4"/>
      <c r="AQ1788" s="4"/>
      <c r="AR1788" s="4"/>
      <c r="AS1788" s="4"/>
      <c r="AT1788" s="4"/>
      <c r="AU1788" s="4"/>
      <c r="AV1788" s="4"/>
      <c r="AW1788" s="4"/>
      <c r="AX1788" s="4"/>
      <c r="AY1788" s="4"/>
      <c r="AZ1788" s="4"/>
      <c r="BA1788" s="4"/>
      <c r="BB1788" s="4"/>
      <c r="BC1788" s="4"/>
      <c r="BD1788" s="4"/>
      <c r="BE1788" s="4"/>
      <c r="BF1788" s="4"/>
      <c r="BG1788" s="4"/>
      <c r="BH1788" s="4"/>
      <c r="BI1788" s="4"/>
      <c r="BJ1788" s="4"/>
      <c r="BK1788" s="4"/>
      <c r="BL1788" s="4"/>
      <c r="BM1788" s="4"/>
      <c r="BN1788" s="4"/>
      <c r="BO1788" s="4"/>
      <c r="BP1788" s="4"/>
      <c r="BQ1788" s="4"/>
      <c r="BR1788" s="4"/>
      <c r="BS1788" s="4"/>
      <c r="BT1788" s="4"/>
      <c r="BU1788" s="4"/>
    </row>
    <row r="1789" spans="29:73" s="1" customFormat="1" x14ac:dyDescent="0.25">
      <c r="AC1789" s="4"/>
      <c r="AD1789" s="4"/>
      <c r="AE1789" s="4"/>
      <c r="AF1789" s="4"/>
      <c r="AG1789" s="4"/>
      <c r="AH1789" s="4"/>
      <c r="AI1789" s="4"/>
      <c r="AJ1789" s="4"/>
      <c r="AK1789" s="4"/>
      <c r="AL1789" s="4"/>
      <c r="AM1789" s="4"/>
      <c r="AN1789" s="4"/>
      <c r="AO1789" s="4"/>
      <c r="AP1789" s="4"/>
      <c r="AQ1789" s="4"/>
      <c r="AR1789" s="4"/>
      <c r="AS1789" s="4"/>
      <c r="AT1789" s="4"/>
      <c r="AU1789" s="4"/>
      <c r="AV1789" s="4"/>
      <c r="AW1789" s="4"/>
      <c r="AX1789" s="4"/>
      <c r="AY1789" s="4"/>
      <c r="AZ1789" s="4"/>
      <c r="BA1789" s="4"/>
      <c r="BB1789" s="4"/>
      <c r="BC1789" s="4"/>
      <c r="BD1789" s="4"/>
      <c r="BE1789" s="4"/>
      <c r="BF1789" s="4"/>
      <c r="BG1789" s="4"/>
      <c r="BH1789" s="4"/>
      <c r="BI1789" s="4"/>
      <c r="BJ1789" s="4"/>
      <c r="BK1789" s="4"/>
      <c r="BL1789" s="4"/>
      <c r="BM1789" s="4"/>
      <c r="BN1789" s="4"/>
      <c r="BO1789" s="4"/>
      <c r="BP1789" s="4"/>
      <c r="BQ1789" s="4"/>
      <c r="BR1789" s="4"/>
      <c r="BS1789" s="4"/>
      <c r="BT1789" s="4"/>
      <c r="BU1789" s="4"/>
    </row>
    <row r="1790" spans="29:73" s="1" customFormat="1" x14ac:dyDescent="0.25">
      <c r="AC1790" s="4"/>
      <c r="AD1790" s="4"/>
      <c r="AE1790" s="4"/>
      <c r="AF1790" s="4"/>
      <c r="AG1790" s="4"/>
      <c r="AH1790" s="4"/>
      <c r="AI1790" s="4"/>
      <c r="AJ1790" s="4"/>
      <c r="AK1790" s="4"/>
      <c r="AL1790" s="4"/>
      <c r="AM1790" s="4"/>
      <c r="AN1790" s="4"/>
      <c r="AO1790" s="4"/>
      <c r="AP1790" s="4"/>
      <c r="AQ1790" s="4"/>
      <c r="AR1790" s="4"/>
      <c r="AS1790" s="4"/>
      <c r="AT1790" s="4"/>
      <c r="AU1790" s="4"/>
      <c r="AV1790" s="4"/>
      <c r="AW1790" s="4"/>
      <c r="AX1790" s="4"/>
      <c r="AY1790" s="4"/>
      <c r="AZ1790" s="4"/>
      <c r="BA1790" s="4"/>
      <c r="BB1790" s="4"/>
      <c r="BC1790" s="4"/>
      <c r="BD1790" s="4"/>
      <c r="BE1790" s="4"/>
      <c r="BF1790" s="4"/>
      <c r="BG1790" s="4"/>
      <c r="BH1790" s="4"/>
      <c r="BI1790" s="4"/>
      <c r="BJ1790" s="4"/>
      <c r="BK1790" s="4"/>
      <c r="BL1790" s="4"/>
      <c r="BM1790" s="4"/>
      <c r="BN1790" s="4"/>
      <c r="BO1790" s="4"/>
      <c r="BP1790" s="4"/>
      <c r="BQ1790" s="4"/>
      <c r="BR1790" s="4"/>
      <c r="BS1790" s="4"/>
      <c r="BT1790" s="4"/>
      <c r="BU1790" s="4"/>
    </row>
    <row r="1791" spans="29:73" s="1" customFormat="1" x14ac:dyDescent="0.25">
      <c r="AC1791" s="4"/>
      <c r="AD1791" s="4"/>
      <c r="AE1791" s="4"/>
      <c r="AF1791" s="4"/>
      <c r="AG1791" s="4"/>
      <c r="AH1791" s="4"/>
      <c r="AI1791" s="4"/>
      <c r="AJ1791" s="4"/>
      <c r="AK1791" s="4"/>
      <c r="AL1791" s="4"/>
      <c r="AM1791" s="4"/>
      <c r="AN1791" s="4"/>
      <c r="AO1791" s="4"/>
      <c r="AP1791" s="4"/>
      <c r="AQ1791" s="4"/>
      <c r="AR1791" s="4"/>
      <c r="AS1791" s="4"/>
      <c r="AT1791" s="4"/>
      <c r="AU1791" s="4"/>
      <c r="AV1791" s="4"/>
      <c r="AW1791" s="4"/>
      <c r="AX1791" s="4"/>
      <c r="AY1791" s="4"/>
      <c r="AZ1791" s="4"/>
      <c r="BA1791" s="4"/>
      <c r="BB1791" s="4"/>
      <c r="BC1791" s="4"/>
      <c r="BD1791" s="4"/>
      <c r="BE1791" s="4"/>
      <c r="BF1791" s="4"/>
      <c r="BG1791" s="4"/>
      <c r="BH1791" s="4"/>
      <c r="BI1791" s="4"/>
      <c r="BJ1791" s="4"/>
      <c r="BK1791" s="4"/>
      <c r="BL1791" s="4"/>
      <c r="BM1791" s="4"/>
      <c r="BN1791" s="4"/>
      <c r="BO1791" s="4"/>
      <c r="BP1791" s="4"/>
      <c r="BQ1791" s="4"/>
      <c r="BR1791" s="4"/>
      <c r="BS1791" s="4"/>
      <c r="BT1791" s="4"/>
      <c r="BU1791" s="4"/>
    </row>
    <row r="1792" spans="29:73" s="1" customFormat="1" x14ac:dyDescent="0.25">
      <c r="AC1792" s="4"/>
      <c r="AD1792" s="4"/>
      <c r="AE1792" s="4"/>
      <c r="AF1792" s="4"/>
      <c r="AG1792" s="4"/>
      <c r="AH1792" s="4"/>
      <c r="AI1792" s="4"/>
      <c r="AJ1792" s="4"/>
      <c r="AK1792" s="4"/>
      <c r="AL1792" s="4"/>
      <c r="AM1792" s="4"/>
      <c r="AN1792" s="4"/>
      <c r="AO1792" s="4"/>
      <c r="AP1792" s="4"/>
      <c r="AQ1792" s="4"/>
      <c r="AR1792" s="4"/>
      <c r="AS1792" s="4"/>
      <c r="AT1792" s="4"/>
      <c r="AU1792" s="4"/>
      <c r="AV1792" s="4"/>
      <c r="AW1792" s="4"/>
      <c r="AX1792" s="4"/>
      <c r="AY1792" s="4"/>
      <c r="AZ1792" s="4"/>
      <c r="BA1792" s="4"/>
      <c r="BB1792" s="4"/>
      <c r="BC1792" s="4"/>
      <c r="BD1792" s="4"/>
      <c r="BE1792" s="4"/>
      <c r="BF1792" s="4"/>
      <c r="BG1792" s="4"/>
      <c r="BH1792" s="4"/>
      <c r="BI1792" s="4"/>
      <c r="BJ1792" s="4"/>
      <c r="BK1792" s="4"/>
      <c r="BL1792" s="4"/>
      <c r="BM1792" s="4"/>
      <c r="BN1792" s="4"/>
      <c r="BO1792" s="4"/>
      <c r="BP1792" s="4"/>
      <c r="BQ1792" s="4"/>
      <c r="BR1792" s="4"/>
      <c r="BS1792" s="4"/>
      <c r="BT1792" s="4"/>
      <c r="BU1792" s="4"/>
    </row>
    <row r="1793" spans="29:73" s="1" customFormat="1" x14ac:dyDescent="0.25">
      <c r="AC1793" s="4"/>
      <c r="AD1793" s="4"/>
      <c r="AE1793" s="4"/>
      <c r="AF1793" s="4"/>
      <c r="AG1793" s="4"/>
      <c r="AH1793" s="4"/>
      <c r="AI1793" s="4"/>
      <c r="AJ1793" s="4"/>
      <c r="AK1793" s="4"/>
      <c r="AL1793" s="4"/>
      <c r="AM1793" s="4"/>
      <c r="AN1793" s="4"/>
      <c r="AO1793" s="4"/>
      <c r="AP1793" s="4"/>
      <c r="AQ1793" s="4"/>
      <c r="AR1793" s="4"/>
      <c r="AS1793" s="4"/>
      <c r="AT1793" s="4"/>
      <c r="AU1793" s="4"/>
      <c r="AV1793" s="4"/>
      <c r="AW1793" s="4"/>
      <c r="AX1793" s="4"/>
      <c r="AY1793" s="4"/>
      <c r="AZ1793" s="4"/>
      <c r="BA1793" s="4"/>
      <c r="BB1793" s="4"/>
      <c r="BC1793" s="4"/>
      <c r="BD1793" s="4"/>
      <c r="BE1793" s="4"/>
      <c r="BF1793" s="4"/>
      <c r="BG1793" s="4"/>
      <c r="BH1793" s="4"/>
      <c r="BI1793" s="4"/>
      <c r="BJ1793" s="4"/>
      <c r="BK1793" s="4"/>
      <c r="BL1793" s="4"/>
      <c r="BM1793" s="4"/>
      <c r="BN1793" s="4"/>
      <c r="BO1793" s="4"/>
      <c r="BP1793" s="4"/>
      <c r="BQ1793" s="4"/>
      <c r="BR1793" s="4"/>
      <c r="BS1793" s="4"/>
      <c r="BT1793" s="4"/>
      <c r="BU1793" s="4"/>
    </row>
    <row r="1794" spans="29:73" s="1" customFormat="1" x14ac:dyDescent="0.25">
      <c r="AC1794" s="4"/>
      <c r="AD1794" s="4"/>
      <c r="AE1794" s="4"/>
      <c r="AF1794" s="4"/>
      <c r="AG1794" s="4"/>
      <c r="AH1794" s="4"/>
      <c r="AI1794" s="4"/>
      <c r="AJ1794" s="4"/>
      <c r="AK1794" s="4"/>
      <c r="AL1794" s="4"/>
      <c r="AM1794" s="4"/>
      <c r="AN1794" s="4"/>
      <c r="AO1794" s="4"/>
      <c r="AP1794" s="4"/>
      <c r="AQ1794" s="4"/>
      <c r="AR1794" s="4"/>
      <c r="AS1794" s="4"/>
      <c r="AT1794" s="4"/>
      <c r="AU1794" s="4"/>
      <c r="AV1794" s="4"/>
      <c r="AW1794" s="4"/>
      <c r="AX1794" s="4"/>
      <c r="AY1794" s="4"/>
      <c r="AZ1794" s="4"/>
      <c r="BA1794" s="4"/>
      <c r="BB1794" s="4"/>
      <c r="BC1794" s="4"/>
      <c r="BD1794" s="4"/>
      <c r="BE1794" s="4"/>
      <c r="BF1794" s="4"/>
      <c r="BG1794" s="4"/>
      <c r="BH1794" s="4"/>
      <c r="BI1794" s="4"/>
      <c r="BJ1794" s="4"/>
      <c r="BK1794" s="4"/>
      <c r="BL1794" s="4"/>
      <c r="BM1794" s="4"/>
      <c r="BN1794" s="4"/>
      <c r="BO1794" s="4"/>
      <c r="BP1794" s="4"/>
      <c r="BQ1794" s="4"/>
      <c r="BR1794" s="4"/>
      <c r="BS1794" s="4"/>
      <c r="BT1794" s="4"/>
      <c r="BU1794" s="4"/>
    </row>
    <row r="1795" spans="29:73" s="1" customFormat="1" x14ac:dyDescent="0.25">
      <c r="AC1795" s="4"/>
      <c r="AD1795" s="4"/>
      <c r="AE1795" s="4"/>
      <c r="AF1795" s="4"/>
      <c r="AG1795" s="4"/>
      <c r="AH1795" s="4"/>
      <c r="AI1795" s="4"/>
      <c r="AJ1795" s="4"/>
      <c r="AK1795" s="4"/>
      <c r="AL1795" s="4"/>
      <c r="AM1795" s="4"/>
      <c r="AN1795" s="4"/>
      <c r="AO1795" s="4"/>
      <c r="AP1795" s="4"/>
      <c r="AQ1795" s="4"/>
      <c r="AR1795" s="4"/>
      <c r="AS1795" s="4"/>
      <c r="AT1795" s="4"/>
      <c r="AU1795" s="4"/>
      <c r="AV1795" s="4"/>
      <c r="AW1795" s="4"/>
      <c r="AX1795" s="4"/>
      <c r="AY1795" s="4"/>
      <c r="AZ1795" s="4"/>
      <c r="BA1795" s="4"/>
      <c r="BB1795" s="4"/>
      <c r="BC1795" s="4"/>
      <c r="BD1795" s="4"/>
      <c r="BE1795" s="4"/>
      <c r="BF1795" s="4"/>
      <c r="BG1795" s="4"/>
      <c r="BH1795" s="4"/>
      <c r="BI1795" s="4"/>
      <c r="BJ1795" s="4"/>
      <c r="BK1795" s="4"/>
      <c r="BL1795" s="4"/>
      <c r="BM1795" s="4"/>
      <c r="BN1795" s="4"/>
      <c r="BO1795" s="4"/>
      <c r="BP1795" s="4"/>
      <c r="BQ1795" s="4"/>
      <c r="BR1795" s="4"/>
      <c r="BS1795" s="4"/>
      <c r="BT1795" s="4"/>
      <c r="BU1795" s="4"/>
    </row>
    <row r="1796" spans="29:73" s="1" customFormat="1" x14ac:dyDescent="0.25">
      <c r="AC1796" s="4"/>
      <c r="AD1796" s="4"/>
      <c r="AE1796" s="4"/>
      <c r="AF1796" s="4"/>
      <c r="AG1796" s="4"/>
      <c r="AH1796" s="4"/>
      <c r="AI1796" s="4"/>
      <c r="AJ1796" s="4"/>
      <c r="AK1796" s="4"/>
      <c r="AL1796" s="4"/>
      <c r="AM1796" s="4"/>
      <c r="AN1796" s="4"/>
      <c r="AO1796" s="4"/>
      <c r="AP1796" s="4"/>
      <c r="AQ1796" s="4"/>
      <c r="AR1796" s="4"/>
      <c r="AS1796" s="4"/>
      <c r="AT1796" s="4"/>
      <c r="AU1796" s="4"/>
      <c r="AV1796" s="4"/>
      <c r="AW1796" s="4"/>
      <c r="AX1796" s="4"/>
      <c r="AY1796" s="4"/>
      <c r="AZ1796" s="4"/>
      <c r="BA1796" s="4"/>
      <c r="BB1796" s="4"/>
      <c r="BC1796" s="4"/>
      <c r="BD1796" s="4"/>
      <c r="BE1796" s="4"/>
      <c r="BF1796" s="4"/>
      <c r="BG1796" s="4"/>
      <c r="BH1796" s="4"/>
      <c r="BI1796" s="4"/>
      <c r="BJ1796" s="4"/>
      <c r="BK1796" s="4"/>
      <c r="BL1796" s="4"/>
      <c r="BM1796" s="4"/>
      <c r="BN1796" s="4"/>
      <c r="BO1796" s="4"/>
      <c r="BP1796" s="4"/>
      <c r="BQ1796" s="4"/>
      <c r="BR1796" s="4"/>
      <c r="BS1796" s="4"/>
      <c r="BT1796" s="4"/>
      <c r="BU1796" s="4"/>
    </row>
    <row r="1797" spans="29:73" s="1" customFormat="1" x14ac:dyDescent="0.25">
      <c r="AC1797" s="4"/>
      <c r="AD1797" s="4"/>
      <c r="AE1797" s="4"/>
      <c r="AF1797" s="4"/>
      <c r="AG1797" s="4"/>
      <c r="AH1797" s="4"/>
      <c r="AI1797" s="4"/>
      <c r="AJ1797" s="4"/>
      <c r="AK1797" s="4"/>
      <c r="AL1797" s="4"/>
      <c r="AM1797" s="4"/>
      <c r="AN1797" s="4"/>
      <c r="AO1797" s="4"/>
      <c r="AP1797" s="4"/>
      <c r="AQ1797" s="4"/>
      <c r="AR1797" s="4"/>
      <c r="AS1797" s="4"/>
      <c r="AT1797" s="4"/>
      <c r="AU1797" s="4"/>
      <c r="AV1797" s="4"/>
      <c r="AW1797" s="4"/>
      <c r="AX1797" s="4"/>
      <c r="AY1797" s="4"/>
      <c r="AZ1797" s="4"/>
      <c r="BA1797" s="4"/>
      <c r="BB1797" s="4"/>
      <c r="BC1797" s="4"/>
      <c r="BD1797" s="4"/>
      <c r="BE1797" s="4"/>
      <c r="BF1797" s="4"/>
      <c r="BG1797" s="4"/>
      <c r="BH1797" s="4"/>
      <c r="BI1797" s="4"/>
      <c r="BJ1797" s="4"/>
      <c r="BK1797" s="4"/>
      <c r="BL1797" s="4"/>
      <c r="BM1797" s="4"/>
      <c r="BN1797" s="4"/>
      <c r="BO1797" s="4"/>
      <c r="BP1797" s="4"/>
      <c r="BQ1797" s="4"/>
      <c r="BR1797" s="4"/>
      <c r="BS1797" s="4"/>
      <c r="BT1797" s="4"/>
      <c r="BU1797" s="4"/>
    </row>
    <row r="1798" spans="29:73" s="1" customFormat="1" x14ac:dyDescent="0.25">
      <c r="AC1798" s="4"/>
      <c r="AD1798" s="4"/>
      <c r="AE1798" s="4"/>
      <c r="AF1798" s="4"/>
      <c r="AG1798" s="4"/>
      <c r="AH1798" s="4"/>
      <c r="AI1798" s="4"/>
      <c r="AJ1798" s="4"/>
      <c r="AK1798" s="4"/>
      <c r="AL1798" s="4"/>
      <c r="AM1798" s="4"/>
      <c r="AN1798" s="4"/>
      <c r="AO1798" s="4"/>
      <c r="AP1798" s="4"/>
      <c r="AQ1798" s="4"/>
      <c r="AR1798" s="4"/>
      <c r="AS1798" s="4"/>
      <c r="AT1798" s="4"/>
      <c r="AU1798" s="4"/>
      <c r="AV1798" s="4"/>
      <c r="AW1798" s="4"/>
      <c r="AX1798" s="4"/>
      <c r="AY1798" s="4"/>
      <c r="AZ1798" s="4"/>
      <c r="BA1798" s="4"/>
      <c r="BB1798" s="4"/>
      <c r="BC1798" s="4"/>
      <c r="BD1798" s="4"/>
      <c r="BE1798" s="4"/>
      <c r="BF1798" s="4"/>
      <c r="BG1798" s="4"/>
      <c r="BH1798" s="4"/>
      <c r="BI1798" s="4"/>
      <c r="BJ1798" s="4"/>
      <c r="BK1798" s="4"/>
      <c r="BL1798" s="4"/>
      <c r="BM1798" s="4"/>
      <c r="BN1798" s="4"/>
      <c r="BO1798" s="4"/>
      <c r="BP1798" s="4"/>
      <c r="BQ1798" s="4"/>
      <c r="BR1798" s="4"/>
      <c r="BS1798" s="4"/>
      <c r="BT1798" s="4"/>
      <c r="BU1798" s="4"/>
    </row>
    <row r="1799" spans="29:73" s="1" customFormat="1" x14ac:dyDescent="0.25">
      <c r="AC1799" s="4"/>
      <c r="AD1799" s="4"/>
      <c r="AE1799" s="4"/>
      <c r="AF1799" s="4"/>
      <c r="AG1799" s="4"/>
      <c r="AH1799" s="4"/>
      <c r="AI1799" s="4"/>
      <c r="AJ1799" s="4"/>
      <c r="AK1799" s="4"/>
      <c r="AL1799" s="4"/>
      <c r="AM1799" s="4"/>
      <c r="AN1799" s="4"/>
      <c r="AO1799" s="4"/>
      <c r="AP1799" s="4"/>
      <c r="AQ1799" s="4"/>
      <c r="AR1799" s="4"/>
      <c r="AS1799" s="4"/>
      <c r="AT1799" s="4"/>
      <c r="AU1799" s="4"/>
      <c r="AV1799" s="4"/>
      <c r="AW1799" s="4"/>
      <c r="AX1799" s="4"/>
      <c r="AY1799" s="4"/>
      <c r="AZ1799" s="4"/>
      <c r="BA1799" s="4"/>
      <c r="BB1799" s="4"/>
      <c r="BC1799" s="4"/>
      <c r="BD1799" s="4"/>
      <c r="BE1799" s="4"/>
      <c r="BF1799" s="4"/>
      <c r="BG1799" s="4"/>
      <c r="BH1799" s="4"/>
      <c r="BI1799" s="4"/>
      <c r="BJ1799" s="4"/>
      <c r="BK1799" s="4"/>
      <c r="BL1799" s="4"/>
      <c r="BM1799" s="4"/>
      <c r="BN1799" s="4"/>
      <c r="BO1799" s="4"/>
      <c r="BP1799" s="4"/>
      <c r="BQ1799" s="4"/>
      <c r="BR1799" s="4"/>
      <c r="BS1799" s="4"/>
      <c r="BT1799" s="4"/>
      <c r="BU1799" s="4"/>
    </row>
    <row r="1800" spans="29:73" s="1" customFormat="1" x14ac:dyDescent="0.25">
      <c r="AC1800" s="4"/>
      <c r="AD1800" s="4"/>
      <c r="AE1800" s="4"/>
      <c r="AF1800" s="4"/>
      <c r="AG1800" s="4"/>
      <c r="AH1800" s="4"/>
      <c r="AI1800" s="4"/>
      <c r="AJ1800" s="4"/>
      <c r="AK1800" s="4"/>
      <c r="AL1800" s="4"/>
      <c r="AM1800" s="4"/>
      <c r="AN1800" s="4"/>
      <c r="AO1800" s="4"/>
      <c r="AP1800" s="4"/>
      <c r="AQ1800" s="4"/>
      <c r="AR1800" s="4"/>
      <c r="AS1800" s="4"/>
      <c r="AT1800" s="4"/>
      <c r="AU1800" s="4"/>
      <c r="AV1800" s="4"/>
      <c r="AW1800" s="4"/>
      <c r="AX1800" s="4"/>
      <c r="AY1800" s="4"/>
      <c r="AZ1800" s="4"/>
      <c r="BA1800" s="4"/>
      <c r="BB1800" s="4"/>
      <c r="BC1800" s="4"/>
      <c r="BD1800" s="4"/>
      <c r="BE1800" s="4"/>
      <c r="BF1800" s="4"/>
      <c r="BG1800" s="4"/>
      <c r="BH1800" s="4"/>
      <c r="BI1800" s="4"/>
      <c r="BJ1800" s="4"/>
      <c r="BK1800" s="4"/>
      <c r="BL1800" s="4"/>
      <c r="BM1800" s="4"/>
      <c r="BN1800" s="4"/>
      <c r="BO1800" s="4"/>
      <c r="BP1800" s="4"/>
      <c r="BQ1800" s="4"/>
      <c r="BR1800" s="4"/>
      <c r="BS1800" s="4"/>
      <c r="BT1800" s="4"/>
      <c r="BU1800" s="4"/>
    </row>
    <row r="1801" spans="29:73" s="1" customFormat="1" x14ac:dyDescent="0.25">
      <c r="AC1801" s="4"/>
      <c r="AD1801" s="4"/>
      <c r="AE1801" s="4"/>
      <c r="AF1801" s="4"/>
      <c r="AG1801" s="4"/>
      <c r="AH1801" s="4"/>
      <c r="AI1801" s="4"/>
      <c r="AJ1801" s="4"/>
      <c r="AK1801" s="4"/>
      <c r="AL1801" s="4"/>
      <c r="AM1801" s="4"/>
      <c r="AN1801" s="4"/>
      <c r="AO1801" s="4"/>
      <c r="AP1801" s="4"/>
      <c r="AQ1801" s="4"/>
      <c r="AR1801" s="4"/>
      <c r="AS1801" s="4"/>
      <c r="AT1801" s="4"/>
      <c r="AU1801" s="4"/>
      <c r="AV1801" s="4"/>
      <c r="AW1801" s="4"/>
      <c r="AX1801" s="4"/>
      <c r="AY1801" s="4"/>
      <c r="AZ1801" s="4"/>
      <c r="BA1801" s="4"/>
      <c r="BB1801" s="4"/>
      <c r="BC1801" s="4"/>
      <c r="BD1801" s="4"/>
      <c r="BE1801" s="4"/>
      <c r="BF1801" s="4"/>
      <c r="BG1801" s="4"/>
      <c r="BH1801" s="4"/>
      <c r="BI1801" s="4"/>
      <c r="BJ1801" s="4"/>
      <c r="BK1801" s="4"/>
      <c r="BL1801" s="4"/>
      <c r="BM1801" s="4"/>
      <c r="BN1801" s="4"/>
      <c r="BO1801" s="4"/>
      <c r="BP1801" s="4"/>
      <c r="BQ1801" s="4"/>
      <c r="BR1801" s="4"/>
      <c r="BS1801" s="4"/>
      <c r="BT1801" s="4"/>
      <c r="BU1801" s="4"/>
    </row>
    <row r="1802" spans="29:73" s="1" customFormat="1" x14ac:dyDescent="0.25">
      <c r="AC1802" s="4"/>
      <c r="AD1802" s="4"/>
      <c r="AE1802" s="4"/>
      <c r="AF1802" s="4"/>
      <c r="AG1802" s="4"/>
      <c r="AH1802" s="4"/>
      <c r="AI1802" s="4"/>
      <c r="AJ1802" s="4"/>
      <c r="AK1802" s="4"/>
      <c r="AL1802" s="4"/>
      <c r="AM1802" s="4"/>
      <c r="AN1802" s="4"/>
      <c r="AO1802" s="4"/>
      <c r="AP1802" s="4"/>
      <c r="AQ1802" s="4"/>
      <c r="AR1802" s="4"/>
      <c r="AS1802" s="4"/>
      <c r="AT1802" s="4"/>
      <c r="AU1802" s="4"/>
      <c r="AV1802" s="4"/>
      <c r="AW1802" s="4"/>
      <c r="AX1802" s="4"/>
      <c r="AY1802" s="4"/>
      <c r="AZ1802" s="4"/>
      <c r="BA1802" s="4"/>
      <c r="BB1802" s="4"/>
      <c r="BC1802" s="4"/>
      <c r="BD1802" s="4"/>
      <c r="BE1802" s="4"/>
      <c r="BF1802" s="4"/>
      <c r="BG1802" s="4"/>
      <c r="BH1802" s="4"/>
      <c r="BI1802" s="4"/>
      <c r="BJ1802" s="4"/>
      <c r="BK1802" s="4"/>
      <c r="BL1802" s="4"/>
      <c r="BM1802" s="4"/>
      <c r="BN1802" s="4"/>
      <c r="BO1802" s="4"/>
      <c r="BP1802" s="4"/>
      <c r="BQ1802" s="4"/>
      <c r="BR1802" s="4"/>
      <c r="BS1802" s="4"/>
      <c r="BT1802" s="4"/>
      <c r="BU1802" s="4"/>
    </row>
    <row r="1803" spans="29:73" s="1" customFormat="1" x14ac:dyDescent="0.25">
      <c r="AC1803" s="4"/>
      <c r="AD1803" s="4"/>
      <c r="AE1803" s="4"/>
      <c r="AF1803" s="4"/>
      <c r="AG1803" s="4"/>
      <c r="AH1803" s="4"/>
      <c r="AI1803" s="4"/>
      <c r="AJ1803" s="4"/>
      <c r="AK1803" s="4"/>
      <c r="AL1803" s="4"/>
      <c r="AM1803" s="4"/>
      <c r="AN1803" s="4"/>
      <c r="AO1803" s="4"/>
      <c r="AP1803" s="4"/>
      <c r="AQ1803" s="4"/>
      <c r="AR1803" s="4"/>
      <c r="AS1803" s="4"/>
      <c r="AT1803" s="4"/>
      <c r="AU1803" s="4"/>
      <c r="AV1803" s="4"/>
      <c r="AW1803" s="4"/>
      <c r="AX1803" s="4"/>
      <c r="AY1803" s="4"/>
      <c r="AZ1803" s="4"/>
      <c r="BA1803" s="4"/>
      <c r="BB1803" s="4"/>
      <c r="BC1803" s="4"/>
      <c r="BD1803" s="4"/>
      <c r="BE1803" s="4"/>
      <c r="BF1803" s="4"/>
      <c r="BG1803" s="4"/>
      <c r="BH1803" s="4"/>
      <c r="BI1803" s="4"/>
      <c r="BJ1803" s="4"/>
      <c r="BK1803" s="4"/>
      <c r="BL1803" s="4"/>
      <c r="BM1803" s="4"/>
      <c r="BN1803" s="4"/>
      <c r="BO1803" s="4"/>
      <c r="BP1803" s="4"/>
      <c r="BQ1803" s="4"/>
      <c r="BR1803" s="4"/>
      <c r="BS1803" s="4"/>
      <c r="BT1803" s="4"/>
      <c r="BU1803" s="4"/>
    </row>
    <row r="1804" spans="29:73" s="1" customFormat="1" x14ac:dyDescent="0.25">
      <c r="AC1804" s="4"/>
      <c r="AD1804" s="4"/>
      <c r="AE1804" s="4"/>
      <c r="AF1804" s="4"/>
      <c r="AG1804" s="4"/>
      <c r="AH1804" s="4"/>
      <c r="AI1804" s="4"/>
      <c r="AJ1804" s="4"/>
      <c r="AK1804" s="4"/>
      <c r="AL1804" s="4"/>
      <c r="AM1804" s="4"/>
      <c r="AN1804" s="4"/>
      <c r="AO1804" s="4"/>
      <c r="AP1804" s="4"/>
      <c r="AQ1804" s="4"/>
      <c r="AR1804" s="4"/>
      <c r="AS1804" s="4"/>
      <c r="AT1804" s="4"/>
      <c r="AU1804" s="4"/>
      <c r="AV1804" s="4"/>
      <c r="AW1804" s="4"/>
      <c r="AX1804" s="4"/>
      <c r="AY1804" s="4"/>
      <c r="AZ1804" s="4"/>
      <c r="BA1804" s="4"/>
      <c r="BB1804" s="4"/>
      <c r="BC1804" s="4"/>
      <c r="BD1804" s="4"/>
      <c r="BE1804" s="4"/>
      <c r="BF1804" s="4"/>
      <c r="BG1804" s="4"/>
      <c r="BH1804" s="4"/>
      <c r="BI1804" s="4"/>
      <c r="BJ1804" s="4"/>
      <c r="BK1804" s="4"/>
      <c r="BL1804" s="4"/>
      <c r="BM1804" s="4"/>
      <c r="BN1804" s="4"/>
      <c r="BO1804" s="4"/>
      <c r="BP1804" s="4"/>
      <c r="BQ1804" s="4"/>
      <c r="BR1804" s="4"/>
      <c r="BS1804" s="4"/>
      <c r="BT1804" s="4"/>
      <c r="BU1804" s="4"/>
    </row>
    <row r="1805" spans="29:73" s="1" customFormat="1" x14ac:dyDescent="0.25">
      <c r="AC1805" s="4"/>
      <c r="AD1805" s="4"/>
      <c r="AE1805" s="4"/>
      <c r="AF1805" s="4"/>
      <c r="AG1805" s="4"/>
      <c r="AH1805" s="4"/>
      <c r="AI1805" s="4"/>
      <c r="AJ1805" s="4"/>
      <c r="AK1805" s="4"/>
      <c r="AL1805" s="4"/>
      <c r="AM1805" s="4"/>
      <c r="AN1805" s="4"/>
      <c r="AO1805" s="4"/>
      <c r="AP1805" s="4"/>
      <c r="AQ1805" s="4"/>
      <c r="AR1805" s="4"/>
      <c r="AS1805" s="4"/>
      <c r="AT1805" s="4"/>
      <c r="AU1805" s="4"/>
      <c r="AV1805" s="4"/>
      <c r="AW1805" s="4"/>
      <c r="AX1805" s="4"/>
      <c r="AY1805" s="4"/>
      <c r="AZ1805" s="4"/>
      <c r="BA1805" s="4"/>
      <c r="BB1805" s="4"/>
      <c r="BC1805" s="4"/>
      <c r="BD1805" s="4"/>
      <c r="BE1805" s="4"/>
      <c r="BF1805" s="4"/>
      <c r="BG1805" s="4"/>
      <c r="BH1805" s="4"/>
      <c r="BI1805" s="4"/>
      <c r="BJ1805" s="4"/>
      <c r="BK1805" s="4"/>
      <c r="BL1805" s="4"/>
      <c r="BM1805" s="4"/>
      <c r="BN1805" s="4"/>
      <c r="BO1805" s="4"/>
      <c r="BP1805" s="4"/>
      <c r="BQ1805" s="4"/>
      <c r="BR1805" s="4"/>
      <c r="BS1805" s="4"/>
      <c r="BT1805" s="4"/>
      <c r="BU1805" s="4"/>
    </row>
    <row r="1806" spans="29:73" s="1" customFormat="1" x14ac:dyDescent="0.25">
      <c r="AC1806" s="4"/>
      <c r="AD1806" s="4"/>
      <c r="AE1806" s="4"/>
      <c r="AF1806" s="4"/>
      <c r="AG1806" s="4"/>
      <c r="AH1806" s="4"/>
      <c r="AI1806" s="4"/>
      <c r="AJ1806" s="4"/>
      <c r="AK1806" s="4"/>
      <c r="AL1806" s="4"/>
      <c r="AM1806" s="4"/>
      <c r="AN1806" s="4"/>
      <c r="AO1806" s="4"/>
      <c r="AP1806" s="4"/>
      <c r="AQ1806" s="4"/>
      <c r="AR1806" s="4"/>
      <c r="AS1806" s="4"/>
      <c r="AT1806" s="4"/>
      <c r="AU1806" s="4"/>
      <c r="AV1806" s="4"/>
      <c r="AW1806" s="4"/>
      <c r="AX1806" s="4"/>
      <c r="AY1806" s="4"/>
      <c r="AZ1806" s="4"/>
      <c r="BA1806" s="4"/>
      <c r="BB1806" s="4"/>
      <c r="BC1806" s="4"/>
      <c r="BD1806" s="4"/>
      <c r="BE1806" s="4"/>
      <c r="BF1806" s="4"/>
      <c r="BG1806" s="4"/>
      <c r="BH1806" s="4"/>
      <c r="BI1806" s="4"/>
      <c r="BJ1806" s="4"/>
      <c r="BK1806" s="4"/>
      <c r="BL1806" s="4"/>
      <c r="BM1806" s="4"/>
      <c r="BN1806" s="4"/>
      <c r="BO1806" s="4"/>
      <c r="BP1806" s="4"/>
      <c r="BQ1806" s="4"/>
      <c r="BR1806" s="4"/>
      <c r="BS1806" s="4"/>
      <c r="BT1806" s="4"/>
      <c r="BU1806" s="4"/>
    </row>
    <row r="1807" spans="29:73" s="1" customFormat="1" x14ac:dyDescent="0.25">
      <c r="AC1807" s="4"/>
      <c r="AD1807" s="4"/>
      <c r="AE1807" s="4"/>
      <c r="AF1807" s="4"/>
      <c r="AG1807" s="4"/>
      <c r="AH1807" s="4"/>
      <c r="AI1807" s="4"/>
      <c r="AJ1807" s="4"/>
      <c r="AK1807" s="4"/>
      <c r="AL1807" s="4"/>
      <c r="AM1807" s="4"/>
      <c r="AN1807" s="4"/>
      <c r="AO1807" s="4"/>
      <c r="AP1807" s="4"/>
      <c r="AQ1807" s="4"/>
      <c r="AR1807" s="4"/>
      <c r="AS1807" s="4"/>
      <c r="AT1807" s="4"/>
      <c r="AU1807" s="4"/>
      <c r="AV1807" s="4"/>
      <c r="AW1807" s="4"/>
      <c r="AX1807" s="4"/>
      <c r="AY1807" s="4"/>
      <c r="AZ1807" s="4"/>
      <c r="BA1807" s="4"/>
      <c r="BB1807" s="4"/>
      <c r="BC1807" s="4"/>
      <c r="BD1807" s="4"/>
      <c r="BE1807" s="4"/>
      <c r="BF1807" s="4"/>
      <c r="BG1807" s="4"/>
      <c r="BH1807" s="4"/>
      <c r="BI1807" s="4"/>
      <c r="BJ1807" s="4"/>
      <c r="BK1807" s="4"/>
      <c r="BL1807" s="4"/>
      <c r="BM1807" s="4"/>
      <c r="BN1807" s="4"/>
      <c r="BO1807" s="4"/>
      <c r="BP1807" s="4"/>
      <c r="BQ1807" s="4"/>
      <c r="BR1807" s="4"/>
      <c r="BS1807" s="4"/>
      <c r="BT1807" s="4"/>
      <c r="BU1807" s="4"/>
    </row>
    <row r="1808" spans="29:73" s="1" customFormat="1" x14ac:dyDescent="0.25">
      <c r="AC1808" s="4"/>
      <c r="AD1808" s="4"/>
      <c r="AE1808" s="4"/>
      <c r="AF1808" s="4"/>
      <c r="AG1808" s="4"/>
      <c r="AH1808" s="4"/>
      <c r="AI1808" s="4"/>
      <c r="AJ1808" s="4"/>
      <c r="AK1808" s="4"/>
      <c r="AL1808" s="4"/>
      <c r="AM1808" s="4"/>
      <c r="AN1808" s="4"/>
      <c r="AO1808" s="4"/>
      <c r="AP1808" s="4"/>
      <c r="AQ1808" s="4"/>
      <c r="AR1808" s="4"/>
      <c r="AS1808" s="4"/>
      <c r="AT1808" s="4"/>
      <c r="AU1808" s="4"/>
      <c r="AV1808" s="4"/>
      <c r="AW1808" s="4"/>
      <c r="AX1808" s="4"/>
      <c r="AY1808" s="4"/>
      <c r="AZ1808" s="4"/>
      <c r="BA1808" s="4"/>
      <c r="BB1808" s="4"/>
      <c r="BC1808" s="4"/>
      <c r="BD1808" s="4"/>
      <c r="BE1808" s="4"/>
      <c r="BF1808" s="4"/>
      <c r="BG1808" s="4"/>
      <c r="BH1808" s="4"/>
      <c r="BI1808" s="4"/>
      <c r="BJ1808" s="4"/>
      <c r="BK1808" s="4"/>
      <c r="BL1808" s="4"/>
      <c r="BM1808" s="4"/>
      <c r="BN1808" s="4"/>
      <c r="BO1808" s="4"/>
      <c r="BP1808" s="4"/>
      <c r="BQ1808" s="4"/>
      <c r="BR1808" s="4"/>
      <c r="BS1808" s="4"/>
      <c r="BT1808" s="4"/>
      <c r="BU1808" s="4"/>
    </row>
    <row r="1809" spans="29:73" s="1" customFormat="1" x14ac:dyDescent="0.25">
      <c r="AC1809" s="4"/>
      <c r="AD1809" s="4"/>
      <c r="AE1809" s="4"/>
      <c r="AF1809" s="4"/>
      <c r="AG1809" s="4"/>
      <c r="AH1809" s="4"/>
      <c r="AI1809" s="4"/>
      <c r="AJ1809" s="4"/>
      <c r="AK1809" s="4"/>
      <c r="AL1809" s="4"/>
      <c r="AM1809" s="4"/>
      <c r="AN1809" s="4"/>
      <c r="AO1809" s="4"/>
      <c r="AP1809" s="4"/>
      <c r="AQ1809" s="4"/>
      <c r="AR1809" s="4"/>
      <c r="AS1809" s="4"/>
      <c r="AT1809" s="4"/>
      <c r="AU1809" s="4"/>
      <c r="AV1809" s="4"/>
      <c r="AW1809" s="4"/>
      <c r="AX1809" s="4"/>
      <c r="AY1809" s="4"/>
      <c r="AZ1809" s="4"/>
      <c r="BA1809" s="4"/>
      <c r="BB1809" s="4"/>
      <c r="BC1809" s="4"/>
      <c r="BD1809" s="4"/>
      <c r="BE1809" s="4"/>
      <c r="BF1809" s="4"/>
      <c r="BG1809" s="4"/>
      <c r="BH1809" s="4"/>
      <c r="BI1809" s="4"/>
      <c r="BJ1809" s="4"/>
      <c r="BK1809" s="4"/>
      <c r="BL1809" s="4"/>
      <c r="BM1809" s="4"/>
      <c r="BN1809" s="4"/>
      <c r="BO1809" s="4"/>
      <c r="BP1809" s="4"/>
      <c r="BQ1809" s="4"/>
      <c r="BR1809" s="4"/>
      <c r="BS1809" s="4"/>
      <c r="BT1809" s="4"/>
      <c r="BU1809" s="4"/>
    </row>
    <row r="1810" spans="29:73" s="1" customFormat="1" x14ac:dyDescent="0.25">
      <c r="AC1810" s="4"/>
      <c r="AD1810" s="4"/>
      <c r="AE1810" s="4"/>
      <c r="AF1810" s="4"/>
      <c r="AG1810" s="4"/>
      <c r="AH1810" s="4"/>
      <c r="AI1810" s="4"/>
      <c r="AJ1810" s="4"/>
      <c r="AK1810" s="4"/>
      <c r="AL1810" s="4"/>
      <c r="AM1810" s="4"/>
      <c r="AN1810" s="4"/>
      <c r="AO1810" s="4"/>
      <c r="AP1810" s="4"/>
      <c r="AQ1810" s="4"/>
      <c r="AR1810" s="4"/>
      <c r="AS1810" s="4"/>
      <c r="AT1810" s="4"/>
      <c r="AU1810" s="4"/>
      <c r="AV1810" s="4"/>
      <c r="AW1810" s="4"/>
      <c r="AX1810" s="4"/>
      <c r="AY1810" s="4"/>
      <c r="AZ1810" s="4"/>
      <c r="BA1810" s="4"/>
      <c r="BB1810" s="4"/>
      <c r="BC1810" s="4"/>
      <c r="BD1810" s="4"/>
      <c r="BE1810" s="4"/>
      <c r="BF1810" s="4"/>
      <c r="BG1810" s="4"/>
      <c r="BH1810" s="4"/>
      <c r="BI1810" s="4"/>
      <c r="BJ1810" s="4"/>
      <c r="BK1810" s="4"/>
      <c r="BL1810" s="4"/>
      <c r="BM1810" s="4"/>
      <c r="BN1810" s="4"/>
      <c r="BO1810" s="4"/>
      <c r="BP1810" s="4"/>
      <c r="BQ1810" s="4"/>
      <c r="BR1810" s="4"/>
      <c r="BS1810" s="4"/>
      <c r="BT1810" s="4"/>
      <c r="BU1810" s="4"/>
    </row>
    <row r="1811" spans="29:73" s="1" customFormat="1" x14ac:dyDescent="0.25">
      <c r="AC1811" s="4"/>
      <c r="AD1811" s="4"/>
      <c r="AE1811" s="4"/>
      <c r="AF1811" s="4"/>
      <c r="AG1811" s="4"/>
      <c r="AH1811" s="4"/>
      <c r="AI1811" s="4"/>
      <c r="AJ1811" s="4"/>
      <c r="AK1811" s="4"/>
      <c r="AL1811" s="4"/>
      <c r="AM1811" s="4"/>
      <c r="AN1811" s="4"/>
      <c r="AO1811" s="4"/>
      <c r="AP1811" s="4"/>
      <c r="AQ1811" s="4"/>
      <c r="AR1811" s="4"/>
      <c r="AS1811" s="4"/>
      <c r="AT1811" s="4"/>
      <c r="AU1811" s="4"/>
      <c r="AV1811" s="4"/>
      <c r="AW1811" s="4"/>
      <c r="AX1811" s="4"/>
      <c r="AY1811" s="4"/>
      <c r="AZ1811" s="4"/>
      <c r="BA1811" s="4"/>
      <c r="BB1811" s="4"/>
      <c r="BC1811" s="4"/>
      <c r="BD1811" s="4"/>
      <c r="BE1811" s="4"/>
      <c r="BF1811" s="4"/>
      <c r="BG1811" s="4"/>
      <c r="BH1811" s="4"/>
      <c r="BI1811" s="4"/>
      <c r="BJ1811" s="4"/>
      <c r="BK1811" s="4"/>
      <c r="BL1811" s="4"/>
      <c r="BM1811" s="4"/>
      <c r="BN1811" s="4"/>
      <c r="BO1811" s="4"/>
      <c r="BP1811" s="4"/>
      <c r="BQ1811" s="4"/>
      <c r="BR1811" s="4"/>
      <c r="BS1811" s="4"/>
      <c r="BT1811" s="4"/>
      <c r="BU1811" s="4"/>
    </row>
    <row r="1812" spans="29:73" s="1" customFormat="1" x14ac:dyDescent="0.25">
      <c r="AC1812" s="4"/>
      <c r="AD1812" s="4"/>
      <c r="AE1812" s="4"/>
      <c r="AF1812" s="4"/>
      <c r="AG1812" s="4"/>
      <c r="AH1812" s="4"/>
      <c r="AI1812" s="4"/>
      <c r="AJ1812" s="4"/>
      <c r="AK1812" s="4"/>
      <c r="AL1812" s="4"/>
      <c r="AM1812" s="4"/>
      <c r="AN1812" s="4"/>
      <c r="AO1812" s="4"/>
      <c r="AP1812" s="4"/>
      <c r="AQ1812" s="4"/>
      <c r="AR1812" s="4"/>
      <c r="AS1812" s="4"/>
      <c r="AT1812" s="4"/>
      <c r="AU1812" s="4"/>
      <c r="AV1812" s="4"/>
      <c r="AW1812" s="4"/>
      <c r="AX1812" s="4"/>
      <c r="AY1812" s="4"/>
      <c r="AZ1812" s="4"/>
      <c r="BA1812" s="4"/>
      <c r="BB1812" s="4"/>
      <c r="BC1812" s="4"/>
      <c r="BD1812" s="4"/>
      <c r="BE1812" s="4"/>
      <c r="BF1812" s="4"/>
      <c r="BG1812" s="4"/>
      <c r="BH1812" s="4"/>
      <c r="BI1812" s="4"/>
      <c r="BJ1812" s="4"/>
      <c r="BK1812" s="4"/>
      <c r="BL1812" s="4"/>
      <c r="BM1812" s="4"/>
      <c r="BN1812" s="4"/>
      <c r="BO1812" s="4"/>
      <c r="BP1812" s="4"/>
      <c r="BQ1812" s="4"/>
      <c r="BR1812" s="4"/>
      <c r="BS1812" s="4"/>
      <c r="BT1812" s="4"/>
      <c r="BU1812" s="4"/>
    </row>
    <row r="1813" spans="29:73" s="1" customFormat="1" x14ac:dyDescent="0.25">
      <c r="AC1813" s="4"/>
      <c r="AD1813" s="4"/>
      <c r="AE1813" s="4"/>
      <c r="AF1813" s="4"/>
      <c r="AG1813" s="4"/>
      <c r="AH1813" s="4"/>
      <c r="AI1813" s="4"/>
      <c r="AJ1813" s="4"/>
      <c r="AK1813" s="4"/>
      <c r="AL1813" s="4"/>
      <c r="AM1813" s="4"/>
      <c r="AN1813" s="4"/>
      <c r="AO1813" s="4"/>
      <c r="AP1813" s="4"/>
      <c r="AQ1813" s="4"/>
      <c r="AR1813" s="4"/>
      <c r="AS1813" s="4"/>
      <c r="AT1813" s="4"/>
      <c r="AU1813" s="4"/>
      <c r="AV1813" s="4"/>
      <c r="AW1813" s="4"/>
      <c r="AX1813" s="4"/>
      <c r="AY1813" s="4"/>
      <c r="AZ1813" s="4"/>
      <c r="BA1813" s="4"/>
      <c r="BB1813" s="4"/>
      <c r="BC1813" s="4"/>
      <c r="BD1813" s="4"/>
      <c r="BE1813" s="4"/>
      <c r="BF1813" s="4"/>
      <c r="BG1813" s="4"/>
      <c r="BH1813" s="4"/>
      <c r="BI1813" s="4"/>
      <c r="BJ1813" s="4"/>
      <c r="BK1813" s="4"/>
      <c r="BL1813" s="4"/>
      <c r="BM1813" s="4"/>
      <c r="BN1813" s="4"/>
      <c r="BO1813" s="4"/>
      <c r="BP1813" s="4"/>
      <c r="BQ1813" s="4"/>
      <c r="BR1813" s="4"/>
      <c r="BS1813" s="4"/>
      <c r="BT1813" s="4"/>
      <c r="BU1813" s="4"/>
    </row>
    <row r="1814" spans="29:73" s="1" customFormat="1" x14ac:dyDescent="0.25">
      <c r="AC1814" s="4"/>
      <c r="AD1814" s="4"/>
      <c r="AE1814" s="4"/>
      <c r="AF1814" s="4"/>
      <c r="AG1814" s="4"/>
      <c r="AH1814" s="4"/>
      <c r="AI1814" s="4"/>
      <c r="AJ1814" s="4"/>
      <c r="AK1814" s="4"/>
      <c r="AL1814" s="4"/>
      <c r="AM1814" s="4"/>
      <c r="AN1814" s="4"/>
      <c r="AO1814" s="4"/>
      <c r="AP1814" s="4"/>
      <c r="AQ1814" s="4"/>
      <c r="AR1814" s="4"/>
      <c r="AS1814" s="4"/>
      <c r="AT1814" s="4"/>
      <c r="AU1814" s="4"/>
      <c r="AV1814" s="4"/>
      <c r="AW1814" s="4"/>
      <c r="AX1814" s="4"/>
      <c r="AY1814" s="4"/>
      <c r="AZ1814" s="4"/>
      <c r="BA1814" s="4"/>
      <c r="BB1814" s="4"/>
      <c r="BC1814" s="4"/>
      <c r="BD1814" s="4"/>
      <c r="BE1814" s="4"/>
      <c r="BF1814" s="4"/>
      <c r="BG1814" s="4"/>
      <c r="BH1814" s="4"/>
      <c r="BI1814" s="4"/>
      <c r="BJ1814" s="4"/>
      <c r="BK1814" s="4"/>
      <c r="BL1814" s="4"/>
      <c r="BM1814" s="4"/>
      <c r="BN1814" s="4"/>
      <c r="BO1814" s="4"/>
      <c r="BP1814" s="4"/>
      <c r="BQ1814" s="4"/>
      <c r="BR1814" s="4"/>
      <c r="BS1814" s="4"/>
      <c r="BT1814" s="4"/>
      <c r="BU1814" s="4"/>
    </row>
    <row r="1815" spans="29:73" s="1" customFormat="1" x14ac:dyDescent="0.25">
      <c r="AC1815" s="4"/>
      <c r="AD1815" s="4"/>
      <c r="AE1815" s="4"/>
      <c r="AF1815" s="4"/>
      <c r="AG1815" s="4"/>
      <c r="AH1815" s="4"/>
      <c r="AI1815" s="4"/>
      <c r="AJ1815" s="4"/>
      <c r="AK1815" s="4"/>
      <c r="AL1815" s="4"/>
      <c r="AM1815" s="4"/>
      <c r="AN1815" s="4"/>
      <c r="AO1815" s="4"/>
      <c r="AP1815" s="4"/>
      <c r="AQ1815" s="4"/>
      <c r="AR1815" s="4"/>
      <c r="AS1815" s="4"/>
      <c r="AT1815" s="4"/>
      <c r="AU1815" s="4"/>
      <c r="AV1815" s="4"/>
      <c r="AW1815" s="4"/>
      <c r="AX1815" s="4"/>
      <c r="AY1815" s="4"/>
      <c r="AZ1815" s="4"/>
      <c r="BA1815" s="4"/>
      <c r="BB1815" s="4"/>
      <c r="BC1815" s="4"/>
      <c r="BD1815" s="4"/>
      <c r="BE1815" s="4"/>
      <c r="BF1815" s="4"/>
      <c r="BG1815" s="4"/>
      <c r="BH1815" s="4"/>
      <c r="BI1815" s="4"/>
      <c r="BJ1815" s="4"/>
      <c r="BK1815" s="4"/>
      <c r="BL1815" s="4"/>
      <c r="BM1815" s="4"/>
      <c r="BN1815" s="4"/>
      <c r="BO1815" s="4"/>
      <c r="BP1815" s="4"/>
      <c r="BQ1815" s="4"/>
      <c r="BR1815" s="4"/>
      <c r="BS1815" s="4"/>
      <c r="BT1815" s="4"/>
      <c r="BU1815" s="4"/>
    </row>
    <row r="1816" spans="29:73" s="1" customFormat="1" x14ac:dyDescent="0.25">
      <c r="AC1816" s="4"/>
      <c r="AD1816" s="4"/>
      <c r="AE1816" s="4"/>
      <c r="AF1816" s="4"/>
      <c r="AG1816" s="4"/>
      <c r="AH1816" s="4"/>
      <c r="AI1816" s="4"/>
      <c r="AJ1816" s="4"/>
      <c r="AK1816" s="4"/>
      <c r="AL1816" s="4"/>
      <c r="AM1816" s="4"/>
      <c r="AN1816" s="4"/>
      <c r="AO1816" s="4"/>
      <c r="AP1816" s="4"/>
      <c r="AQ1816" s="4"/>
      <c r="AR1816" s="4"/>
      <c r="AS1816" s="4"/>
      <c r="AT1816" s="4"/>
      <c r="AU1816" s="4"/>
      <c r="AV1816" s="4"/>
      <c r="AW1816" s="4"/>
      <c r="AX1816" s="4"/>
      <c r="AY1816" s="4"/>
      <c r="AZ1816" s="4"/>
      <c r="BA1816" s="4"/>
      <c r="BB1816" s="4"/>
      <c r="BC1816" s="4"/>
      <c r="BD1816" s="4"/>
      <c r="BE1816" s="4"/>
      <c r="BF1816" s="4"/>
      <c r="BG1816" s="4"/>
      <c r="BH1816" s="4"/>
      <c r="BI1816" s="4"/>
      <c r="BJ1816" s="4"/>
      <c r="BK1816" s="4"/>
      <c r="BL1816" s="4"/>
      <c r="BM1816" s="4"/>
      <c r="BN1816" s="4"/>
      <c r="BO1816" s="4"/>
      <c r="BP1816" s="4"/>
      <c r="BQ1816" s="4"/>
      <c r="BR1816" s="4"/>
      <c r="BS1816" s="4"/>
      <c r="BT1816" s="4"/>
      <c r="BU1816" s="4"/>
    </row>
    <row r="1817" spans="29:73" s="1" customFormat="1" x14ac:dyDescent="0.25">
      <c r="AC1817" s="4"/>
      <c r="AD1817" s="4"/>
      <c r="AE1817" s="4"/>
      <c r="AF1817" s="4"/>
      <c r="AG1817" s="4"/>
      <c r="AH1817" s="4"/>
      <c r="AI1817" s="4"/>
      <c r="AJ1817" s="4"/>
      <c r="AK1817" s="4"/>
      <c r="AL1817" s="4"/>
      <c r="AM1817" s="4"/>
      <c r="AN1817" s="4"/>
      <c r="AO1817" s="4"/>
      <c r="AP1817" s="4"/>
      <c r="AQ1817" s="4"/>
      <c r="AR1817" s="4"/>
      <c r="AS1817" s="4"/>
      <c r="AT1817" s="4"/>
      <c r="AU1817" s="4"/>
      <c r="AV1817" s="4"/>
      <c r="AW1817" s="4"/>
      <c r="AX1817" s="4"/>
      <c r="AY1817" s="4"/>
      <c r="AZ1817" s="4"/>
      <c r="BA1817" s="4"/>
      <c r="BB1817" s="4"/>
      <c r="BC1817" s="4"/>
      <c r="BD1817" s="4"/>
      <c r="BE1817" s="4"/>
      <c r="BF1817" s="4"/>
      <c r="BG1817" s="4"/>
      <c r="BH1817" s="4"/>
      <c r="BI1817" s="4"/>
      <c r="BJ1817" s="4"/>
      <c r="BK1817" s="4"/>
      <c r="BL1817" s="4"/>
      <c r="BM1817" s="4"/>
      <c r="BN1817" s="4"/>
      <c r="BO1817" s="4"/>
      <c r="BP1817" s="4"/>
      <c r="BQ1817" s="4"/>
      <c r="BR1817" s="4"/>
      <c r="BS1817" s="4"/>
      <c r="BT1817" s="4"/>
      <c r="BU1817" s="4"/>
    </row>
    <row r="1818" spans="29:73" s="1" customFormat="1" x14ac:dyDescent="0.25">
      <c r="AC1818" s="4"/>
      <c r="AD1818" s="4"/>
      <c r="AE1818" s="4"/>
      <c r="AF1818" s="4"/>
      <c r="AG1818" s="4"/>
      <c r="AH1818" s="4"/>
      <c r="AI1818" s="4"/>
      <c r="AJ1818" s="4"/>
      <c r="AK1818" s="4"/>
      <c r="AL1818" s="4"/>
      <c r="AM1818" s="4"/>
      <c r="AN1818" s="4"/>
      <c r="AO1818" s="4"/>
      <c r="AP1818" s="4"/>
      <c r="AQ1818" s="4"/>
      <c r="AR1818" s="4"/>
      <c r="AS1818" s="4"/>
      <c r="AT1818" s="4"/>
      <c r="AU1818" s="4"/>
      <c r="AV1818" s="4"/>
      <c r="AW1818" s="4"/>
      <c r="AX1818" s="4"/>
      <c r="AY1818" s="4"/>
      <c r="AZ1818" s="4"/>
      <c r="BA1818" s="4"/>
      <c r="BB1818" s="4"/>
      <c r="BC1818" s="4"/>
      <c r="BD1818" s="4"/>
      <c r="BE1818" s="4"/>
      <c r="BF1818" s="4"/>
      <c r="BG1818" s="4"/>
      <c r="BH1818" s="4"/>
      <c r="BI1818" s="4"/>
      <c r="BJ1818" s="4"/>
      <c r="BK1818" s="4"/>
      <c r="BL1818" s="4"/>
      <c r="BM1818" s="4"/>
      <c r="BN1818" s="4"/>
      <c r="BO1818" s="4"/>
      <c r="BP1818" s="4"/>
      <c r="BQ1818" s="4"/>
      <c r="BR1818" s="4"/>
      <c r="BS1818" s="4"/>
      <c r="BT1818" s="4"/>
      <c r="BU1818" s="4"/>
    </row>
    <row r="1819" spans="29:73" s="1" customFormat="1" x14ac:dyDescent="0.25">
      <c r="AC1819" s="4"/>
      <c r="AD1819" s="4"/>
      <c r="AE1819" s="4"/>
      <c r="AF1819" s="4"/>
      <c r="AG1819" s="4"/>
      <c r="AH1819" s="4"/>
      <c r="AI1819" s="4"/>
      <c r="AJ1819" s="4"/>
      <c r="AK1819" s="4"/>
      <c r="AL1819" s="4"/>
      <c r="AM1819" s="4"/>
      <c r="AN1819" s="4"/>
      <c r="AO1819" s="4"/>
      <c r="AP1819" s="4"/>
      <c r="AQ1819" s="4"/>
      <c r="AR1819" s="4"/>
      <c r="AS1819" s="4"/>
      <c r="AT1819" s="4"/>
      <c r="AU1819" s="4"/>
      <c r="AV1819" s="4"/>
      <c r="AW1819" s="4"/>
      <c r="AX1819" s="4"/>
      <c r="AY1819" s="4"/>
      <c r="AZ1819" s="4"/>
      <c r="BA1819" s="4"/>
      <c r="BB1819" s="4"/>
      <c r="BC1819" s="4"/>
      <c r="BD1819" s="4"/>
      <c r="BE1819" s="4"/>
      <c r="BF1819" s="4"/>
      <c r="BG1819" s="4"/>
      <c r="BH1819" s="4"/>
      <c r="BI1819" s="4"/>
      <c r="BJ1819" s="4"/>
      <c r="BK1819" s="4"/>
      <c r="BL1819" s="4"/>
      <c r="BM1819" s="4"/>
      <c r="BN1819" s="4"/>
      <c r="BO1819" s="4"/>
      <c r="BP1819" s="4"/>
      <c r="BQ1819" s="4"/>
      <c r="BR1819" s="4"/>
      <c r="BS1819" s="4"/>
      <c r="BT1819" s="4"/>
      <c r="BU1819" s="4"/>
    </row>
    <row r="1820" spans="29:73" s="1" customFormat="1" x14ac:dyDescent="0.25">
      <c r="AC1820" s="4"/>
      <c r="AD1820" s="4"/>
      <c r="AE1820" s="4"/>
      <c r="AF1820" s="4"/>
      <c r="AG1820" s="4"/>
      <c r="AH1820" s="4"/>
      <c r="AI1820" s="4"/>
      <c r="AJ1820" s="4"/>
      <c r="AK1820" s="4"/>
      <c r="AL1820" s="4"/>
      <c r="AM1820" s="4"/>
      <c r="AN1820" s="4"/>
      <c r="AO1820" s="4"/>
      <c r="AP1820" s="4"/>
      <c r="AQ1820" s="4"/>
      <c r="AR1820" s="4"/>
      <c r="AS1820" s="4"/>
      <c r="AT1820" s="4"/>
      <c r="AU1820" s="4"/>
      <c r="AV1820" s="4"/>
      <c r="AW1820" s="4"/>
      <c r="AX1820" s="4"/>
      <c r="AY1820" s="4"/>
      <c r="AZ1820" s="4"/>
      <c r="BA1820" s="4"/>
      <c r="BB1820" s="4"/>
      <c r="BC1820" s="4"/>
      <c r="BD1820" s="4"/>
      <c r="BE1820" s="4"/>
      <c r="BF1820" s="4"/>
      <c r="BG1820" s="4"/>
      <c r="BH1820" s="4"/>
      <c r="BI1820" s="4"/>
      <c r="BJ1820" s="4"/>
      <c r="BK1820" s="4"/>
      <c r="BL1820" s="4"/>
      <c r="BM1820" s="4"/>
      <c r="BN1820" s="4"/>
      <c r="BO1820" s="4"/>
      <c r="BP1820" s="4"/>
      <c r="BQ1820" s="4"/>
      <c r="BR1820" s="4"/>
      <c r="BS1820" s="4"/>
      <c r="BT1820" s="4"/>
      <c r="BU1820" s="4"/>
    </row>
    <row r="1821" spans="29:73" s="1" customFormat="1" x14ac:dyDescent="0.25">
      <c r="AC1821" s="4"/>
      <c r="AD1821" s="4"/>
      <c r="AE1821" s="4"/>
      <c r="AF1821" s="4"/>
      <c r="AG1821" s="4"/>
      <c r="AH1821" s="4"/>
      <c r="AI1821" s="4"/>
      <c r="AJ1821" s="4"/>
      <c r="AK1821" s="4"/>
      <c r="AL1821" s="4"/>
      <c r="AM1821" s="4"/>
      <c r="AN1821" s="4"/>
      <c r="AO1821" s="4"/>
      <c r="AP1821" s="4"/>
      <c r="AQ1821" s="4"/>
      <c r="AR1821" s="4"/>
      <c r="AS1821" s="4"/>
      <c r="AT1821" s="4"/>
      <c r="AU1821" s="4"/>
      <c r="AV1821" s="4"/>
      <c r="AW1821" s="4"/>
      <c r="AX1821" s="4"/>
      <c r="AY1821" s="4"/>
      <c r="AZ1821" s="4"/>
      <c r="BA1821" s="4"/>
      <c r="BB1821" s="4"/>
      <c r="BC1821" s="4"/>
      <c r="BD1821" s="4"/>
      <c r="BE1821" s="4"/>
      <c r="BF1821" s="4"/>
      <c r="BG1821" s="4"/>
      <c r="BH1821" s="4"/>
      <c r="BI1821" s="4"/>
      <c r="BJ1821" s="4"/>
      <c r="BK1821" s="4"/>
      <c r="BL1821" s="4"/>
      <c r="BM1821" s="4"/>
      <c r="BN1821" s="4"/>
      <c r="BO1821" s="4"/>
      <c r="BP1821" s="4"/>
      <c r="BQ1821" s="4"/>
      <c r="BR1821" s="4"/>
      <c r="BS1821" s="4"/>
      <c r="BT1821" s="4"/>
      <c r="BU1821" s="4"/>
    </row>
    <row r="1822" spans="29:73" s="1" customFormat="1" x14ac:dyDescent="0.25">
      <c r="AC1822" s="4"/>
      <c r="AD1822" s="4"/>
      <c r="AE1822" s="4"/>
      <c r="AF1822" s="4"/>
      <c r="AG1822" s="4"/>
      <c r="AH1822" s="4"/>
      <c r="AI1822" s="4"/>
      <c r="AJ1822" s="4"/>
      <c r="AK1822" s="4"/>
      <c r="AL1822" s="4"/>
      <c r="AM1822" s="4"/>
      <c r="AN1822" s="4"/>
      <c r="AO1822" s="4"/>
      <c r="AP1822" s="4"/>
      <c r="AQ1822" s="4"/>
      <c r="AR1822" s="4"/>
      <c r="AS1822" s="4"/>
      <c r="AT1822" s="4"/>
      <c r="AU1822" s="4"/>
      <c r="AV1822" s="4"/>
      <c r="AW1822" s="4"/>
      <c r="AX1822" s="4"/>
      <c r="AY1822" s="4"/>
      <c r="AZ1822" s="4"/>
      <c r="BA1822" s="4"/>
      <c r="BB1822" s="4"/>
      <c r="BC1822" s="4"/>
      <c r="BD1822" s="4"/>
      <c r="BE1822" s="4"/>
      <c r="BF1822" s="4"/>
      <c r="BG1822" s="4"/>
      <c r="BH1822" s="4"/>
      <c r="BI1822" s="4"/>
      <c r="BJ1822" s="4"/>
      <c r="BK1822" s="4"/>
      <c r="BL1822" s="4"/>
      <c r="BM1822" s="4"/>
      <c r="BN1822" s="4"/>
      <c r="BO1822" s="4"/>
      <c r="BP1822" s="4"/>
      <c r="BQ1822" s="4"/>
      <c r="BR1822" s="4"/>
      <c r="BS1822" s="4"/>
      <c r="BT1822" s="4"/>
      <c r="BU1822" s="4"/>
    </row>
    <row r="1823" spans="29:73" s="1" customFormat="1" x14ac:dyDescent="0.25">
      <c r="AC1823" s="4"/>
      <c r="AD1823" s="4"/>
      <c r="AE1823" s="4"/>
      <c r="AF1823" s="4"/>
      <c r="AG1823" s="4"/>
      <c r="AH1823" s="4"/>
      <c r="AI1823" s="4"/>
      <c r="AJ1823" s="4"/>
      <c r="AK1823" s="4"/>
      <c r="AL1823" s="4"/>
      <c r="AM1823" s="4"/>
      <c r="AN1823" s="4"/>
      <c r="AO1823" s="4"/>
      <c r="AP1823" s="4"/>
      <c r="AQ1823" s="4"/>
      <c r="AR1823" s="4"/>
      <c r="AS1823" s="4"/>
      <c r="AT1823" s="4"/>
      <c r="AU1823" s="4"/>
      <c r="AV1823" s="4"/>
      <c r="AW1823" s="4"/>
      <c r="AX1823" s="4"/>
      <c r="AY1823" s="4"/>
      <c r="AZ1823" s="4"/>
      <c r="BA1823" s="4"/>
      <c r="BB1823" s="4"/>
      <c r="BC1823" s="4"/>
      <c r="BD1823" s="4"/>
      <c r="BE1823" s="4"/>
      <c r="BF1823" s="4"/>
      <c r="BG1823" s="4"/>
      <c r="BH1823" s="4"/>
      <c r="BI1823" s="4"/>
      <c r="BJ1823" s="4"/>
      <c r="BK1823" s="4"/>
      <c r="BL1823" s="4"/>
      <c r="BM1823" s="4"/>
      <c r="BN1823" s="4"/>
      <c r="BO1823" s="4"/>
      <c r="BP1823" s="4"/>
      <c r="BQ1823" s="4"/>
      <c r="BR1823" s="4"/>
      <c r="BS1823" s="4"/>
      <c r="BT1823" s="4"/>
      <c r="BU1823" s="4"/>
    </row>
    <row r="1824" spans="29:73" s="1" customFormat="1" x14ac:dyDescent="0.25">
      <c r="AC1824" s="4"/>
      <c r="AD1824" s="4"/>
      <c r="AE1824" s="4"/>
      <c r="AF1824" s="4"/>
      <c r="AG1824" s="4"/>
      <c r="AH1824" s="4"/>
      <c r="AI1824" s="4"/>
      <c r="AJ1824" s="4"/>
      <c r="AK1824" s="4"/>
      <c r="AL1824" s="4"/>
      <c r="AM1824" s="4"/>
      <c r="AN1824" s="4"/>
      <c r="AO1824" s="4"/>
      <c r="AP1824" s="4"/>
      <c r="AQ1824" s="4"/>
      <c r="AR1824" s="4"/>
      <c r="AS1824" s="4"/>
      <c r="AT1824" s="4"/>
      <c r="AU1824" s="4"/>
      <c r="AV1824" s="4"/>
      <c r="AW1824" s="4"/>
      <c r="AX1824" s="4"/>
      <c r="AY1824" s="4"/>
      <c r="AZ1824" s="4"/>
      <c r="BA1824" s="4"/>
      <c r="BB1824" s="4"/>
      <c r="BC1824" s="4"/>
      <c r="BD1824" s="4"/>
      <c r="BE1824" s="4"/>
      <c r="BF1824" s="4"/>
      <c r="BG1824" s="4"/>
      <c r="BH1824" s="4"/>
      <c r="BI1824" s="4"/>
      <c r="BJ1824" s="4"/>
      <c r="BK1824" s="4"/>
      <c r="BL1824" s="4"/>
      <c r="BM1824" s="4"/>
      <c r="BN1824" s="4"/>
      <c r="BO1824" s="4"/>
      <c r="BP1824" s="4"/>
      <c r="BQ1824" s="4"/>
      <c r="BR1824" s="4"/>
      <c r="BS1824" s="4"/>
      <c r="BT1824" s="4"/>
      <c r="BU1824" s="4"/>
    </row>
    <row r="1825" spans="29:73" s="1" customFormat="1" x14ac:dyDescent="0.25">
      <c r="AC1825" s="4"/>
      <c r="AD1825" s="4"/>
      <c r="AE1825" s="4"/>
      <c r="AF1825" s="4"/>
      <c r="AG1825" s="4"/>
      <c r="AH1825" s="4"/>
      <c r="AI1825" s="4"/>
      <c r="AJ1825" s="4"/>
      <c r="AK1825" s="4"/>
      <c r="AL1825" s="4"/>
      <c r="AM1825" s="4"/>
      <c r="AN1825" s="4"/>
      <c r="AO1825" s="4"/>
      <c r="AP1825" s="4"/>
      <c r="AQ1825" s="4"/>
      <c r="AR1825" s="4"/>
      <c r="AS1825" s="4"/>
      <c r="AT1825" s="4"/>
      <c r="AU1825" s="4"/>
      <c r="AV1825" s="4"/>
      <c r="AW1825" s="4"/>
      <c r="AX1825" s="4"/>
      <c r="AY1825" s="4"/>
      <c r="AZ1825" s="4"/>
      <c r="BA1825" s="4"/>
      <c r="BB1825" s="4"/>
      <c r="BC1825" s="4"/>
      <c r="BD1825" s="4"/>
      <c r="BE1825" s="4"/>
      <c r="BF1825" s="4"/>
      <c r="BG1825" s="4"/>
      <c r="BH1825" s="4"/>
      <c r="BI1825" s="4"/>
      <c r="BJ1825" s="4"/>
      <c r="BK1825" s="4"/>
      <c r="BL1825" s="4"/>
      <c r="BM1825" s="4"/>
      <c r="BN1825" s="4"/>
      <c r="BO1825" s="4"/>
      <c r="BP1825" s="4"/>
      <c r="BQ1825" s="4"/>
      <c r="BR1825" s="4"/>
      <c r="BS1825" s="4"/>
      <c r="BT1825" s="4"/>
      <c r="BU1825" s="4"/>
    </row>
    <row r="1826" spans="29:73" s="1" customFormat="1" x14ac:dyDescent="0.25">
      <c r="AC1826" s="4"/>
      <c r="AD1826" s="4"/>
      <c r="AE1826" s="4"/>
      <c r="AF1826" s="4"/>
      <c r="AG1826" s="4"/>
      <c r="AH1826" s="4"/>
      <c r="AI1826" s="4"/>
      <c r="AJ1826" s="4"/>
      <c r="AK1826" s="4"/>
      <c r="AL1826" s="4"/>
      <c r="AM1826" s="4"/>
      <c r="AN1826" s="4"/>
      <c r="AO1826" s="4"/>
      <c r="AP1826" s="4"/>
      <c r="AQ1826" s="4"/>
      <c r="AR1826" s="4"/>
      <c r="AS1826" s="4"/>
      <c r="AT1826" s="4"/>
      <c r="AU1826" s="4"/>
      <c r="AV1826" s="4"/>
      <c r="AW1826" s="4"/>
      <c r="AX1826" s="4"/>
      <c r="AY1826" s="4"/>
      <c r="AZ1826" s="4"/>
      <c r="BA1826" s="4"/>
      <c r="BB1826" s="4"/>
      <c r="BC1826" s="4"/>
      <c r="BD1826" s="4"/>
      <c r="BE1826" s="4"/>
      <c r="BF1826" s="4"/>
      <c r="BG1826" s="4"/>
      <c r="BH1826" s="4"/>
      <c r="BI1826" s="4"/>
      <c r="BJ1826" s="4"/>
      <c r="BK1826" s="4"/>
      <c r="BL1826" s="4"/>
      <c r="BM1826" s="4"/>
      <c r="BN1826" s="4"/>
      <c r="BO1826" s="4"/>
      <c r="BP1826" s="4"/>
      <c r="BQ1826" s="4"/>
      <c r="BR1826" s="4"/>
      <c r="BS1826" s="4"/>
      <c r="BT1826" s="4"/>
      <c r="BU1826" s="4"/>
    </row>
    <row r="1827" spans="29:73" s="1" customFormat="1" x14ac:dyDescent="0.25">
      <c r="AC1827" s="4"/>
      <c r="AD1827" s="4"/>
      <c r="AE1827" s="4"/>
      <c r="AF1827" s="4"/>
      <c r="AG1827" s="4"/>
      <c r="AH1827" s="4"/>
      <c r="AI1827" s="4"/>
      <c r="AJ1827" s="4"/>
      <c r="AK1827" s="4"/>
      <c r="AL1827" s="4"/>
      <c r="AM1827" s="4"/>
      <c r="AN1827" s="4"/>
      <c r="AO1827" s="4"/>
      <c r="AP1827" s="4"/>
      <c r="AQ1827" s="4"/>
      <c r="AR1827" s="4"/>
      <c r="AS1827" s="4"/>
      <c r="AT1827" s="4"/>
      <c r="AU1827" s="4"/>
      <c r="AV1827" s="4"/>
      <c r="AW1827" s="4"/>
      <c r="AX1827" s="4"/>
      <c r="AY1827" s="4"/>
      <c r="AZ1827" s="4"/>
      <c r="BA1827" s="4"/>
      <c r="BB1827" s="4"/>
      <c r="BC1827" s="4"/>
      <c r="BD1827" s="4"/>
      <c r="BE1827" s="4"/>
      <c r="BF1827" s="4"/>
      <c r="BG1827" s="4"/>
      <c r="BH1827" s="4"/>
      <c r="BI1827" s="4"/>
      <c r="BJ1827" s="4"/>
      <c r="BK1827" s="4"/>
      <c r="BL1827" s="4"/>
      <c r="BM1827" s="4"/>
      <c r="BN1827" s="4"/>
      <c r="BO1827" s="4"/>
      <c r="BP1827" s="4"/>
      <c r="BQ1827" s="4"/>
      <c r="BR1827" s="4"/>
      <c r="BS1827" s="4"/>
      <c r="BT1827" s="4"/>
      <c r="BU1827" s="4"/>
    </row>
    <row r="1828" spans="29:73" s="1" customFormat="1" x14ac:dyDescent="0.25">
      <c r="AC1828" s="4"/>
      <c r="AD1828" s="4"/>
      <c r="AE1828" s="4"/>
      <c r="AF1828" s="4"/>
      <c r="AG1828" s="4"/>
      <c r="AH1828" s="4"/>
      <c r="AI1828" s="4"/>
      <c r="AJ1828" s="4"/>
      <c r="AK1828" s="4"/>
      <c r="AL1828" s="4"/>
      <c r="AM1828" s="4"/>
      <c r="AN1828" s="4"/>
      <c r="AO1828" s="4"/>
      <c r="AP1828" s="4"/>
      <c r="AQ1828" s="4"/>
      <c r="AR1828" s="4"/>
      <c r="AS1828" s="4"/>
      <c r="AT1828" s="4"/>
      <c r="AU1828" s="4"/>
      <c r="AV1828" s="4"/>
      <c r="AW1828" s="4"/>
      <c r="AX1828" s="4"/>
      <c r="AY1828" s="4"/>
      <c r="AZ1828" s="4"/>
      <c r="BA1828" s="4"/>
      <c r="BB1828" s="4"/>
      <c r="BC1828" s="4"/>
      <c r="BD1828" s="4"/>
      <c r="BE1828" s="4"/>
      <c r="BF1828" s="4"/>
      <c r="BG1828" s="4"/>
      <c r="BH1828" s="4"/>
      <c r="BI1828" s="4"/>
      <c r="BJ1828" s="4"/>
      <c r="BK1828" s="4"/>
      <c r="BL1828" s="4"/>
      <c r="BM1828" s="4"/>
      <c r="BN1828" s="4"/>
      <c r="BO1828" s="4"/>
      <c r="BP1828" s="4"/>
      <c r="BQ1828" s="4"/>
      <c r="BR1828" s="4"/>
      <c r="BS1828" s="4"/>
      <c r="BT1828" s="4"/>
      <c r="BU1828" s="4"/>
    </row>
    <row r="1829" spans="29:73" s="1" customFormat="1" x14ac:dyDescent="0.25">
      <c r="AC1829" s="4"/>
      <c r="AD1829" s="4"/>
      <c r="AE1829" s="4"/>
      <c r="AF1829" s="4"/>
      <c r="AG1829" s="4"/>
      <c r="AH1829" s="4"/>
      <c r="AI1829" s="4"/>
      <c r="AJ1829" s="4"/>
      <c r="AK1829" s="4"/>
      <c r="AL1829" s="4"/>
      <c r="AM1829" s="4"/>
      <c r="AN1829" s="4"/>
      <c r="AO1829" s="4"/>
      <c r="AP1829" s="4"/>
      <c r="AQ1829" s="4"/>
      <c r="AR1829" s="4"/>
      <c r="AS1829" s="4"/>
      <c r="AT1829" s="4"/>
      <c r="AU1829" s="4"/>
      <c r="AV1829" s="4"/>
      <c r="AW1829" s="4"/>
      <c r="AX1829" s="4"/>
      <c r="AY1829" s="4"/>
      <c r="AZ1829" s="4"/>
      <c r="BA1829" s="4"/>
      <c r="BB1829" s="4"/>
      <c r="BC1829" s="4"/>
      <c r="BD1829" s="4"/>
      <c r="BE1829" s="4"/>
      <c r="BF1829" s="4"/>
      <c r="BG1829" s="4"/>
      <c r="BH1829" s="4"/>
      <c r="BI1829" s="4"/>
      <c r="BJ1829" s="4"/>
      <c r="BK1829" s="4"/>
      <c r="BL1829" s="4"/>
      <c r="BM1829" s="4"/>
      <c r="BN1829" s="4"/>
      <c r="BO1829" s="4"/>
      <c r="BP1829" s="4"/>
      <c r="BQ1829" s="4"/>
      <c r="BR1829" s="4"/>
      <c r="BS1829" s="4"/>
      <c r="BT1829" s="4"/>
      <c r="BU1829" s="4"/>
    </row>
    <row r="1830" spans="29:73" s="1" customFormat="1" x14ac:dyDescent="0.25">
      <c r="AC1830" s="4"/>
      <c r="AD1830" s="4"/>
      <c r="AE1830" s="4"/>
      <c r="AF1830" s="4"/>
      <c r="AG1830" s="4"/>
      <c r="AH1830" s="4"/>
      <c r="AI1830" s="4"/>
      <c r="AJ1830" s="4"/>
      <c r="AK1830" s="4"/>
      <c r="AL1830" s="4"/>
      <c r="AM1830" s="4"/>
      <c r="AN1830" s="4"/>
      <c r="AO1830" s="4"/>
      <c r="AP1830" s="4"/>
      <c r="AQ1830" s="4"/>
      <c r="AR1830" s="4"/>
      <c r="AS1830" s="4"/>
      <c r="AT1830" s="4"/>
      <c r="AU1830" s="4"/>
      <c r="AV1830" s="4"/>
      <c r="AW1830" s="4"/>
      <c r="AX1830" s="4"/>
      <c r="AY1830" s="4"/>
      <c r="AZ1830" s="4"/>
      <c r="BA1830" s="4"/>
      <c r="BB1830" s="4"/>
      <c r="BC1830" s="4"/>
      <c r="BD1830" s="4"/>
      <c r="BE1830" s="4"/>
      <c r="BF1830" s="4"/>
      <c r="BG1830" s="4"/>
      <c r="BH1830" s="4"/>
      <c r="BI1830" s="4"/>
      <c r="BJ1830" s="4"/>
      <c r="BK1830" s="4"/>
      <c r="BL1830" s="4"/>
      <c r="BM1830" s="4"/>
      <c r="BN1830" s="4"/>
      <c r="BO1830" s="4"/>
      <c r="BP1830" s="4"/>
      <c r="BQ1830" s="4"/>
      <c r="BR1830" s="4"/>
      <c r="BS1830" s="4"/>
      <c r="BT1830" s="4"/>
      <c r="BU1830" s="4"/>
    </row>
    <row r="1831" spans="29:73" s="1" customFormat="1" x14ac:dyDescent="0.25">
      <c r="AC1831" s="4"/>
      <c r="AD1831" s="4"/>
      <c r="AE1831" s="4"/>
      <c r="AF1831" s="4"/>
      <c r="AG1831" s="4"/>
      <c r="AH1831" s="4"/>
      <c r="AI1831" s="4"/>
      <c r="AJ1831" s="4"/>
      <c r="AK1831" s="4"/>
      <c r="AL1831" s="4"/>
      <c r="AM1831" s="4"/>
      <c r="AN1831" s="4"/>
      <c r="AO1831" s="4"/>
      <c r="AP1831" s="4"/>
      <c r="AQ1831" s="4"/>
      <c r="AR1831" s="4"/>
      <c r="AS1831" s="4"/>
      <c r="AT1831" s="4"/>
      <c r="AU1831" s="4"/>
      <c r="AV1831" s="4"/>
      <c r="AW1831" s="4"/>
      <c r="AX1831" s="4"/>
      <c r="AY1831" s="4"/>
      <c r="AZ1831" s="4"/>
      <c r="BA1831" s="4"/>
      <c r="BB1831" s="4"/>
      <c r="BC1831" s="4"/>
      <c r="BD1831" s="4"/>
      <c r="BE1831" s="4"/>
      <c r="BF1831" s="4"/>
      <c r="BG1831" s="4"/>
      <c r="BH1831" s="4"/>
      <c r="BI1831" s="4"/>
      <c r="BJ1831" s="4"/>
      <c r="BK1831" s="4"/>
      <c r="BL1831" s="4"/>
      <c r="BM1831" s="4"/>
      <c r="BN1831" s="4"/>
      <c r="BO1831" s="4"/>
      <c r="BP1831" s="4"/>
      <c r="BQ1831" s="4"/>
      <c r="BR1831" s="4"/>
      <c r="BS1831" s="4"/>
      <c r="BT1831" s="4"/>
      <c r="BU1831" s="4"/>
    </row>
    <row r="1832" spans="29:73" s="1" customFormat="1" x14ac:dyDescent="0.25">
      <c r="AC1832" s="4"/>
      <c r="AD1832" s="4"/>
      <c r="AE1832" s="4"/>
      <c r="AF1832" s="4"/>
      <c r="AG1832" s="4"/>
      <c r="AH1832" s="4"/>
      <c r="AI1832" s="4"/>
      <c r="AJ1832" s="4"/>
      <c r="AK1832" s="4"/>
      <c r="AL1832" s="4"/>
      <c r="AM1832" s="4"/>
      <c r="AN1832" s="4"/>
      <c r="AO1832" s="4"/>
      <c r="AP1832" s="4"/>
      <c r="AQ1832" s="4"/>
      <c r="AR1832" s="4"/>
      <c r="AS1832" s="4"/>
      <c r="AT1832" s="4"/>
      <c r="AU1832" s="4"/>
      <c r="AV1832" s="4"/>
      <c r="AW1832" s="4"/>
      <c r="AX1832" s="4"/>
      <c r="AY1832" s="4"/>
      <c r="AZ1832" s="4"/>
      <c r="BA1832" s="4"/>
      <c r="BB1832" s="4"/>
      <c r="BC1832" s="4"/>
      <c r="BD1832" s="4"/>
      <c r="BE1832" s="4"/>
      <c r="BF1832" s="4"/>
      <c r="BG1832" s="4"/>
      <c r="BH1832" s="4"/>
      <c r="BI1832" s="4"/>
      <c r="BJ1832" s="4"/>
      <c r="BK1832" s="4"/>
      <c r="BL1832" s="4"/>
      <c r="BM1832" s="4"/>
      <c r="BN1832" s="4"/>
      <c r="BO1832" s="4"/>
      <c r="BP1832" s="4"/>
      <c r="BQ1832" s="4"/>
      <c r="BR1832" s="4"/>
      <c r="BS1832" s="4"/>
      <c r="BT1832" s="4"/>
      <c r="BU1832" s="4"/>
    </row>
    <row r="1833" spans="29:73" s="1" customFormat="1" x14ac:dyDescent="0.25">
      <c r="AC1833" s="4"/>
      <c r="AD1833" s="4"/>
      <c r="AE1833" s="4"/>
      <c r="AF1833" s="4"/>
      <c r="AG1833" s="4"/>
      <c r="AH1833" s="4"/>
      <c r="AI1833" s="4"/>
      <c r="AJ1833" s="4"/>
      <c r="AK1833" s="4"/>
      <c r="AL1833" s="4"/>
      <c r="AM1833" s="4"/>
      <c r="AN1833" s="4"/>
      <c r="AO1833" s="4"/>
      <c r="AP1833" s="4"/>
      <c r="AQ1833" s="4"/>
      <c r="AR1833" s="4"/>
      <c r="AS1833" s="4"/>
      <c r="AT1833" s="4"/>
      <c r="AU1833" s="4"/>
      <c r="AV1833" s="4"/>
      <c r="AW1833" s="4"/>
      <c r="AX1833" s="4"/>
      <c r="AY1833" s="4"/>
      <c r="AZ1833" s="4"/>
      <c r="BA1833" s="4"/>
      <c r="BB1833" s="4"/>
      <c r="BC1833" s="4"/>
      <c r="BD1833" s="4"/>
      <c r="BE1833" s="4"/>
      <c r="BF1833" s="4"/>
      <c r="BG1833" s="4"/>
      <c r="BH1833" s="4"/>
      <c r="BI1833" s="4"/>
      <c r="BJ1833" s="4"/>
      <c r="BK1833" s="4"/>
      <c r="BL1833" s="4"/>
      <c r="BM1833" s="4"/>
      <c r="BN1833" s="4"/>
      <c r="BO1833" s="4"/>
      <c r="BP1833" s="4"/>
      <c r="BQ1833" s="4"/>
      <c r="BR1833" s="4"/>
      <c r="BS1833" s="4"/>
      <c r="BT1833" s="4"/>
      <c r="BU1833" s="4"/>
    </row>
    <row r="1834" spans="29:73" s="1" customFormat="1" x14ac:dyDescent="0.25">
      <c r="AC1834" s="4"/>
      <c r="AD1834" s="4"/>
      <c r="AE1834" s="4"/>
      <c r="AF1834" s="4"/>
      <c r="AG1834" s="4"/>
      <c r="AH1834" s="4"/>
      <c r="AI1834" s="4"/>
      <c r="AJ1834" s="4"/>
      <c r="AK1834" s="4"/>
      <c r="AL1834" s="4"/>
      <c r="AM1834" s="4"/>
      <c r="AN1834" s="4"/>
      <c r="AO1834" s="4"/>
      <c r="AP1834" s="4"/>
      <c r="AQ1834" s="4"/>
      <c r="AR1834" s="4"/>
      <c r="AS1834" s="4"/>
      <c r="AT1834" s="4"/>
      <c r="AU1834" s="4"/>
      <c r="AV1834" s="4"/>
      <c r="AW1834" s="4"/>
      <c r="AX1834" s="4"/>
      <c r="AY1834" s="4"/>
      <c r="AZ1834" s="4"/>
      <c r="BA1834" s="4"/>
      <c r="BB1834" s="4"/>
      <c r="BC1834" s="4"/>
      <c r="BD1834" s="4"/>
      <c r="BE1834" s="4"/>
      <c r="BF1834" s="4"/>
      <c r="BG1834" s="4"/>
      <c r="BH1834" s="4"/>
      <c r="BI1834" s="4"/>
      <c r="BJ1834" s="4"/>
      <c r="BK1834" s="4"/>
      <c r="BL1834" s="4"/>
      <c r="BM1834" s="4"/>
      <c r="BN1834" s="4"/>
      <c r="BO1834" s="4"/>
      <c r="BP1834" s="4"/>
      <c r="BQ1834" s="4"/>
      <c r="BR1834" s="4"/>
      <c r="BS1834" s="4"/>
      <c r="BT1834" s="4"/>
      <c r="BU1834" s="4"/>
    </row>
    <row r="1835" spans="29:73" s="1" customFormat="1" x14ac:dyDescent="0.25">
      <c r="AC1835" s="4"/>
      <c r="AD1835" s="4"/>
      <c r="AE1835" s="4"/>
      <c r="AF1835" s="4"/>
      <c r="AG1835" s="4"/>
      <c r="AH1835" s="4"/>
      <c r="AI1835" s="4"/>
      <c r="AJ1835" s="4"/>
      <c r="AK1835" s="4"/>
      <c r="AL1835" s="4"/>
      <c r="AM1835" s="4"/>
      <c r="AN1835" s="4"/>
      <c r="AO1835" s="4"/>
      <c r="AP1835" s="4"/>
      <c r="AQ1835" s="4"/>
      <c r="AR1835" s="4"/>
      <c r="AS1835" s="4"/>
      <c r="AT1835" s="4"/>
      <c r="AU1835" s="4"/>
      <c r="AV1835" s="4"/>
      <c r="AW1835" s="4"/>
      <c r="AX1835" s="4"/>
      <c r="AY1835" s="4"/>
      <c r="AZ1835" s="4"/>
      <c r="BA1835" s="4"/>
      <c r="BB1835" s="4"/>
      <c r="BC1835" s="4"/>
      <c r="BD1835" s="4"/>
      <c r="BE1835" s="4"/>
      <c r="BF1835" s="4"/>
      <c r="BG1835" s="4"/>
      <c r="BH1835" s="4"/>
      <c r="BI1835" s="4"/>
      <c r="BJ1835" s="4"/>
      <c r="BK1835" s="4"/>
      <c r="BL1835" s="4"/>
      <c r="BM1835" s="4"/>
      <c r="BN1835" s="4"/>
      <c r="BO1835" s="4"/>
      <c r="BP1835" s="4"/>
      <c r="BQ1835" s="4"/>
      <c r="BR1835" s="4"/>
      <c r="BS1835" s="4"/>
      <c r="BT1835" s="4"/>
      <c r="BU1835" s="4"/>
    </row>
    <row r="1836" spans="29:73" s="1" customFormat="1" x14ac:dyDescent="0.25">
      <c r="AC1836" s="4"/>
      <c r="AD1836" s="4"/>
      <c r="AE1836" s="4"/>
      <c r="AF1836" s="4"/>
      <c r="AG1836" s="4"/>
      <c r="AH1836" s="4"/>
      <c r="AI1836" s="4"/>
      <c r="AJ1836" s="4"/>
      <c r="AK1836" s="4"/>
      <c r="AL1836" s="4"/>
      <c r="AM1836" s="4"/>
      <c r="AN1836" s="4"/>
      <c r="AO1836" s="4"/>
      <c r="AP1836" s="4"/>
      <c r="AQ1836" s="4"/>
      <c r="AR1836" s="4"/>
      <c r="AS1836" s="4"/>
      <c r="AT1836" s="4"/>
      <c r="AU1836" s="4"/>
      <c r="AV1836" s="4"/>
      <c r="AW1836" s="4"/>
      <c r="AX1836" s="4"/>
      <c r="AY1836" s="4"/>
      <c r="AZ1836" s="4"/>
      <c r="BA1836" s="4"/>
      <c r="BB1836" s="4"/>
      <c r="BC1836" s="4"/>
      <c r="BD1836" s="4"/>
      <c r="BE1836" s="4"/>
      <c r="BF1836" s="4"/>
      <c r="BG1836" s="4"/>
      <c r="BH1836" s="4"/>
      <c r="BI1836" s="4"/>
      <c r="BJ1836" s="4"/>
      <c r="BK1836" s="4"/>
      <c r="BL1836" s="4"/>
      <c r="BM1836" s="4"/>
      <c r="BN1836" s="4"/>
      <c r="BO1836" s="4"/>
      <c r="BP1836" s="4"/>
      <c r="BQ1836" s="4"/>
      <c r="BR1836" s="4"/>
      <c r="BS1836" s="4"/>
      <c r="BT1836" s="4"/>
      <c r="BU1836" s="4"/>
    </row>
    <row r="1837" spans="29:73" s="1" customFormat="1" x14ac:dyDescent="0.25">
      <c r="AC1837" s="4"/>
      <c r="AD1837" s="4"/>
      <c r="AE1837" s="4"/>
      <c r="AF1837" s="4"/>
      <c r="AG1837" s="4"/>
      <c r="AH1837" s="4"/>
      <c r="AI1837" s="4"/>
      <c r="AJ1837" s="4"/>
      <c r="AK1837" s="4"/>
      <c r="AL1837" s="4"/>
      <c r="AM1837" s="4"/>
      <c r="AN1837" s="4"/>
      <c r="AO1837" s="4"/>
      <c r="AP1837" s="4"/>
      <c r="AQ1837" s="4"/>
      <c r="AR1837" s="4"/>
      <c r="AS1837" s="4"/>
      <c r="AT1837" s="4"/>
      <c r="AU1837" s="4"/>
      <c r="AV1837" s="4"/>
      <c r="AW1837" s="4"/>
      <c r="AX1837" s="4"/>
      <c r="AY1837" s="4"/>
      <c r="AZ1837" s="4"/>
      <c r="BA1837" s="4"/>
      <c r="BB1837" s="4"/>
      <c r="BC1837" s="4"/>
      <c r="BD1837" s="4"/>
      <c r="BE1837" s="4"/>
      <c r="BF1837" s="4"/>
      <c r="BG1837" s="4"/>
      <c r="BH1837" s="4"/>
      <c r="BI1837" s="4"/>
      <c r="BJ1837" s="4"/>
      <c r="BK1837" s="4"/>
      <c r="BL1837" s="4"/>
      <c r="BM1837" s="4"/>
      <c r="BN1837" s="4"/>
      <c r="BO1837" s="4"/>
      <c r="BP1837" s="4"/>
      <c r="BQ1837" s="4"/>
      <c r="BR1837" s="4"/>
      <c r="BS1837" s="4"/>
      <c r="BT1837" s="4"/>
      <c r="BU1837" s="4"/>
    </row>
    <row r="1838" spans="29:73" s="1" customFormat="1" x14ac:dyDescent="0.25">
      <c r="AC1838" s="4"/>
      <c r="AD1838" s="4"/>
      <c r="AE1838" s="4"/>
      <c r="AF1838" s="4"/>
      <c r="AG1838" s="4"/>
      <c r="AH1838" s="4"/>
      <c r="AI1838" s="4"/>
      <c r="AJ1838" s="4"/>
      <c r="AK1838" s="4"/>
      <c r="AL1838" s="4"/>
      <c r="AM1838" s="4"/>
      <c r="AN1838" s="4"/>
      <c r="AO1838" s="4"/>
      <c r="AP1838" s="4"/>
      <c r="AQ1838" s="4"/>
      <c r="AR1838" s="4"/>
      <c r="AS1838" s="4"/>
      <c r="AT1838" s="4"/>
      <c r="AU1838" s="4"/>
      <c r="AV1838" s="4"/>
      <c r="AW1838" s="4"/>
      <c r="AX1838" s="4"/>
      <c r="AY1838" s="4"/>
      <c r="AZ1838" s="4"/>
      <c r="BA1838" s="4"/>
      <c r="BB1838" s="4"/>
      <c r="BC1838" s="4"/>
      <c r="BD1838" s="4"/>
      <c r="BE1838" s="4"/>
      <c r="BF1838" s="4"/>
      <c r="BG1838" s="4"/>
      <c r="BH1838" s="4"/>
      <c r="BI1838" s="4"/>
      <c r="BJ1838" s="4"/>
      <c r="BK1838" s="4"/>
      <c r="BL1838" s="4"/>
      <c r="BM1838" s="4"/>
      <c r="BN1838" s="4"/>
      <c r="BO1838" s="4"/>
      <c r="BP1838" s="4"/>
      <c r="BQ1838" s="4"/>
      <c r="BR1838" s="4"/>
      <c r="BS1838" s="4"/>
      <c r="BT1838" s="4"/>
      <c r="BU1838" s="4"/>
    </row>
    <row r="1839" spans="29:73" s="1" customFormat="1" x14ac:dyDescent="0.25">
      <c r="AC1839" s="4"/>
      <c r="AD1839" s="4"/>
      <c r="AE1839" s="4"/>
      <c r="AF1839" s="4"/>
      <c r="AG1839" s="4"/>
      <c r="AH1839" s="4"/>
      <c r="AI1839" s="4"/>
      <c r="AJ1839" s="4"/>
      <c r="AK1839" s="4"/>
      <c r="AL1839" s="4"/>
      <c r="AM1839" s="4"/>
      <c r="AN1839" s="4"/>
      <c r="AO1839" s="4"/>
      <c r="AP1839" s="4"/>
      <c r="AQ1839" s="4"/>
      <c r="AR1839" s="4"/>
      <c r="AS1839" s="4"/>
      <c r="AT1839" s="4"/>
      <c r="AU1839" s="4"/>
      <c r="AV1839" s="4"/>
      <c r="AW1839" s="4"/>
      <c r="AX1839" s="4"/>
      <c r="AY1839" s="4"/>
      <c r="AZ1839" s="4"/>
      <c r="BA1839" s="4"/>
      <c r="BB1839" s="4"/>
      <c r="BC1839" s="4"/>
      <c r="BD1839" s="4"/>
      <c r="BE1839" s="4"/>
      <c r="BF1839" s="4"/>
      <c r="BG1839" s="4"/>
      <c r="BH1839" s="4"/>
      <c r="BI1839" s="4"/>
      <c r="BJ1839" s="4"/>
      <c r="BK1839" s="4"/>
      <c r="BL1839" s="4"/>
      <c r="BM1839" s="4"/>
      <c r="BN1839" s="4"/>
      <c r="BO1839" s="4"/>
      <c r="BP1839" s="4"/>
      <c r="BQ1839" s="4"/>
      <c r="BR1839" s="4"/>
      <c r="BS1839" s="4"/>
      <c r="BT1839" s="4"/>
      <c r="BU1839" s="4"/>
    </row>
    <row r="1840" spans="29:73" s="1" customFormat="1" x14ac:dyDescent="0.25">
      <c r="AC1840" s="4"/>
      <c r="AD1840" s="4"/>
      <c r="AE1840" s="4"/>
      <c r="AF1840" s="4"/>
      <c r="AG1840" s="4"/>
      <c r="AH1840" s="4"/>
      <c r="AI1840" s="4"/>
      <c r="AJ1840" s="4"/>
      <c r="AK1840" s="4"/>
      <c r="AL1840" s="4"/>
      <c r="AM1840" s="4"/>
      <c r="AN1840" s="4"/>
      <c r="AO1840" s="4"/>
      <c r="AP1840" s="4"/>
      <c r="AQ1840" s="4"/>
      <c r="AR1840" s="4"/>
      <c r="AS1840" s="4"/>
      <c r="AT1840" s="4"/>
      <c r="AU1840" s="4"/>
      <c r="AV1840" s="4"/>
      <c r="AW1840" s="4"/>
      <c r="AX1840" s="4"/>
      <c r="AY1840" s="4"/>
      <c r="AZ1840" s="4"/>
      <c r="BA1840" s="4"/>
      <c r="BB1840" s="4"/>
      <c r="BC1840" s="4"/>
      <c r="BD1840" s="4"/>
      <c r="BE1840" s="4"/>
      <c r="BF1840" s="4"/>
      <c r="BG1840" s="4"/>
      <c r="BH1840" s="4"/>
      <c r="BI1840" s="4"/>
      <c r="BJ1840" s="4"/>
      <c r="BK1840" s="4"/>
      <c r="BL1840" s="4"/>
      <c r="BM1840" s="4"/>
      <c r="BN1840" s="4"/>
      <c r="BO1840" s="4"/>
      <c r="BP1840" s="4"/>
      <c r="BQ1840" s="4"/>
      <c r="BR1840" s="4"/>
      <c r="BS1840" s="4"/>
      <c r="BT1840" s="4"/>
      <c r="BU1840" s="4"/>
    </row>
    <row r="1841" spans="29:73" s="1" customFormat="1" x14ac:dyDescent="0.25">
      <c r="AC1841" s="4"/>
      <c r="AD1841" s="4"/>
      <c r="AE1841" s="4"/>
      <c r="AF1841" s="4"/>
      <c r="AG1841" s="4"/>
      <c r="AH1841" s="4"/>
      <c r="AI1841" s="4"/>
      <c r="AJ1841" s="4"/>
      <c r="AK1841" s="4"/>
      <c r="AL1841" s="4"/>
      <c r="AM1841" s="4"/>
      <c r="AN1841" s="4"/>
      <c r="AO1841" s="4"/>
      <c r="AP1841" s="4"/>
      <c r="AQ1841" s="4"/>
      <c r="AR1841" s="4"/>
      <c r="AS1841" s="4"/>
      <c r="AT1841" s="4"/>
      <c r="AU1841" s="4"/>
      <c r="AV1841" s="4"/>
      <c r="AW1841" s="4"/>
      <c r="AX1841" s="4"/>
      <c r="AY1841" s="4"/>
      <c r="AZ1841" s="4"/>
      <c r="BA1841" s="4"/>
      <c r="BB1841" s="4"/>
      <c r="BC1841" s="4"/>
      <c r="BD1841" s="4"/>
      <c r="BE1841" s="4"/>
      <c r="BF1841" s="4"/>
      <c r="BG1841" s="4"/>
      <c r="BH1841" s="4"/>
      <c r="BI1841" s="4"/>
      <c r="BJ1841" s="4"/>
      <c r="BK1841" s="4"/>
      <c r="BL1841" s="4"/>
      <c r="BM1841" s="4"/>
      <c r="BN1841" s="4"/>
      <c r="BO1841" s="4"/>
      <c r="BP1841" s="4"/>
      <c r="BQ1841" s="4"/>
      <c r="BR1841" s="4"/>
      <c r="BS1841" s="4"/>
      <c r="BT1841" s="4"/>
      <c r="BU1841" s="4"/>
    </row>
    <row r="1842" spans="29:73" s="1" customFormat="1" x14ac:dyDescent="0.25">
      <c r="AC1842" s="4"/>
      <c r="AD1842" s="4"/>
      <c r="AE1842" s="4"/>
      <c r="AF1842" s="4"/>
      <c r="AG1842" s="4"/>
      <c r="AH1842" s="4"/>
      <c r="AI1842" s="4"/>
      <c r="AJ1842" s="4"/>
      <c r="AK1842" s="4"/>
      <c r="AL1842" s="4"/>
      <c r="AM1842" s="4"/>
      <c r="AN1842" s="4"/>
      <c r="AO1842" s="4"/>
      <c r="AP1842" s="4"/>
      <c r="AQ1842" s="4"/>
      <c r="AR1842" s="4"/>
      <c r="AS1842" s="4"/>
      <c r="AT1842" s="4"/>
      <c r="AU1842" s="4"/>
      <c r="AV1842" s="4"/>
      <c r="AW1842" s="4"/>
      <c r="AX1842" s="4"/>
      <c r="AY1842" s="4"/>
      <c r="AZ1842" s="4"/>
      <c r="BA1842" s="4"/>
      <c r="BB1842" s="4"/>
      <c r="BC1842" s="4"/>
      <c r="BD1842" s="4"/>
      <c r="BE1842" s="4"/>
      <c r="BF1842" s="4"/>
      <c r="BG1842" s="4"/>
      <c r="BH1842" s="4"/>
      <c r="BI1842" s="4"/>
      <c r="BJ1842" s="4"/>
      <c r="BK1842" s="4"/>
      <c r="BL1842" s="4"/>
      <c r="BM1842" s="4"/>
      <c r="BN1842" s="4"/>
      <c r="BO1842" s="4"/>
      <c r="BP1842" s="4"/>
      <c r="BQ1842" s="4"/>
      <c r="BR1842" s="4"/>
      <c r="BS1842" s="4"/>
      <c r="BT1842" s="4"/>
      <c r="BU1842" s="4"/>
    </row>
    <row r="1843" spans="29:73" s="1" customFormat="1" x14ac:dyDescent="0.25">
      <c r="AC1843" s="4"/>
      <c r="AD1843" s="4"/>
      <c r="AE1843" s="4"/>
      <c r="AF1843" s="4"/>
      <c r="AG1843" s="4"/>
      <c r="AH1843" s="4"/>
      <c r="AI1843" s="4"/>
      <c r="AJ1843" s="4"/>
      <c r="AK1843" s="4"/>
      <c r="AL1843" s="4"/>
      <c r="AM1843" s="4"/>
      <c r="AN1843" s="4"/>
      <c r="AO1843" s="4"/>
      <c r="AP1843" s="4"/>
      <c r="AQ1843" s="4"/>
      <c r="AR1843" s="4"/>
      <c r="AS1843" s="4"/>
      <c r="AT1843" s="4"/>
      <c r="AU1843" s="4"/>
      <c r="AV1843" s="4"/>
      <c r="AW1843" s="4"/>
      <c r="AX1843" s="4"/>
      <c r="AY1843" s="4"/>
      <c r="AZ1843" s="4"/>
      <c r="BA1843" s="4"/>
      <c r="BB1843" s="4"/>
      <c r="BC1843" s="4"/>
      <c r="BD1843" s="4"/>
      <c r="BE1843" s="4"/>
      <c r="BF1843" s="4"/>
      <c r="BG1843" s="4"/>
      <c r="BH1843" s="4"/>
      <c r="BI1843" s="4"/>
      <c r="BJ1843" s="4"/>
      <c r="BK1843" s="4"/>
      <c r="BL1843" s="4"/>
      <c r="BM1843" s="4"/>
      <c r="BN1843" s="4"/>
      <c r="BO1843" s="4"/>
      <c r="BP1843" s="4"/>
      <c r="BQ1843" s="4"/>
      <c r="BR1843" s="4"/>
      <c r="BS1843" s="4"/>
      <c r="BT1843" s="4"/>
      <c r="BU1843" s="4"/>
    </row>
    <row r="1844" spans="29:73" s="1" customFormat="1" x14ac:dyDescent="0.25">
      <c r="AC1844" s="4"/>
      <c r="AD1844" s="4"/>
      <c r="AE1844" s="4"/>
      <c r="AF1844" s="4"/>
      <c r="AG1844" s="4"/>
      <c r="AH1844" s="4"/>
      <c r="AI1844" s="4"/>
      <c r="AJ1844" s="4"/>
      <c r="AK1844" s="4"/>
      <c r="AL1844" s="4"/>
      <c r="AM1844" s="4"/>
      <c r="AN1844" s="4"/>
      <c r="AO1844" s="4"/>
      <c r="AP1844" s="4"/>
      <c r="AQ1844" s="4"/>
      <c r="AR1844" s="4"/>
      <c r="AS1844" s="4"/>
      <c r="AT1844" s="4"/>
      <c r="AU1844" s="4"/>
      <c r="AV1844" s="4"/>
      <c r="AW1844" s="4"/>
      <c r="AX1844" s="4"/>
      <c r="AY1844" s="4"/>
      <c r="AZ1844" s="4"/>
      <c r="BA1844" s="4"/>
      <c r="BB1844" s="4"/>
      <c r="BC1844" s="4"/>
      <c r="BD1844" s="4"/>
      <c r="BE1844" s="4"/>
      <c r="BF1844" s="4"/>
      <c r="BG1844" s="4"/>
      <c r="BH1844" s="4"/>
      <c r="BI1844" s="4"/>
      <c r="BJ1844" s="4"/>
      <c r="BK1844" s="4"/>
      <c r="BL1844" s="4"/>
      <c r="BM1844" s="4"/>
      <c r="BN1844" s="4"/>
      <c r="BO1844" s="4"/>
      <c r="BP1844" s="4"/>
      <c r="BQ1844" s="4"/>
      <c r="BR1844" s="4"/>
      <c r="BS1844" s="4"/>
      <c r="BT1844" s="4"/>
      <c r="BU1844" s="4"/>
    </row>
    <row r="1845" spans="29:73" s="1" customFormat="1" x14ac:dyDescent="0.25">
      <c r="AC1845" s="4"/>
      <c r="AD1845" s="4"/>
      <c r="AE1845" s="4"/>
      <c r="AF1845" s="4"/>
      <c r="AG1845" s="4"/>
      <c r="AH1845" s="4"/>
      <c r="AI1845" s="4"/>
      <c r="AJ1845" s="4"/>
      <c r="AK1845" s="4"/>
      <c r="AL1845" s="4"/>
      <c r="AM1845" s="4"/>
      <c r="AN1845" s="4"/>
      <c r="AO1845" s="4"/>
      <c r="AP1845" s="4"/>
      <c r="AQ1845" s="4"/>
      <c r="AR1845" s="4"/>
      <c r="AS1845" s="4"/>
      <c r="AT1845" s="4"/>
      <c r="AU1845" s="4"/>
      <c r="AV1845" s="4"/>
      <c r="AW1845" s="4"/>
      <c r="AX1845" s="4"/>
      <c r="AY1845" s="4"/>
      <c r="AZ1845" s="4"/>
      <c r="BA1845" s="4"/>
      <c r="BB1845" s="4"/>
      <c r="BC1845" s="4"/>
      <c r="BD1845" s="4"/>
      <c r="BE1845" s="4"/>
      <c r="BF1845" s="4"/>
      <c r="BG1845" s="4"/>
      <c r="BH1845" s="4"/>
      <c r="BI1845" s="4"/>
      <c r="BJ1845" s="4"/>
      <c r="BK1845" s="4"/>
      <c r="BL1845" s="4"/>
      <c r="BM1845" s="4"/>
      <c r="BN1845" s="4"/>
      <c r="BO1845" s="4"/>
      <c r="BP1845" s="4"/>
      <c r="BQ1845" s="4"/>
      <c r="BR1845" s="4"/>
      <c r="BS1845" s="4"/>
      <c r="BT1845" s="4"/>
      <c r="BU1845" s="4"/>
    </row>
    <row r="1846" spans="29:73" s="1" customFormat="1" x14ac:dyDescent="0.25">
      <c r="AC1846" s="4"/>
      <c r="AD1846" s="4"/>
      <c r="AE1846" s="4"/>
      <c r="AF1846" s="4"/>
      <c r="AG1846" s="4"/>
      <c r="AH1846" s="4"/>
      <c r="AI1846" s="4"/>
      <c r="AJ1846" s="4"/>
      <c r="AK1846" s="4"/>
      <c r="AL1846" s="4"/>
      <c r="AM1846" s="4"/>
      <c r="AN1846" s="4"/>
      <c r="AO1846" s="4"/>
      <c r="AP1846" s="4"/>
      <c r="AQ1846" s="4"/>
      <c r="AR1846" s="4"/>
      <c r="AS1846" s="4"/>
      <c r="AT1846" s="4"/>
      <c r="AU1846" s="4"/>
      <c r="AV1846" s="4"/>
      <c r="AW1846" s="4"/>
      <c r="AX1846" s="4"/>
      <c r="AY1846" s="4"/>
      <c r="AZ1846" s="4"/>
      <c r="BA1846" s="4"/>
      <c r="BB1846" s="4"/>
      <c r="BC1846" s="4"/>
      <c r="BD1846" s="4"/>
      <c r="BE1846" s="4"/>
      <c r="BF1846" s="4"/>
      <c r="BG1846" s="4"/>
      <c r="BH1846" s="4"/>
      <c r="BI1846" s="4"/>
      <c r="BJ1846" s="4"/>
      <c r="BK1846" s="4"/>
      <c r="BL1846" s="4"/>
      <c r="BM1846" s="4"/>
      <c r="BN1846" s="4"/>
      <c r="BO1846" s="4"/>
      <c r="BP1846" s="4"/>
      <c r="BQ1846" s="4"/>
      <c r="BR1846" s="4"/>
      <c r="BS1846" s="4"/>
      <c r="BT1846" s="4"/>
      <c r="BU1846" s="4"/>
    </row>
    <row r="1847" spans="29:73" s="1" customFormat="1" x14ac:dyDescent="0.25">
      <c r="AC1847" s="4"/>
      <c r="AD1847" s="4"/>
      <c r="AE1847" s="4"/>
      <c r="AF1847" s="4"/>
      <c r="AG1847" s="4"/>
      <c r="AH1847" s="4"/>
      <c r="AI1847" s="4"/>
      <c r="AJ1847" s="4"/>
      <c r="AK1847" s="4"/>
      <c r="AL1847" s="4"/>
      <c r="AM1847" s="4"/>
      <c r="AN1847" s="4"/>
      <c r="AO1847" s="4"/>
      <c r="AP1847" s="4"/>
      <c r="AQ1847" s="4"/>
      <c r="AR1847" s="4"/>
      <c r="AS1847" s="4"/>
      <c r="AT1847" s="4"/>
      <c r="AU1847" s="4"/>
      <c r="AV1847" s="4"/>
      <c r="AW1847" s="4"/>
      <c r="AX1847" s="4"/>
      <c r="AY1847" s="4"/>
      <c r="AZ1847" s="4"/>
      <c r="BA1847" s="4"/>
      <c r="BB1847" s="4"/>
      <c r="BC1847" s="4"/>
      <c r="BD1847" s="4"/>
      <c r="BE1847" s="4"/>
      <c r="BF1847" s="4"/>
      <c r="BG1847" s="4"/>
      <c r="BH1847" s="4"/>
      <c r="BI1847" s="4"/>
      <c r="BJ1847" s="4"/>
      <c r="BK1847" s="4"/>
      <c r="BL1847" s="4"/>
      <c r="BM1847" s="4"/>
      <c r="BN1847" s="4"/>
      <c r="BO1847" s="4"/>
      <c r="BP1847" s="4"/>
      <c r="BQ1847" s="4"/>
      <c r="BR1847" s="4"/>
      <c r="BS1847" s="4"/>
      <c r="BT1847" s="4"/>
      <c r="BU1847" s="4"/>
    </row>
    <row r="1848" spans="29:73" s="1" customFormat="1" x14ac:dyDescent="0.25">
      <c r="AC1848" s="4"/>
      <c r="AD1848" s="4"/>
      <c r="AE1848" s="4"/>
      <c r="AF1848" s="4"/>
      <c r="AG1848" s="4"/>
      <c r="AH1848" s="4"/>
      <c r="AI1848" s="4"/>
      <c r="AJ1848" s="4"/>
      <c r="AK1848" s="4"/>
      <c r="AL1848" s="4"/>
      <c r="AM1848" s="4"/>
      <c r="AN1848" s="4"/>
      <c r="AO1848" s="4"/>
      <c r="AP1848" s="4"/>
      <c r="AQ1848" s="4"/>
      <c r="AR1848" s="4"/>
      <c r="AS1848" s="4"/>
      <c r="AT1848" s="4"/>
      <c r="AU1848" s="4"/>
      <c r="AV1848" s="4"/>
      <c r="AW1848" s="4"/>
      <c r="AX1848" s="4"/>
      <c r="AY1848" s="4"/>
      <c r="AZ1848" s="4"/>
      <c r="BA1848" s="4"/>
      <c r="BB1848" s="4"/>
      <c r="BC1848" s="4"/>
      <c r="BD1848" s="4"/>
      <c r="BE1848" s="4"/>
      <c r="BF1848" s="4"/>
      <c r="BG1848" s="4"/>
      <c r="BH1848" s="4"/>
      <c r="BI1848" s="4"/>
      <c r="BJ1848" s="4"/>
      <c r="BK1848" s="4"/>
      <c r="BL1848" s="4"/>
      <c r="BM1848" s="4"/>
      <c r="BN1848" s="4"/>
      <c r="BO1848" s="4"/>
      <c r="BP1848" s="4"/>
      <c r="BQ1848" s="4"/>
      <c r="BR1848" s="4"/>
      <c r="BS1848" s="4"/>
      <c r="BT1848" s="4"/>
      <c r="BU1848" s="4"/>
    </row>
    <row r="1849" spans="29:73" s="1" customFormat="1" x14ac:dyDescent="0.25">
      <c r="AC1849" s="4"/>
      <c r="AD1849" s="4"/>
      <c r="AE1849" s="4"/>
      <c r="AF1849" s="4"/>
      <c r="AG1849" s="4"/>
      <c r="AH1849" s="4"/>
      <c r="AI1849" s="4"/>
      <c r="AJ1849" s="4"/>
      <c r="AK1849" s="4"/>
      <c r="AL1849" s="4"/>
      <c r="AM1849" s="4"/>
      <c r="AN1849" s="4"/>
      <c r="AO1849" s="4"/>
      <c r="AP1849" s="4"/>
      <c r="AQ1849" s="4"/>
      <c r="AR1849" s="4"/>
      <c r="AS1849" s="4"/>
      <c r="AT1849" s="4"/>
      <c r="AU1849" s="4"/>
      <c r="AV1849" s="4"/>
      <c r="AW1849" s="4"/>
      <c r="AX1849" s="4"/>
      <c r="AY1849" s="4"/>
      <c r="AZ1849" s="4"/>
      <c r="BA1849" s="4"/>
      <c r="BB1849" s="4"/>
      <c r="BC1849" s="4"/>
      <c r="BD1849" s="4"/>
      <c r="BE1849" s="4"/>
      <c r="BF1849" s="4"/>
      <c r="BG1849" s="4"/>
      <c r="BH1849" s="4"/>
      <c r="BI1849" s="4"/>
      <c r="BJ1849" s="4"/>
      <c r="BK1849" s="4"/>
      <c r="BL1849" s="4"/>
      <c r="BM1849" s="4"/>
      <c r="BN1849" s="4"/>
      <c r="BO1849" s="4"/>
      <c r="BP1849" s="4"/>
      <c r="BQ1849" s="4"/>
      <c r="BR1849" s="4"/>
      <c r="BS1849" s="4"/>
      <c r="BT1849" s="4"/>
      <c r="BU1849" s="4"/>
    </row>
    <row r="1850" spans="29:73" s="1" customFormat="1" x14ac:dyDescent="0.25">
      <c r="AC1850" s="4"/>
      <c r="AD1850" s="4"/>
      <c r="AE1850" s="4"/>
      <c r="AF1850" s="4"/>
      <c r="AG1850" s="4"/>
      <c r="AH1850" s="4"/>
      <c r="AI1850" s="4"/>
      <c r="AJ1850" s="4"/>
      <c r="AK1850" s="4"/>
      <c r="AL1850" s="4"/>
      <c r="AM1850" s="4"/>
      <c r="AN1850" s="4"/>
      <c r="AO1850" s="4"/>
      <c r="AP1850" s="4"/>
      <c r="AQ1850" s="4"/>
      <c r="AR1850" s="4"/>
      <c r="AS1850" s="4"/>
      <c r="AT1850" s="4"/>
      <c r="AU1850" s="4"/>
      <c r="AV1850" s="4"/>
      <c r="AW1850" s="4"/>
      <c r="AX1850" s="4"/>
      <c r="AY1850" s="4"/>
      <c r="AZ1850" s="4"/>
      <c r="BA1850" s="4"/>
      <c r="BB1850" s="4"/>
      <c r="BC1850" s="4"/>
      <c r="BD1850" s="4"/>
      <c r="BE1850" s="4"/>
      <c r="BF1850" s="4"/>
      <c r="BG1850" s="4"/>
      <c r="BH1850" s="4"/>
      <c r="BI1850" s="4"/>
      <c r="BJ1850" s="4"/>
      <c r="BK1850" s="4"/>
      <c r="BL1850" s="4"/>
      <c r="BM1850" s="4"/>
      <c r="BN1850" s="4"/>
      <c r="BO1850" s="4"/>
      <c r="BP1850" s="4"/>
      <c r="BQ1850" s="4"/>
      <c r="BR1850" s="4"/>
      <c r="BS1850" s="4"/>
      <c r="BT1850" s="4"/>
      <c r="BU1850" s="4"/>
    </row>
    <row r="1851" spans="29:73" s="1" customFormat="1" x14ac:dyDescent="0.25">
      <c r="AC1851" s="4"/>
      <c r="AD1851" s="4"/>
      <c r="AE1851" s="4"/>
      <c r="AF1851" s="4"/>
      <c r="AG1851" s="4"/>
      <c r="AH1851" s="4"/>
      <c r="AI1851" s="4"/>
      <c r="AJ1851" s="4"/>
      <c r="AK1851" s="4"/>
      <c r="AL1851" s="4"/>
      <c r="AM1851" s="4"/>
      <c r="AN1851" s="4"/>
      <c r="AO1851" s="4"/>
      <c r="AP1851" s="4"/>
      <c r="AQ1851" s="4"/>
      <c r="AR1851" s="4"/>
      <c r="AS1851" s="4"/>
      <c r="AT1851" s="4"/>
      <c r="AU1851" s="4"/>
      <c r="AV1851" s="4"/>
      <c r="AW1851" s="4"/>
      <c r="AX1851" s="4"/>
      <c r="AY1851" s="4"/>
      <c r="AZ1851" s="4"/>
      <c r="BA1851" s="4"/>
      <c r="BB1851" s="4"/>
      <c r="BC1851" s="4"/>
      <c r="BD1851" s="4"/>
      <c r="BE1851" s="4"/>
      <c r="BF1851" s="4"/>
      <c r="BG1851" s="4"/>
      <c r="BH1851" s="4"/>
      <c r="BI1851" s="4"/>
      <c r="BJ1851" s="4"/>
      <c r="BK1851" s="4"/>
      <c r="BL1851" s="4"/>
      <c r="BM1851" s="4"/>
      <c r="BN1851" s="4"/>
      <c r="BO1851" s="4"/>
      <c r="BP1851" s="4"/>
      <c r="BQ1851" s="4"/>
      <c r="BR1851" s="4"/>
      <c r="BS1851" s="4"/>
      <c r="BT1851" s="4"/>
      <c r="BU1851" s="4"/>
    </row>
    <row r="1852" spans="29:73" s="1" customFormat="1" x14ac:dyDescent="0.25">
      <c r="AC1852" s="4"/>
      <c r="AD1852" s="4"/>
      <c r="AE1852" s="4"/>
      <c r="AF1852" s="4"/>
      <c r="AG1852" s="4"/>
      <c r="AH1852" s="4"/>
      <c r="AI1852" s="4"/>
      <c r="AJ1852" s="4"/>
      <c r="AK1852" s="4"/>
      <c r="AL1852" s="4"/>
      <c r="AM1852" s="4"/>
      <c r="AN1852" s="4"/>
      <c r="AO1852" s="4"/>
      <c r="AP1852" s="4"/>
      <c r="AQ1852" s="4"/>
      <c r="AR1852" s="4"/>
      <c r="AS1852" s="4"/>
      <c r="AT1852" s="4"/>
      <c r="AU1852" s="4"/>
      <c r="AV1852" s="4"/>
      <c r="AW1852" s="4"/>
      <c r="AX1852" s="4"/>
      <c r="AY1852" s="4"/>
      <c r="AZ1852" s="4"/>
      <c r="BA1852" s="4"/>
      <c r="BB1852" s="4"/>
      <c r="BC1852" s="4"/>
      <c r="BD1852" s="4"/>
      <c r="BE1852" s="4"/>
      <c r="BF1852" s="4"/>
      <c r="BG1852" s="4"/>
      <c r="BH1852" s="4"/>
      <c r="BI1852" s="4"/>
      <c r="BJ1852" s="4"/>
      <c r="BK1852" s="4"/>
      <c r="BL1852" s="4"/>
      <c r="BM1852" s="4"/>
      <c r="BN1852" s="4"/>
      <c r="BO1852" s="4"/>
      <c r="BP1852" s="4"/>
      <c r="BQ1852" s="4"/>
      <c r="BR1852" s="4"/>
      <c r="BS1852" s="4"/>
      <c r="BT1852" s="4"/>
      <c r="BU1852" s="4"/>
    </row>
    <row r="1853" spans="29:73" s="1" customFormat="1" x14ac:dyDescent="0.25">
      <c r="AC1853" s="4"/>
      <c r="AD1853" s="4"/>
      <c r="AE1853" s="4"/>
      <c r="AF1853" s="4"/>
      <c r="AG1853" s="4"/>
      <c r="AH1853" s="4"/>
      <c r="AI1853" s="4"/>
      <c r="AJ1853" s="4"/>
      <c r="AK1853" s="4"/>
      <c r="AL1853" s="4"/>
      <c r="AM1853" s="4"/>
      <c r="AN1853" s="4"/>
      <c r="AO1853" s="4"/>
      <c r="AP1853" s="4"/>
      <c r="AQ1853" s="4"/>
      <c r="AR1853" s="4"/>
      <c r="AS1853" s="4"/>
      <c r="AT1853" s="4"/>
      <c r="AU1853" s="4"/>
      <c r="AV1853" s="4"/>
      <c r="AW1853" s="4"/>
      <c r="AX1853" s="4"/>
      <c r="AY1853" s="4"/>
      <c r="AZ1853" s="4"/>
      <c r="BA1853" s="4"/>
      <c r="BB1853" s="4"/>
      <c r="BC1853" s="4"/>
      <c r="BD1853" s="4"/>
      <c r="BE1853" s="4"/>
      <c r="BF1853" s="4"/>
      <c r="BG1853" s="4"/>
      <c r="BH1853" s="4"/>
      <c r="BI1853" s="4"/>
      <c r="BJ1853" s="4"/>
      <c r="BK1853" s="4"/>
      <c r="BL1853" s="4"/>
      <c r="BM1853" s="4"/>
      <c r="BN1853" s="4"/>
      <c r="BO1853" s="4"/>
      <c r="BP1853" s="4"/>
      <c r="BQ1853" s="4"/>
      <c r="BR1853" s="4"/>
      <c r="BS1853" s="4"/>
      <c r="BT1853" s="4"/>
      <c r="BU1853" s="4"/>
    </row>
    <row r="1854" spans="29:73" s="1" customFormat="1" x14ac:dyDescent="0.25">
      <c r="AC1854" s="4"/>
      <c r="AD1854" s="4"/>
      <c r="AE1854" s="4"/>
      <c r="AF1854" s="4"/>
      <c r="AG1854" s="4"/>
      <c r="AH1854" s="4"/>
      <c r="AI1854" s="4"/>
      <c r="AJ1854" s="4"/>
      <c r="AK1854" s="4"/>
      <c r="AL1854" s="4"/>
      <c r="AM1854" s="4"/>
      <c r="AN1854" s="4"/>
      <c r="AO1854" s="4"/>
      <c r="AP1854" s="4"/>
      <c r="AQ1854" s="4"/>
      <c r="AR1854" s="4"/>
      <c r="AS1854" s="4"/>
      <c r="AT1854" s="4"/>
      <c r="AU1854" s="4"/>
      <c r="AV1854" s="4"/>
      <c r="AW1854" s="4"/>
      <c r="AX1854" s="4"/>
      <c r="AY1854" s="4"/>
      <c r="AZ1854" s="4"/>
      <c r="BA1854" s="4"/>
      <c r="BB1854" s="4"/>
      <c r="BC1854" s="4"/>
      <c r="BD1854" s="4"/>
      <c r="BE1854" s="4"/>
      <c r="BF1854" s="4"/>
      <c r="BG1854" s="4"/>
      <c r="BH1854" s="4"/>
      <c r="BI1854" s="4"/>
      <c r="BJ1854" s="4"/>
      <c r="BK1854" s="4"/>
      <c r="BL1854" s="4"/>
      <c r="BM1854" s="4"/>
      <c r="BN1854" s="4"/>
      <c r="BO1854" s="4"/>
      <c r="BP1854" s="4"/>
      <c r="BQ1854" s="4"/>
      <c r="BR1854" s="4"/>
      <c r="BS1854" s="4"/>
      <c r="BT1854" s="4"/>
      <c r="BU1854" s="4"/>
    </row>
    <row r="1855" spans="29:73" s="1" customFormat="1" x14ac:dyDescent="0.25">
      <c r="AC1855" s="4"/>
      <c r="AD1855" s="4"/>
      <c r="AE1855" s="4"/>
      <c r="AF1855" s="4"/>
      <c r="AG1855" s="4"/>
      <c r="AH1855" s="4"/>
      <c r="AI1855" s="4"/>
      <c r="AJ1855" s="4"/>
      <c r="AK1855" s="4"/>
      <c r="AL1855" s="4"/>
      <c r="AM1855" s="4"/>
      <c r="AN1855" s="4"/>
      <c r="AO1855" s="4"/>
      <c r="AP1855" s="4"/>
      <c r="AQ1855" s="4"/>
      <c r="AR1855" s="4"/>
      <c r="AS1855" s="4"/>
      <c r="AT1855" s="4"/>
      <c r="AU1855" s="4"/>
      <c r="AV1855" s="4"/>
      <c r="AW1855" s="4"/>
      <c r="AX1855" s="4"/>
      <c r="AY1855" s="4"/>
      <c r="AZ1855" s="4"/>
      <c r="BA1855" s="4"/>
      <c r="BB1855" s="4"/>
      <c r="BC1855" s="4"/>
      <c r="BD1855" s="4"/>
      <c r="BE1855" s="4"/>
      <c r="BF1855" s="4"/>
      <c r="BG1855" s="4"/>
      <c r="BH1855" s="4"/>
      <c r="BI1855" s="4"/>
      <c r="BJ1855" s="4"/>
      <c r="BK1855" s="4"/>
      <c r="BL1855" s="4"/>
      <c r="BM1855" s="4"/>
      <c r="BN1855" s="4"/>
      <c r="BO1855" s="4"/>
      <c r="BP1855" s="4"/>
      <c r="BQ1855" s="4"/>
      <c r="BR1855" s="4"/>
      <c r="BS1855" s="4"/>
      <c r="BT1855" s="4"/>
      <c r="BU1855" s="4"/>
    </row>
    <row r="1856" spans="29:73" s="1" customFormat="1" x14ac:dyDescent="0.25">
      <c r="AC1856" s="4"/>
      <c r="AD1856" s="4"/>
      <c r="AE1856" s="4"/>
      <c r="AF1856" s="4"/>
      <c r="AG1856" s="4"/>
      <c r="AH1856" s="4"/>
      <c r="AI1856" s="4"/>
      <c r="AJ1856" s="4"/>
      <c r="AK1856" s="4"/>
      <c r="AL1856" s="4"/>
      <c r="AM1856" s="4"/>
      <c r="AN1856" s="4"/>
      <c r="AO1856" s="4"/>
      <c r="AP1856" s="4"/>
      <c r="AQ1856" s="4"/>
      <c r="AR1856" s="4"/>
      <c r="AS1856" s="4"/>
      <c r="AT1856" s="4"/>
      <c r="AU1856" s="4"/>
      <c r="AV1856" s="4"/>
      <c r="AW1856" s="4"/>
      <c r="AX1856" s="4"/>
      <c r="AY1856" s="4"/>
      <c r="AZ1856" s="4"/>
      <c r="BA1856" s="4"/>
      <c r="BB1856" s="4"/>
      <c r="BC1856" s="4"/>
      <c r="BD1856" s="4"/>
      <c r="BE1856" s="4"/>
      <c r="BF1856" s="4"/>
      <c r="BG1856" s="4"/>
      <c r="BH1856" s="4"/>
      <c r="BI1856" s="4"/>
      <c r="BJ1856" s="4"/>
      <c r="BK1856" s="4"/>
      <c r="BL1856" s="4"/>
      <c r="BM1856" s="4"/>
      <c r="BN1856" s="4"/>
      <c r="BO1856" s="4"/>
      <c r="BP1856" s="4"/>
      <c r="BQ1856" s="4"/>
      <c r="BR1856" s="4"/>
      <c r="BS1856" s="4"/>
      <c r="BT1856" s="4"/>
      <c r="BU1856" s="4"/>
    </row>
    <row r="1857" spans="29:73" s="1" customFormat="1" x14ac:dyDescent="0.25">
      <c r="AC1857" s="4"/>
      <c r="AD1857" s="4"/>
      <c r="AE1857" s="4"/>
      <c r="AF1857" s="4"/>
      <c r="AG1857" s="4"/>
      <c r="AH1857" s="4"/>
      <c r="AI1857" s="4"/>
      <c r="AJ1857" s="4"/>
      <c r="AK1857" s="4"/>
      <c r="AL1857" s="4"/>
      <c r="AM1857" s="4"/>
      <c r="AN1857" s="4"/>
      <c r="AO1857" s="4"/>
      <c r="AP1857" s="4"/>
      <c r="AQ1857" s="4"/>
      <c r="AR1857" s="4"/>
      <c r="AS1857" s="4"/>
      <c r="AT1857" s="4"/>
      <c r="AU1857" s="4"/>
      <c r="AV1857" s="4"/>
      <c r="AW1857" s="4"/>
      <c r="AX1857" s="4"/>
      <c r="AY1857" s="4"/>
      <c r="AZ1857" s="4"/>
      <c r="BA1857" s="4"/>
      <c r="BB1857" s="4"/>
      <c r="BC1857" s="4"/>
      <c r="BD1857" s="4"/>
      <c r="BE1857" s="4"/>
      <c r="BF1857" s="4"/>
      <c r="BG1857" s="4"/>
      <c r="BH1857" s="4"/>
      <c r="BI1857" s="4"/>
      <c r="BJ1857" s="4"/>
      <c r="BK1857" s="4"/>
      <c r="BL1857" s="4"/>
      <c r="BM1857" s="4"/>
      <c r="BN1857" s="4"/>
      <c r="BO1857" s="4"/>
      <c r="BP1857" s="4"/>
      <c r="BQ1857" s="4"/>
      <c r="BR1857" s="4"/>
      <c r="BS1857" s="4"/>
      <c r="BT1857" s="4"/>
      <c r="BU1857" s="4"/>
    </row>
    <row r="1858" spans="29:73" s="1" customFormat="1" x14ac:dyDescent="0.25">
      <c r="AC1858" s="4"/>
      <c r="AD1858" s="4"/>
      <c r="AE1858" s="4"/>
      <c r="AF1858" s="4"/>
      <c r="AG1858" s="4"/>
      <c r="AH1858" s="4"/>
      <c r="AI1858" s="4"/>
      <c r="AJ1858" s="4"/>
      <c r="AK1858" s="4"/>
      <c r="AL1858" s="4"/>
      <c r="AM1858" s="4"/>
      <c r="AN1858" s="4"/>
      <c r="AO1858" s="4"/>
      <c r="AP1858" s="4"/>
      <c r="AQ1858" s="4"/>
      <c r="AR1858" s="4"/>
      <c r="AS1858" s="4"/>
      <c r="AT1858" s="4"/>
      <c r="AU1858" s="4"/>
      <c r="AV1858" s="4"/>
      <c r="AW1858" s="4"/>
      <c r="AX1858" s="4"/>
      <c r="AY1858" s="4"/>
      <c r="AZ1858" s="4"/>
      <c r="BA1858" s="4"/>
      <c r="BB1858" s="4"/>
      <c r="BC1858" s="4"/>
      <c r="BD1858" s="4"/>
      <c r="BE1858" s="4"/>
      <c r="BF1858" s="4"/>
      <c r="BG1858" s="4"/>
      <c r="BH1858" s="4"/>
      <c r="BI1858" s="4"/>
      <c r="BJ1858" s="4"/>
      <c r="BK1858" s="4"/>
      <c r="BL1858" s="4"/>
      <c r="BM1858" s="4"/>
      <c r="BN1858" s="4"/>
      <c r="BO1858" s="4"/>
      <c r="BP1858" s="4"/>
      <c r="BQ1858" s="4"/>
      <c r="BR1858" s="4"/>
      <c r="BS1858" s="4"/>
      <c r="BT1858" s="4"/>
      <c r="BU1858" s="4"/>
    </row>
    <row r="1859" spans="29:73" s="1" customFormat="1" x14ac:dyDescent="0.25">
      <c r="AC1859" s="4"/>
      <c r="AD1859" s="4"/>
      <c r="AE1859" s="4"/>
      <c r="AF1859" s="4"/>
      <c r="AG1859" s="4"/>
      <c r="AH1859" s="4"/>
      <c r="AI1859" s="4"/>
      <c r="AJ1859" s="4"/>
      <c r="AK1859" s="4"/>
      <c r="AL1859" s="4"/>
      <c r="AM1859" s="4"/>
      <c r="AN1859" s="4"/>
      <c r="AO1859" s="4"/>
      <c r="AP1859" s="4"/>
      <c r="AQ1859" s="4"/>
      <c r="AR1859" s="4"/>
      <c r="AS1859" s="4"/>
      <c r="AT1859" s="4"/>
      <c r="AU1859" s="4"/>
      <c r="AV1859" s="4"/>
      <c r="AW1859" s="4"/>
      <c r="AX1859" s="4"/>
      <c r="AY1859" s="4"/>
      <c r="AZ1859" s="4"/>
      <c r="BA1859" s="4"/>
      <c r="BB1859" s="4"/>
      <c r="BC1859" s="4"/>
      <c r="BD1859" s="4"/>
      <c r="BE1859" s="4"/>
      <c r="BF1859" s="4"/>
      <c r="BG1859" s="4"/>
      <c r="BH1859" s="4"/>
      <c r="BI1859" s="4"/>
      <c r="BJ1859" s="4"/>
      <c r="BK1859" s="4"/>
      <c r="BL1859" s="4"/>
      <c r="BM1859" s="4"/>
      <c r="BN1859" s="4"/>
      <c r="BO1859" s="4"/>
      <c r="BP1859" s="4"/>
      <c r="BQ1859" s="4"/>
      <c r="BR1859" s="4"/>
      <c r="BS1859" s="4"/>
      <c r="BT1859" s="4"/>
      <c r="BU1859" s="4"/>
    </row>
    <row r="1860" spans="29:73" s="1" customFormat="1" x14ac:dyDescent="0.25">
      <c r="AC1860" s="4"/>
      <c r="AD1860" s="4"/>
      <c r="AE1860" s="4"/>
      <c r="AF1860" s="4"/>
      <c r="AG1860" s="4"/>
      <c r="AH1860" s="4"/>
      <c r="AI1860" s="4"/>
      <c r="AJ1860" s="4"/>
      <c r="AK1860" s="4"/>
      <c r="AL1860" s="4"/>
      <c r="AM1860" s="4"/>
      <c r="AN1860" s="4"/>
      <c r="AO1860" s="4"/>
      <c r="AP1860" s="4"/>
      <c r="AQ1860" s="4"/>
      <c r="AR1860" s="4"/>
      <c r="AS1860" s="4"/>
      <c r="AT1860" s="4"/>
      <c r="AU1860" s="4"/>
      <c r="AV1860" s="4"/>
      <c r="AW1860" s="4"/>
      <c r="AX1860" s="4"/>
      <c r="AY1860" s="4"/>
      <c r="AZ1860" s="4"/>
      <c r="BA1860" s="4"/>
      <c r="BB1860" s="4"/>
      <c r="BC1860" s="4"/>
      <c r="BD1860" s="4"/>
      <c r="BE1860" s="4"/>
      <c r="BF1860" s="4"/>
      <c r="BG1860" s="4"/>
      <c r="BH1860" s="4"/>
      <c r="BI1860" s="4"/>
      <c r="BJ1860" s="4"/>
      <c r="BK1860" s="4"/>
      <c r="BL1860" s="4"/>
      <c r="BM1860" s="4"/>
      <c r="BN1860" s="4"/>
      <c r="BO1860" s="4"/>
      <c r="BP1860" s="4"/>
      <c r="BQ1860" s="4"/>
      <c r="BR1860" s="4"/>
      <c r="BS1860" s="4"/>
      <c r="BT1860" s="4"/>
      <c r="BU1860" s="4"/>
    </row>
    <row r="1861" spans="29:73" s="1" customFormat="1" x14ac:dyDescent="0.25">
      <c r="AC1861" s="4"/>
      <c r="AD1861" s="4"/>
      <c r="AE1861" s="4"/>
      <c r="AF1861" s="4"/>
      <c r="AG1861" s="4"/>
      <c r="AH1861" s="4"/>
      <c r="AI1861" s="4"/>
      <c r="AJ1861" s="4"/>
      <c r="AK1861" s="4"/>
      <c r="AL1861" s="4"/>
      <c r="AM1861" s="4"/>
      <c r="AN1861" s="4"/>
      <c r="AO1861" s="4"/>
      <c r="AP1861" s="4"/>
      <c r="AQ1861" s="4"/>
      <c r="AR1861" s="4"/>
      <c r="AS1861" s="4"/>
      <c r="AT1861" s="4"/>
      <c r="AU1861" s="4"/>
      <c r="AV1861" s="4"/>
      <c r="AW1861" s="4"/>
      <c r="AX1861" s="4"/>
      <c r="AY1861" s="4"/>
      <c r="AZ1861" s="4"/>
      <c r="BA1861" s="4"/>
      <c r="BB1861" s="4"/>
      <c r="BC1861" s="4"/>
      <c r="BD1861" s="4"/>
      <c r="BE1861" s="4"/>
      <c r="BF1861" s="4"/>
      <c r="BG1861" s="4"/>
      <c r="BH1861" s="4"/>
      <c r="BI1861" s="4"/>
      <c r="BJ1861" s="4"/>
      <c r="BK1861" s="4"/>
      <c r="BL1861" s="4"/>
      <c r="BM1861" s="4"/>
      <c r="BN1861" s="4"/>
      <c r="BO1861" s="4"/>
      <c r="BP1861" s="4"/>
      <c r="BQ1861" s="4"/>
      <c r="BR1861" s="4"/>
      <c r="BS1861" s="4"/>
      <c r="BT1861" s="4"/>
      <c r="BU1861" s="4"/>
    </row>
    <row r="1862" spans="29:73" s="1" customFormat="1" x14ac:dyDescent="0.25">
      <c r="AC1862" s="4"/>
      <c r="AD1862" s="4"/>
      <c r="AE1862" s="4"/>
      <c r="AF1862" s="4"/>
      <c r="AG1862" s="4"/>
      <c r="AH1862" s="4"/>
      <c r="AI1862" s="4"/>
      <c r="AJ1862" s="4"/>
      <c r="AK1862" s="4"/>
      <c r="AL1862" s="4"/>
      <c r="AM1862" s="4"/>
      <c r="AN1862" s="4"/>
      <c r="AO1862" s="4"/>
      <c r="AP1862" s="4"/>
      <c r="AQ1862" s="4"/>
      <c r="AR1862" s="4"/>
      <c r="AS1862" s="4"/>
      <c r="AT1862" s="4"/>
      <c r="AU1862" s="4"/>
      <c r="AV1862" s="4"/>
      <c r="AW1862" s="4"/>
      <c r="AX1862" s="4"/>
      <c r="AY1862" s="4"/>
      <c r="AZ1862" s="4"/>
      <c r="BA1862" s="4"/>
      <c r="BB1862" s="4"/>
      <c r="BC1862" s="4"/>
      <c r="BD1862" s="4"/>
      <c r="BE1862" s="4"/>
      <c r="BF1862" s="4"/>
      <c r="BG1862" s="4"/>
      <c r="BH1862" s="4"/>
      <c r="BI1862" s="4"/>
      <c r="BJ1862" s="4"/>
      <c r="BK1862" s="4"/>
      <c r="BL1862" s="4"/>
      <c r="BM1862" s="4"/>
      <c r="BN1862" s="4"/>
      <c r="BO1862" s="4"/>
      <c r="BP1862" s="4"/>
      <c r="BQ1862" s="4"/>
      <c r="BR1862" s="4"/>
      <c r="BS1862" s="4"/>
      <c r="BT1862" s="4"/>
      <c r="BU1862" s="4"/>
    </row>
    <row r="1863" spans="29:73" s="1" customFormat="1" x14ac:dyDescent="0.25">
      <c r="AC1863" s="4"/>
      <c r="AD1863" s="4"/>
      <c r="AE1863" s="4"/>
      <c r="AF1863" s="4"/>
      <c r="AG1863" s="4"/>
      <c r="AH1863" s="4"/>
      <c r="AI1863" s="4"/>
      <c r="AJ1863" s="4"/>
      <c r="AK1863" s="4"/>
      <c r="AL1863" s="4"/>
      <c r="AM1863" s="4"/>
      <c r="AN1863" s="4"/>
      <c r="AO1863" s="4"/>
      <c r="AP1863" s="4"/>
      <c r="AQ1863" s="4"/>
      <c r="AR1863" s="4"/>
      <c r="AS1863" s="4"/>
      <c r="AT1863" s="4"/>
      <c r="AU1863" s="4"/>
      <c r="AV1863" s="4"/>
      <c r="AW1863" s="4"/>
      <c r="AX1863" s="4"/>
      <c r="AY1863" s="4"/>
      <c r="AZ1863" s="4"/>
      <c r="BA1863" s="4"/>
      <c r="BB1863" s="4"/>
      <c r="BC1863" s="4"/>
      <c r="BD1863" s="4"/>
      <c r="BE1863" s="4"/>
      <c r="BF1863" s="4"/>
      <c r="BG1863" s="4"/>
      <c r="BH1863" s="4"/>
      <c r="BI1863" s="4"/>
      <c r="BJ1863" s="4"/>
      <c r="BK1863" s="4"/>
      <c r="BL1863" s="4"/>
      <c r="BM1863" s="4"/>
      <c r="BN1863" s="4"/>
      <c r="BO1863" s="4"/>
      <c r="BP1863" s="4"/>
      <c r="BQ1863" s="4"/>
      <c r="BR1863" s="4"/>
      <c r="BS1863" s="4"/>
      <c r="BT1863" s="4"/>
      <c r="BU1863" s="4"/>
    </row>
    <row r="1864" spans="29:73" s="1" customFormat="1" x14ac:dyDescent="0.25">
      <c r="AC1864" s="4"/>
      <c r="AD1864" s="4"/>
      <c r="AE1864" s="4"/>
      <c r="AF1864" s="4"/>
      <c r="AG1864" s="4"/>
      <c r="AH1864" s="4"/>
      <c r="AI1864" s="4"/>
      <c r="AJ1864" s="4"/>
      <c r="AK1864" s="4"/>
      <c r="AL1864" s="4"/>
      <c r="AM1864" s="4"/>
      <c r="AN1864" s="4"/>
      <c r="AO1864" s="4"/>
      <c r="AP1864" s="4"/>
      <c r="AQ1864" s="4"/>
      <c r="AR1864" s="4"/>
      <c r="AS1864" s="4"/>
      <c r="AT1864" s="4"/>
      <c r="AU1864" s="4"/>
      <c r="AV1864" s="4"/>
      <c r="AW1864" s="4"/>
      <c r="AX1864" s="4"/>
      <c r="AY1864" s="4"/>
      <c r="AZ1864" s="4"/>
      <c r="BA1864" s="4"/>
      <c r="BB1864" s="4"/>
      <c r="BC1864" s="4"/>
      <c r="BD1864" s="4"/>
      <c r="BE1864" s="4"/>
      <c r="BF1864" s="4"/>
      <c r="BG1864" s="4"/>
      <c r="BH1864" s="4"/>
      <c r="BI1864" s="4"/>
      <c r="BJ1864" s="4"/>
      <c r="BK1864" s="4"/>
      <c r="BL1864" s="4"/>
      <c r="BM1864" s="4"/>
      <c r="BN1864" s="4"/>
      <c r="BO1864" s="4"/>
      <c r="BP1864" s="4"/>
      <c r="BQ1864" s="4"/>
      <c r="BR1864" s="4"/>
      <c r="BS1864" s="4"/>
      <c r="BT1864" s="4"/>
      <c r="BU1864" s="4"/>
    </row>
    <row r="1865" spans="29:73" s="1" customFormat="1" x14ac:dyDescent="0.25">
      <c r="AC1865" s="4"/>
      <c r="AD1865" s="4"/>
      <c r="AE1865" s="4"/>
      <c r="AF1865" s="4"/>
      <c r="AG1865" s="4"/>
      <c r="AH1865" s="4"/>
      <c r="AI1865" s="4"/>
      <c r="AJ1865" s="4"/>
      <c r="AK1865" s="4"/>
      <c r="AL1865" s="4"/>
      <c r="AM1865" s="4"/>
      <c r="AN1865" s="4"/>
      <c r="AO1865" s="4"/>
      <c r="AP1865" s="4"/>
      <c r="AQ1865" s="4"/>
      <c r="AR1865" s="4"/>
      <c r="AS1865" s="4"/>
      <c r="AT1865" s="4"/>
      <c r="AU1865" s="4"/>
      <c r="AV1865" s="4"/>
      <c r="AW1865" s="4"/>
      <c r="AX1865" s="4"/>
      <c r="AY1865" s="4"/>
      <c r="AZ1865" s="4"/>
      <c r="BA1865" s="4"/>
      <c r="BB1865" s="4"/>
      <c r="BC1865" s="4"/>
      <c r="BD1865" s="4"/>
      <c r="BE1865" s="4"/>
      <c r="BF1865" s="4"/>
      <c r="BG1865" s="4"/>
      <c r="BH1865" s="4"/>
      <c r="BI1865" s="4"/>
      <c r="BJ1865" s="4"/>
      <c r="BK1865" s="4"/>
      <c r="BL1865" s="4"/>
      <c r="BM1865" s="4"/>
      <c r="BN1865" s="4"/>
      <c r="BO1865" s="4"/>
      <c r="BP1865" s="4"/>
      <c r="BQ1865" s="4"/>
      <c r="BR1865" s="4"/>
      <c r="BS1865" s="4"/>
      <c r="BT1865" s="4"/>
      <c r="BU1865" s="4"/>
    </row>
    <row r="1866" spans="29:73" s="1" customFormat="1" x14ac:dyDescent="0.25">
      <c r="AC1866" s="4"/>
      <c r="AD1866" s="4"/>
      <c r="AE1866" s="4"/>
      <c r="AF1866" s="4"/>
      <c r="AG1866" s="4"/>
      <c r="AH1866" s="4"/>
      <c r="AI1866" s="4"/>
      <c r="AJ1866" s="4"/>
      <c r="AK1866" s="4"/>
      <c r="AL1866" s="4"/>
      <c r="AM1866" s="4"/>
      <c r="AN1866" s="4"/>
      <c r="AO1866" s="4"/>
      <c r="AP1866" s="4"/>
      <c r="AQ1866" s="4"/>
      <c r="AR1866" s="4"/>
      <c r="AS1866" s="4"/>
      <c r="AT1866" s="4"/>
      <c r="AU1866" s="4"/>
      <c r="AV1866" s="4"/>
      <c r="AW1866" s="4"/>
      <c r="AX1866" s="4"/>
      <c r="AY1866" s="4"/>
      <c r="AZ1866" s="4"/>
      <c r="BA1866" s="4"/>
      <c r="BB1866" s="4"/>
      <c r="BC1866" s="4"/>
      <c r="BD1866" s="4"/>
      <c r="BE1866" s="4"/>
      <c r="BF1866" s="4"/>
      <c r="BG1866" s="4"/>
      <c r="BH1866" s="4"/>
      <c r="BI1866" s="4"/>
      <c r="BJ1866" s="4"/>
      <c r="BK1866" s="4"/>
      <c r="BL1866" s="4"/>
      <c r="BM1866" s="4"/>
      <c r="BN1866" s="4"/>
      <c r="BO1866" s="4"/>
      <c r="BP1866" s="4"/>
      <c r="BQ1866" s="4"/>
      <c r="BR1866" s="4"/>
      <c r="BS1866" s="4"/>
      <c r="BT1866" s="4"/>
      <c r="BU1866" s="4"/>
    </row>
    <row r="1867" spans="29:73" s="1" customFormat="1" x14ac:dyDescent="0.25">
      <c r="AC1867" s="4"/>
      <c r="AD1867" s="4"/>
      <c r="AE1867" s="4"/>
      <c r="AF1867" s="4"/>
      <c r="AG1867" s="4"/>
      <c r="AH1867" s="4"/>
      <c r="AI1867" s="4"/>
      <c r="AJ1867" s="4"/>
      <c r="AK1867" s="4"/>
      <c r="AL1867" s="4"/>
      <c r="AM1867" s="4"/>
      <c r="AN1867" s="4"/>
      <c r="AO1867" s="4"/>
      <c r="AP1867" s="4"/>
      <c r="AQ1867" s="4"/>
      <c r="AR1867" s="4"/>
      <c r="AS1867" s="4"/>
      <c r="AT1867" s="4"/>
      <c r="AU1867" s="4"/>
      <c r="AV1867" s="4"/>
      <c r="AW1867" s="4"/>
      <c r="AX1867" s="4"/>
      <c r="AY1867" s="4"/>
      <c r="AZ1867" s="4"/>
      <c r="BA1867" s="4"/>
      <c r="BB1867" s="4"/>
      <c r="BC1867" s="4"/>
      <c r="BD1867" s="4"/>
      <c r="BE1867" s="4"/>
      <c r="BF1867" s="4"/>
      <c r="BG1867" s="4"/>
      <c r="BH1867" s="4"/>
      <c r="BI1867" s="4"/>
      <c r="BJ1867" s="4"/>
      <c r="BK1867" s="4"/>
      <c r="BL1867" s="4"/>
      <c r="BM1867" s="4"/>
      <c r="BN1867" s="4"/>
      <c r="BO1867" s="4"/>
      <c r="BP1867" s="4"/>
      <c r="BQ1867" s="4"/>
      <c r="BR1867" s="4"/>
      <c r="BS1867" s="4"/>
      <c r="BT1867" s="4"/>
      <c r="BU1867" s="4"/>
    </row>
    <row r="1868" spans="29:73" s="1" customFormat="1" x14ac:dyDescent="0.25">
      <c r="AC1868" s="4"/>
      <c r="AD1868" s="4"/>
      <c r="AE1868" s="4"/>
      <c r="AF1868" s="4"/>
      <c r="AG1868" s="4"/>
      <c r="AH1868" s="4"/>
      <c r="AI1868" s="4"/>
      <c r="AJ1868" s="4"/>
      <c r="AK1868" s="4"/>
      <c r="AL1868" s="4"/>
      <c r="AM1868" s="4"/>
      <c r="AN1868" s="4"/>
      <c r="AO1868" s="4"/>
      <c r="AP1868" s="4"/>
      <c r="AQ1868" s="4"/>
      <c r="AR1868" s="4"/>
      <c r="AS1868" s="4"/>
      <c r="AT1868" s="4"/>
      <c r="AU1868" s="4"/>
      <c r="AV1868" s="4"/>
      <c r="AW1868" s="4"/>
      <c r="AX1868" s="4"/>
      <c r="AY1868" s="4"/>
      <c r="AZ1868" s="4"/>
      <c r="BA1868" s="4"/>
      <c r="BB1868" s="4"/>
      <c r="BC1868" s="4"/>
      <c r="BD1868" s="4"/>
      <c r="BE1868" s="4"/>
      <c r="BF1868" s="4"/>
      <c r="BG1868" s="4"/>
      <c r="BH1868" s="4"/>
      <c r="BI1868" s="4"/>
      <c r="BJ1868" s="4"/>
      <c r="BK1868" s="4"/>
      <c r="BL1868" s="4"/>
      <c r="BM1868" s="4"/>
      <c r="BN1868" s="4"/>
      <c r="BO1868" s="4"/>
      <c r="BP1868" s="4"/>
      <c r="BQ1868" s="4"/>
      <c r="BR1868" s="4"/>
      <c r="BS1868" s="4"/>
      <c r="BT1868" s="4"/>
      <c r="BU1868" s="4"/>
    </row>
    <row r="1869" spans="29:73" s="1" customFormat="1" x14ac:dyDescent="0.25">
      <c r="AC1869" s="4"/>
      <c r="AD1869" s="4"/>
      <c r="AE1869" s="4"/>
      <c r="AF1869" s="4"/>
      <c r="AG1869" s="4"/>
      <c r="AH1869" s="4"/>
      <c r="AI1869" s="4"/>
      <c r="AJ1869" s="4"/>
      <c r="AK1869" s="4"/>
      <c r="AL1869" s="4"/>
      <c r="AM1869" s="4"/>
      <c r="AN1869" s="4"/>
      <c r="AO1869" s="4"/>
      <c r="AP1869" s="4"/>
      <c r="AQ1869" s="4"/>
      <c r="AR1869" s="4"/>
      <c r="AS1869" s="4"/>
      <c r="AT1869" s="4"/>
      <c r="AU1869" s="4"/>
      <c r="AV1869" s="4"/>
      <c r="AW1869" s="4"/>
      <c r="AX1869" s="4"/>
      <c r="AY1869" s="4"/>
      <c r="AZ1869" s="4"/>
      <c r="BA1869" s="4"/>
      <c r="BB1869" s="4"/>
      <c r="BC1869" s="4"/>
      <c r="BD1869" s="4"/>
      <c r="BE1869" s="4"/>
      <c r="BF1869" s="4"/>
      <c r="BG1869" s="4"/>
      <c r="BH1869" s="4"/>
      <c r="BI1869" s="4"/>
      <c r="BJ1869" s="4"/>
      <c r="BK1869" s="4"/>
      <c r="BL1869" s="4"/>
      <c r="BM1869" s="4"/>
      <c r="BN1869" s="4"/>
      <c r="BO1869" s="4"/>
      <c r="BP1869" s="4"/>
      <c r="BQ1869" s="4"/>
      <c r="BR1869" s="4"/>
      <c r="BS1869" s="4"/>
      <c r="BT1869" s="4"/>
      <c r="BU1869" s="4"/>
    </row>
    <row r="1870" spans="29:73" s="1" customFormat="1" x14ac:dyDescent="0.25">
      <c r="AC1870" s="4"/>
      <c r="AD1870" s="4"/>
      <c r="AE1870" s="4"/>
      <c r="AF1870" s="4"/>
      <c r="AG1870" s="4"/>
      <c r="AH1870" s="4"/>
      <c r="AI1870" s="4"/>
      <c r="AJ1870" s="4"/>
      <c r="AK1870" s="4"/>
      <c r="AL1870" s="4"/>
      <c r="AM1870" s="4"/>
      <c r="AN1870" s="4"/>
      <c r="AO1870" s="4"/>
      <c r="AP1870" s="4"/>
      <c r="AQ1870" s="4"/>
      <c r="AR1870" s="4"/>
      <c r="AS1870" s="4"/>
      <c r="AT1870" s="4"/>
      <c r="AU1870" s="4"/>
      <c r="AV1870" s="4"/>
      <c r="AW1870" s="4"/>
      <c r="AX1870" s="4"/>
      <c r="AY1870" s="4"/>
      <c r="AZ1870" s="4"/>
      <c r="BA1870" s="4"/>
      <c r="BB1870" s="4"/>
      <c r="BC1870" s="4"/>
      <c r="BD1870" s="4"/>
      <c r="BE1870" s="4"/>
      <c r="BF1870" s="4"/>
      <c r="BG1870" s="4"/>
      <c r="BH1870" s="4"/>
      <c r="BI1870" s="4"/>
      <c r="BJ1870" s="4"/>
      <c r="BK1870" s="4"/>
      <c r="BL1870" s="4"/>
      <c r="BM1870" s="4"/>
      <c r="BN1870" s="4"/>
      <c r="BO1870" s="4"/>
      <c r="BP1870" s="4"/>
      <c r="BQ1870" s="4"/>
      <c r="BR1870" s="4"/>
      <c r="BS1870" s="4"/>
      <c r="BT1870" s="4"/>
      <c r="BU1870" s="4"/>
    </row>
    <row r="1871" spans="29:73" s="1" customFormat="1" x14ac:dyDescent="0.25">
      <c r="AC1871" s="4"/>
      <c r="AD1871" s="4"/>
      <c r="AE1871" s="4"/>
      <c r="AF1871" s="4"/>
      <c r="AG1871" s="4"/>
      <c r="AH1871" s="4"/>
      <c r="AI1871" s="4"/>
      <c r="AJ1871" s="4"/>
      <c r="AK1871" s="4"/>
      <c r="AL1871" s="4"/>
      <c r="AM1871" s="4"/>
      <c r="AN1871" s="4"/>
      <c r="AO1871" s="4"/>
      <c r="AP1871" s="4"/>
      <c r="AQ1871" s="4"/>
      <c r="AR1871" s="4"/>
      <c r="AS1871" s="4"/>
      <c r="AT1871" s="4"/>
      <c r="AU1871" s="4"/>
      <c r="AV1871" s="4"/>
      <c r="AW1871" s="4"/>
      <c r="AX1871" s="4"/>
      <c r="AY1871" s="4"/>
      <c r="AZ1871" s="4"/>
      <c r="BA1871" s="4"/>
      <c r="BB1871" s="4"/>
      <c r="BC1871" s="4"/>
      <c r="BD1871" s="4"/>
      <c r="BE1871" s="4"/>
      <c r="BF1871" s="4"/>
      <c r="BG1871" s="4"/>
      <c r="BH1871" s="4"/>
      <c r="BI1871" s="4"/>
      <c r="BJ1871" s="4"/>
      <c r="BK1871" s="4"/>
      <c r="BL1871" s="4"/>
      <c r="BM1871" s="4"/>
      <c r="BN1871" s="4"/>
      <c r="BO1871" s="4"/>
      <c r="BP1871" s="4"/>
      <c r="BQ1871" s="4"/>
      <c r="BR1871" s="4"/>
      <c r="BS1871" s="4"/>
      <c r="BT1871" s="4"/>
      <c r="BU1871" s="4"/>
    </row>
    <row r="1872" spans="29:73" s="1" customFormat="1" x14ac:dyDescent="0.25">
      <c r="AC1872" s="4"/>
      <c r="AD1872" s="4"/>
      <c r="AE1872" s="4"/>
      <c r="AF1872" s="4"/>
      <c r="AG1872" s="4"/>
      <c r="AH1872" s="4"/>
      <c r="AI1872" s="4"/>
      <c r="AJ1872" s="4"/>
      <c r="AK1872" s="4"/>
      <c r="AL1872" s="4"/>
      <c r="AM1872" s="4"/>
      <c r="AN1872" s="4"/>
      <c r="AO1872" s="4"/>
      <c r="AP1872" s="4"/>
      <c r="AQ1872" s="4"/>
      <c r="AR1872" s="4"/>
      <c r="AS1872" s="4"/>
      <c r="AT1872" s="4"/>
      <c r="AU1872" s="4"/>
      <c r="AV1872" s="4"/>
      <c r="AW1872" s="4"/>
      <c r="AX1872" s="4"/>
      <c r="AY1872" s="4"/>
      <c r="AZ1872" s="4"/>
      <c r="BA1872" s="4"/>
      <c r="BB1872" s="4"/>
      <c r="BC1872" s="4"/>
      <c r="BD1872" s="4"/>
      <c r="BE1872" s="4"/>
      <c r="BF1872" s="4"/>
      <c r="BG1872" s="4"/>
      <c r="BH1872" s="4"/>
      <c r="BI1872" s="4"/>
      <c r="BJ1872" s="4"/>
      <c r="BK1872" s="4"/>
      <c r="BL1872" s="4"/>
      <c r="BM1872" s="4"/>
      <c r="BN1872" s="4"/>
      <c r="BO1872" s="4"/>
      <c r="BP1872" s="4"/>
      <c r="BQ1872" s="4"/>
      <c r="BR1872" s="4"/>
      <c r="BS1872" s="4"/>
      <c r="BT1872" s="4"/>
      <c r="BU1872" s="4"/>
    </row>
    <row r="1873" spans="29:73" s="1" customFormat="1" x14ac:dyDescent="0.25">
      <c r="AC1873" s="4"/>
      <c r="AD1873" s="4"/>
      <c r="AE1873" s="4"/>
      <c r="AF1873" s="4"/>
      <c r="AG1873" s="4"/>
      <c r="AH1873" s="4"/>
      <c r="AI1873" s="4"/>
      <c r="AJ1873" s="4"/>
      <c r="AK1873" s="4"/>
      <c r="AL1873" s="4"/>
      <c r="AM1873" s="4"/>
      <c r="AN1873" s="4"/>
      <c r="AO1873" s="4"/>
      <c r="AP1873" s="4"/>
      <c r="AQ1873" s="4"/>
      <c r="AR1873" s="4"/>
      <c r="AS1873" s="4"/>
      <c r="AT1873" s="4"/>
      <c r="AU1873" s="4"/>
      <c r="AV1873" s="4"/>
      <c r="AW1873" s="4"/>
      <c r="AX1873" s="4"/>
      <c r="AY1873" s="4"/>
      <c r="AZ1873" s="4"/>
      <c r="BA1873" s="4"/>
      <c r="BB1873" s="4"/>
      <c r="BC1873" s="4"/>
      <c r="BD1873" s="4"/>
      <c r="BE1873" s="4"/>
      <c r="BF1873" s="4"/>
      <c r="BG1873" s="4"/>
      <c r="BH1873" s="4"/>
      <c r="BI1873" s="4"/>
      <c r="BJ1873" s="4"/>
      <c r="BK1873" s="4"/>
      <c r="BL1873" s="4"/>
      <c r="BM1873" s="4"/>
      <c r="BN1873" s="4"/>
      <c r="BO1873" s="4"/>
      <c r="BP1873" s="4"/>
      <c r="BQ1873" s="4"/>
      <c r="BR1873" s="4"/>
      <c r="BS1873" s="4"/>
      <c r="BT1873" s="4"/>
      <c r="BU1873" s="4"/>
    </row>
    <row r="1874" spans="29:73" s="1" customFormat="1" x14ac:dyDescent="0.25">
      <c r="AC1874" s="4"/>
      <c r="AD1874" s="4"/>
      <c r="AE1874" s="4"/>
      <c r="AF1874" s="4"/>
      <c r="AG1874" s="4"/>
      <c r="AH1874" s="4"/>
      <c r="AI1874" s="4"/>
      <c r="AJ1874" s="4"/>
      <c r="AK1874" s="4"/>
      <c r="AL1874" s="4"/>
      <c r="AM1874" s="4"/>
      <c r="AN1874" s="4"/>
      <c r="AO1874" s="4"/>
      <c r="AP1874" s="4"/>
      <c r="AQ1874" s="4"/>
      <c r="AR1874" s="4"/>
      <c r="AS1874" s="4"/>
      <c r="AT1874" s="4"/>
      <c r="AU1874" s="4"/>
      <c r="AV1874" s="4"/>
      <c r="AW1874" s="4"/>
      <c r="AX1874" s="4"/>
      <c r="AY1874" s="4"/>
      <c r="AZ1874" s="4"/>
      <c r="BA1874" s="4"/>
      <c r="BB1874" s="4"/>
      <c r="BC1874" s="4"/>
      <c r="BD1874" s="4"/>
      <c r="BE1874" s="4"/>
      <c r="BF1874" s="4"/>
      <c r="BG1874" s="4"/>
      <c r="BH1874" s="4"/>
      <c r="BI1874" s="4"/>
      <c r="BJ1874" s="4"/>
      <c r="BK1874" s="4"/>
      <c r="BL1874" s="4"/>
      <c r="BM1874" s="4"/>
      <c r="BN1874" s="4"/>
      <c r="BO1874" s="4"/>
      <c r="BP1874" s="4"/>
      <c r="BQ1874" s="4"/>
      <c r="BR1874" s="4"/>
      <c r="BS1874" s="4"/>
      <c r="BT1874" s="4"/>
      <c r="BU1874" s="4"/>
    </row>
    <row r="1875" spans="29:73" s="1" customFormat="1" x14ac:dyDescent="0.25">
      <c r="AC1875" s="4"/>
      <c r="AD1875" s="4"/>
      <c r="AE1875" s="4"/>
      <c r="AF1875" s="4"/>
      <c r="AG1875" s="4"/>
      <c r="AH1875" s="4"/>
      <c r="AI1875" s="4"/>
      <c r="AJ1875" s="4"/>
      <c r="AK1875" s="4"/>
      <c r="AL1875" s="4"/>
      <c r="AM1875" s="4"/>
      <c r="AN1875" s="4"/>
      <c r="AO1875" s="4"/>
      <c r="AP1875" s="4"/>
      <c r="AQ1875" s="4"/>
      <c r="AR1875" s="4"/>
      <c r="AS1875" s="4"/>
      <c r="AT1875" s="4"/>
      <c r="AU1875" s="4"/>
      <c r="AV1875" s="4"/>
      <c r="AW1875" s="4"/>
      <c r="AX1875" s="4"/>
      <c r="AY1875" s="4"/>
      <c r="AZ1875" s="4"/>
      <c r="BA1875" s="4"/>
      <c r="BB1875" s="4"/>
      <c r="BC1875" s="4"/>
      <c r="BD1875" s="4"/>
      <c r="BE1875" s="4"/>
      <c r="BF1875" s="4"/>
      <c r="BG1875" s="4"/>
      <c r="BH1875" s="4"/>
      <c r="BI1875" s="4"/>
      <c r="BJ1875" s="4"/>
      <c r="BK1875" s="4"/>
      <c r="BL1875" s="4"/>
      <c r="BM1875" s="4"/>
      <c r="BN1875" s="4"/>
      <c r="BO1875" s="4"/>
      <c r="BP1875" s="4"/>
      <c r="BQ1875" s="4"/>
      <c r="BR1875" s="4"/>
      <c r="BS1875" s="4"/>
      <c r="BT1875" s="4"/>
      <c r="BU1875" s="4"/>
    </row>
    <row r="1876" spans="29:73" s="1" customFormat="1" x14ac:dyDescent="0.25">
      <c r="AC1876" s="4"/>
      <c r="AD1876" s="4"/>
      <c r="AE1876" s="4"/>
      <c r="AF1876" s="4"/>
      <c r="AG1876" s="4"/>
      <c r="AH1876" s="4"/>
      <c r="AI1876" s="4"/>
      <c r="AJ1876" s="4"/>
      <c r="AK1876" s="4"/>
      <c r="AL1876" s="4"/>
      <c r="AM1876" s="4"/>
      <c r="AN1876" s="4"/>
      <c r="AO1876" s="4"/>
      <c r="AP1876" s="4"/>
      <c r="AQ1876" s="4"/>
      <c r="AR1876" s="4"/>
      <c r="AS1876" s="4"/>
      <c r="AT1876" s="4"/>
      <c r="AU1876" s="4"/>
      <c r="AV1876" s="4"/>
      <c r="AW1876" s="4"/>
      <c r="AX1876" s="4"/>
      <c r="AY1876" s="4"/>
      <c r="AZ1876" s="4"/>
      <c r="BA1876" s="4"/>
      <c r="BB1876" s="4"/>
      <c r="BC1876" s="4"/>
      <c r="BD1876" s="4"/>
      <c r="BE1876" s="4"/>
      <c r="BF1876" s="4"/>
      <c r="BG1876" s="4"/>
      <c r="BH1876" s="4"/>
      <c r="BI1876" s="4"/>
      <c r="BJ1876" s="4"/>
      <c r="BK1876" s="4"/>
      <c r="BL1876" s="4"/>
      <c r="BM1876" s="4"/>
      <c r="BN1876" s="4"/>
      <c r="BO1876" s="4"/>
      <c r="BP1876" s="4"/>
      <c r="BQ1876" s="4"/>
      <c r="BR1876" s="4"/>
      <c r="BS1876" s="4"/>
      <c r="BT1876" s="4"/>
      <c r="BU1876" s="4"/>
    </row>
    <row r="1877" spans="29:73" s="1" customFormat="1" x14ac:dyDescent="0.25">
      <c r="AC1877" s="4"/>
      <c r="AD1877" s="4"/>
      <c r="AE1877" s="4"/>
      <c r="AF1877" s="4"/>
      <c r="AG1877" s="4"/>
      <c r="AH1877" s="4"/>
      <c r="AI1877" s="4"/>
      <c r="AJ1877" s="4"/>
      <c r="AK1877" s="4"/>
      <c r="AL1877" s="4"/>
      <c r="AM1877" s="4"/>
      <c r="AN1877" s="4"/>
      <c r="AO1877" s="4"/>
      <c r="AP1877" s="4"/>
      <c r="AQ1877" s="4"/>
      <c r="AR1877" s="4"/>
      <c r="AS1877" s="4"/>
      <c r="AT1877" s="4"/>
      <c r="AU1877" s="4"/>
      <c r="AV1877" s="4"/>
      <c r="AW1877" s="4"/>
      <c r="AX1877" s="4"/>
      <c r="AY1877" s="4"/>
      <c r="AZ1877" s="4"/>
      <c r="BA1877" s="4"/>
      <c r="BB1877" s="4"/>
      <c r="BC1877" s="4"/>
      <c r="BD1877" s="4"/>
      <c r="BE1877" s="4"/>
      <c r="BF1877" s="4"/>
      <c r="BG1877" s="4"/>
      <c r="BH1877" s="4"/>
      <c r="BI1877" s="4"/>
      <c r="BJ1877" s="4"/>
      <c r="BK1877" s="4"/>
      <c r="BL1877" s="4"/>
      <c r="BM1877" s="4"/>
      <c r="BN1877" s="4"/>
      <c r="BO1877" s="4"/>
      <c r="BP1877" s="4"/>
      <c r="BQ1877" s="4"/>
      <c r="BR1877" s="4"/>
      <c r="BS1877" s="4"/>
      <c r="BT1877" s="4"/>
      <c r="BU1877" s="4"/>
    </row>
    <row r="1878" spans="29:73" s="1" customFormat="1" x14ac:dyDescent="0.25">
      <c r="AC1878" s="4"/>
      <c r="AD1878" s="4"/>
      <c r="AE1878" s="4"/>
      <c r="AF1878" s="4"/>
      <c r="AG1878" s="4"/>
      <c r="AH1878" s="4"/>
      <c r="AI1878" s="4"/>
      <c r="AJ1878" s="4"/>
      <c r="AK1878" s="4"/>
      <c r="AL1878" s="4"/>
      <c r="AM1878" s="4"/>
      <c r="AN1878" s="4"/>
      <c r="AO1878" s="4"/>
      <c r="AP1878" s="4"/>
      <c r="AQ1878" s="4"/>
      <c r="AR1878" s="4"/>
      <c r="AS1878" s="4"/>
      <c r="AT1878" s="4"/>
      <c r="AU1878" s="4"/>
      <c r="AV1878" s="4"/>
      <c r="AW1878" s="4"/>
      <c r="AX1878" s="4"/>
      <c r="AY1878" s="4"/>
      <c r="AZ1878" s="4"/>
      <c r="BA1878" s="4"/>
      <c r="BB1878" s="4"/>
      <c r="BC1878" s="4"/>
      <c r="BD1878" s="4"/>
      <c r="BE1878" s="4"/>
      <c r="BF1878" s="4"/>
      <c r="BG1878" s="4"/>
      <c r="BH1878" s="4"/>
      <c r="BI1878" s="4"/>
      <c r="BJ1878" s="4"/>
      <c r="BK1878" s="4"/>
      <c r="BL1878" s="4"/>
      <c r="BM1878" s="4"/>
      <c r="BN1878" s="4"/>
      <c r="BO1878" s="4"/>
      <c r="BP1878" s="4"/>
      <c r="BQ1878" s="4"/>
      <c r="BR1878" s="4"/>
      <c r="BS1878" s="4"/>
      <c r="BT1878" s="4"/>
      <c r="BU1878" s="4"/>
    </row>
    <row r="1879" spans="29:73" s="1" customFormat="1" x14ac:dyDescent="0.25">
      <c r="AC1879" s="4"/>
      <c r="AD1879" s="4"/>
      <c r="AE1879" s="4"/>
      <c r="AF1879" s="4"/>
      <c r="AG1879" s="4"/>
      <c r="AH1879" s="4"/>
      <c r="AI1879" s="4"/>
      <c r="AJ1879" s="4"/>
      <c r="AK1879" s="4"/>
      <c r="AL1879" s="4"/>
      <c r="AM1879" s="4"/>
      <c r="AN1879" s="4"/>
      <c r="AO1879" s="4"/>
      <c r="AP1879" s="4"/>
      <c r="AQ1879" s="4"/>
      <c r="AR1879" s="4"/>
      <c r="AS1879" s="4"/>
      <c r="AT1879" s="4"/>
      <c r="AU1879" s="4"/>
      <c r="AV1879" s="4"/>
      <c r="AW1879" s="4"/>
      <c r="AX1879" s="4"/>
      <c r="AY1879" s="4"/>
      <c r="AZ1879" s="4"/>
      <c r="BA1879" s="4"/>
      <c r="BB1879" s="4"/>
      <c r="BC1879" s="4"/>
      <c r="BD1879" s="4"/>
      <c r="BE1879" s="4"/>
      <c r="BF1879" s="4"/>
      <c r="BG1879" s="4"/>
      <c r="BH1879" s="4"/>
      <c r="BI1879" s="4"/>
      <c r="BJ1879" s="4"/>
      <c r="BK1879" s="4"/>
      <c r="BL1879" s="4"/>
      <c r="BM1879" s="4"/>
      <c r="BN1879" s="4"/>
      <c r="BO1879" s="4"/>
      <c r="BP1879" s="4"/>
      <c r="BQ1879" s="4"/>
      <c r="BR1879" s="4"/>
      <c r="BS1879" s="4"/>
      <c r="BT1879" s="4"/>
      <c r="BU1879" s="4"/>
    </row>
    <row r="1880" spans="29:73" s="1" customFormat="1" x14ac:dyDescent="0.25">
      <c r="AC1880" s="4"/>
      <c r="AD1880" s="4"/>
      <c r="AE1880" s="4"/>
      <c r="AF1880" s="4"/>
      <c r="AG1880" s="4"/>
      <c r="AH1880" s="4"/>
      <c r="AI1880" s="4"/>
      <c r="AJ1880" s="4"/>
      <c r="AK1880" s="4"/>
      <c r="AL1880" s="4"/>
      <c r="AM1880" s="4"/>
      <c r="AN1880" s="4"/>
      <c r="AO1880" s="4"/>
      <c r="AP1880" s="4"/>
      <c r="AQ1880" s="4"/>
      <c r="AR1880" s="4"/>
      <c r="AS1880" s="4"/>
      <c r="AT1880" s="4"/>
      <c r="AU1880" s="4"/>
      <c r="AV1880" s="4"/>
      <c r="AW1880" s="4"/>
      <c r="AX1880" s="4"/>
      <c r="AY1880" s="4"/>
      <c r="AZ1880" s="4"/>
      <c r="BA1880" s="4"/>
      <c r="BB1880" s="4"/>
      <c r="BC1880" s="4"/>
      <c r="BD1880" s="4"/>
      <c r="BE1880" s="4"/>
      <c r="BF1880" s="4"/>
      <c r="BG1880" s="4"/>
      <c r="BH1880" s="4"/>
      <c r="BI1880" s="4"/>
      <c r="BJ1880" s="4"/>
      <c r="BK1880" s="4"/>
      <c r="BL1880" s="4"/>
      <c r="BM1880" s="4"/>
      <c r="BN1880" s="4"/>
      <c r="BO1880" s="4"/>
      <c r="BP1880" s="4"/>
      <c r="BQ1880" s="4"/>
      <c r="BR1880" s="4"/>
      <c r="BS1880" s="4"/>
      <c r="BT1880" s="4"/>
      <c r="BU1880" s="4"/>
    </row>
    <row r="1881" spans="29:73" s="1" customFormat="1" x14ac:dyDescent="0.25">
      <c r="AC1881" s="4"/>
      <c r="AD1881" s="4"/>
      <c r="AE1881" s="4"/>
      <c r="AF1881" s="4"/>
      <c r="AG1881" s="4"/>
      <c r="AH1881" s="4"/>
      <c r="AI1881" s="4"/>
      <c r="AJ1881" s="4"/>
      <c r="AK1881" s="4"/>
      <c r="AL1881" s="4"/>
      <c r="AM1881" s="4"/>
      <c r="AN1881" s="4"/>
      <c r="AO1881" s="4"/>
      <c r="AP1881" s="4"/>
      <c r="AQ1881" s="4"/>
      <c r="AR1881" s="4"/>
      <c r="AS1881" s="4"/>
      <c r="AT1881" s="4"/>
      <c r="AU1881" s="4"/>
      <c r="AV1881" s="4"/>
      <c r="AW1881" s="4"/>
      <c r="AX1881" s="4"/>
      <c r="AY1881" s="4"/>
      <c r="AZ1881" s="4"/>
      <c r="BA1881" s="4"/>
      <c r="BB1881" s="4"/>
      <c r="BC1881" s="4"/>
      <c r="BD1881" s="4"/>
      <c r="BE1881" s="4"/>
      <c r="BF1881" s="4"/>
      <c r="BG1881" s="4"/>
      <c r="BH1881" s="4"/>
      <c r="BI1881" s="4"/>
      <c r="BJ1881" s="4"/>
      <c r="BK1881" s="4"/>
      <c r="BL1881" s="4"/>
      <c r="BM1881" s="4"/>
      <c r="BN1881" s="4"/>
      <c r="BO1881" s="4"/>
      <c r="BP1881" s="4"/>
      <c r="BQ1881" s="4"/>
      <c r="BR1881" s="4"/>
      <c r="BS1881" s="4"/>
      <c r="BT1881" s="4"/>
      <c r="BU1881" s="4"/>
    </row>
    <row r="1882" spans="29:73" s="1" customFormat="1" x14ac:dyDescent="0.25">
      <c r="AC1882" s="4"/>
      <c r="AD1882" s="4"/>
      <c r="AE1882" s="4"/>
      <c r="AF1882" s="4"/>
      <c r="AG1882" s="4"/>
      <c r="AH1882" s="4"/>
      <c r="AI1882" s="4"/>
      <c r="AJ1882" s="4"/>
      <c r="AK1882" s="4"/>
      <c r="AL1882" s="4"/>
      <c r="AM1882" s="4"/>
      <c r="AN1882" s="4"/>
      <c r="AO1882" s="4"/>
      <c r="AP1882" s="4"/>
      <c r="AQ1882" s="4"/>
      <c r="AR1882" s="4"/>
      <c r="AS1882" s="4"/>
      <c r="AT1882" s="4"/>
      <c r="AU1882" s="4"/>
      <c r="AV1882" s="4"/>
      <c r="AW1882" s="4"/>
      <c r="AX1882" s="4"/>
      <c r="AY1882" s="4"/>
      <c r="AZ1882" s="4"/>
      <c r="BA1882" s="4"/>
      <c r="BB1882" s="4"/>
      <c r="BC1882" s="4"/>
      <c r="BD1882" s="4"/>
      <c r="BE1882" s="4"/>
      <c r="BF1882" s="4"/>
      <c r="BG1882" s="4"/>
      <c r="BH1882" s="4"/>
      <c r="BI1882" s="4"/>
      <c r="BJ1882" s="4"/>
      <c r="BK1882" s="4"/>
      <c r="BL1882" s="4"/>
      <c r="BM1882" s="4"/>
      <c r="BN1882" s="4"/>
      <c r="BO1882" s="4"/>
      <c r="BP1882" s="4"/>
      <c r="BQ1882" s="4"/>
      <c r="BR1882" s="4"/>
      <c r="BS1882" s="4"/>
      <c r="BT1882" s="4"/>
      <c r="BU1882" s="4"/>
    </row>
    <row r="1883" spans="29:73" s="1" customFormat="1" x14ac:dyDescent="0.25">
      <c r="AC1883" s="4"/>
      <c r="AD1883" s="4"/>
      <c r="AE1883" s="4"/>
      <c r="AF1883" s="4"/>
      <c r="AG1883" s="4"/>
      <c r="AH1883" s="4"/>
      <c r="AI1883" s="4"/>
      <c r="AJ1883" s="4"/>
      <c r="AK1883" s="4"/>
      <c r="AL1883" s="4"/>
      <c r="AM1883" s="4"/>
      <c r="AN1883" s="4"/>
      <c r="AO1883" s="4"/>
      <c r="AP1883" s="4"/>
      <c r="AQ1883" s="4"/>
      <c r="AR1883" s="4"/>
      <c r="AS1883" s="4"/>
      <c r="AT1883" s="4"/>
      <c r="AU1883" s="4"/>
      <c r="AV1883" s="4"/>
      <c r="AW1883" s="4"/>
      <c r="AX1883" s="4"/>
      <c r="AY1883" s="4"/>
      <c r="AZ1883" s="4"/>
      <c r="BA1883" s="4"/>
      <c r="BB1883" s="4"/>
      <c r="BC1883" s="4"/>
      <c r="BD1883" s="4"/>
      <c r="BE1883" s="4"/>
      <c r="BF1883" s="4"/>
      <c r="BG1883" s="4"/>
      <c r="BH1883" s="4"/>
      <c r="BI1883" s="4"/>
      <c r="BJ1883" s="4"/>
      <c r="BK1883" s="4"/>
      <c r="BL1883" s="4"/>
      <c r="BM1883" s="4"/>
      <c r="BN1883" s="4"/>
      <c r="BO1883" s="4"/>
      <c r="BP1883" s="4"/>
      <c r="BQ1883" s="4"/>
      <c r="BR1883" s="4"/>
      <c r="BS1883" s="4"/>
      <c r="BT1883" s="4"/>
      <c r="BU1883" s="4"/>
    </row>
    <row r="1884" spans="29:73" s="1" customFormat="1" x14ac:dyDescent="0.25">
      <c r="AC1884" s="4"/>
      <c r="AD1884" s="4"/>
      <c r="AE1884" s="4"/>
      <c r="AF1884" s="4"/>
      <c r="AG1884" s="4"/>
      <c r="AH1884" s="4"/>
      <c r="AI1884" s="4"/>
      <c r="AJ1884" s="4"/>
      <c r="AK1884" s="4"/>
      <c r="AL1884" s="4"/>
      <c r="AM1884" s="4"/>
      <c r="AN1884" s="4"/>
      <c r="AO1884" s="4"/>
      <c r="AP1884" s="4"/>
      <c r="AQ1884" s="4"/>
      <c r="AR1884" s="4"/>
      <c r="AS1884" s="4"/>
      <c r="AT1884" s="4"/>
      <c r="AU1884" s="4"/>
      <c r="AV1884" s="4"/>
      <c r="AW1884" s="4"/>
      <c r="AX1884" s="4"/>
      <c r="AY1884" s="4"/>
      <c r="AZ1884" s="4"/>
      <c r="BA1884" s="4"/>
      <c r="BB1884" s="4"/>
      <c r="BC1884" s="4"/>
      <c r="BD1884" s="4"/>
      <c r="BE1884" s="4"/>
      <c r="BF1884" s="4"/>
      <c r="BG1884" s="4"/>
      <c r="BH1884" s="4"/>
      <c r="BI1884" s="4"/>
      <c r="BJ1884" s="4"/>
      <c r="BK1884" s="4"/>
      <c r="BL1884" s="4"/>
      <c r="BM1884" s="4"/>
      <c r="BN1884" s="4"/>
      <c r="BO1884" s="4"/>
      <c r="BP1884" s="4"/>
      <c r="BQ1884" s="4"/>
      <c r="BR1884" s="4"/>
      <c r="BS1884" s="4"/>
      <c r="BT1884" s="4"/>
      <c r="BU1884" s="4"/>
    </row>
    <row r="1885" spans="29:73" s="1" customFormat="1" x14ac:dyDescent="0.25">
      <c r="AC1885" s="4"/>
      <c r="AD1885" s="4"/>
      <c r="AE1885" s="4"/>
      <c r="AF1885" s="4"/>
      <c r="AG1885" s="4"/>
      <c r="AH1885" s="4"/>
      <c r="AI1885" s="4"/>
      <c r="AJ1885" s="4"/>
      <c r="AK1885" s="4"/>
      <c r="AL1885" s="4"/>
      <c r="AM1885" s="4"/>
      <c r="AN1885" s="4"/>
      <c r="AO1885" s="4"/>
      <c r="AP1885" s="4"/>
      <c r="AQ1885" s="4"/>
      <c r="AR1885" s="4"/>
      <c r="AS1885" s="4"/>
      <c r="AT1885" s="4"/>
      <c r="AU1885" s="4"/>
      <c r="AV1885" s="4"/>
      <c r="AW1885" s="4"/>
      <c r="AX1885" s="4"/>
      <c r="AY1885" s="4"/>
      <c r="AZ1885" s="4"/>
      <c r="BA1885" s="4"/>
      <c r="BB1885" s="4"/>
      <c r="BC1885" s="4"/>
      <c r="BD1885" s="4"/>
      <c r="BE1885" s="4"/>
      <c r="BF1885" s="4"/>
      <c r="BG1885" s="4"/>
      <c r="BH1885" s="4"/>
      <c r="BI1885" s="4"/>
      <c r="BJ1885" s="4"/>
      <c r="BK1885" s="4"/>
      <c r="BL1885" s="4"/>
      <c r="BM1885" s="4"/>
      <c r="BN1885" s="4"/>
      <c r="BO1885" s="4"/>
      <c r="BP1885" s="4"/>
      <c r="BQ1885" s="4"/>
      <c r="BR1885" s="4"/>
      <c r="BS1885" s="4"/>
      <c r="BT1885" s="4"/>
      <c r="BU1885" s="4"/>
    </row>
    <row r="1886" spans="29:73" s="1" customFormat="1" x14ac:dyDescent="0.25">
      <c r="AC1886" s="4"/>
      <c r="AD1886" s="4"/>
      <c r="AE1886" s="4"/>
      <c r="AF1886" s="4"/>
      <c r="AG1886" s="4"/>
      <c r="AH1886" s="4"/>
      <c r="AI1886" s="4"/>
      <c r="AJ1886" s="4"/>
      <c r="AK1886" s="4"/>
      <c r="AL1886" s="4"/>
      <c r="AM1886" s="4"/>
      <c r="AN1886" s="4"/>
      <c r="AO1886" s="4"/>
      <c r="AP1886" s="4"/>
      <c r="AQ1886" s="4"/>
      <c r="AR1886" s="4"/>
      <c r="AS1886" s="4"/>
      <c r="AT1886" s="4"/>
      <c r="AU1886" s="4"/>
      <c r="AV1886" s="4"/>
      <c r="AW1886" s="4"/>
      <c r="AX1886" s="4"/>
      <c r="AY1886" s="4"/>
      <c r="AZ1886" s="4"/>
      <c r="BA1886" s="4"/>
      <c r="BB1886" s="4"/>
      <c r="BC1886" s="4"/>
      <c r="BD1886" s="4"/>
      <c r="BE1886" s="4"/>
      <c r="BF1886" s="4"/>
      <c r="BG1886" s="4"/>
      <c r="BH1886" s="4"/>
      <c r="BI1886" s="4"/>
      <c r="BJ1886" s="4"/>
      <c r="BK1886" s="4"/>
      <c r="BL1886" s="4"/>
      <c r="BM1886" s="4"/>
      <c r="BN1886" s="4"/>
      <c r="BO1886" s="4"/>
      <c r="BP1886" s="4"/>
      <c r="BQ1886" s="4"/>
      <c r="BR1886" s="4"/>
      <c r="BS1886" s="4"/>
      <c r="BT1886" s="4"/>
      <c r="BU1886" s="4"/>
    </row>
    <row r="1887" spans="29:73" s="1" customFormat="1" x14ac:dyDescent="0.25">
      <c r="AC1887" s="4"/>
      <c r="AD1887" s="4"/>
      <c r="AE1887" s="4"/>
      <c r="AF1887" s="4"/>
      <c r="AG1887" s="4"/>
      <c r="AH1887" s="4"/>
      <c r="AI1887" s="4"/>
      <c r="AJ1887" s="4"/>
      <c r="AK1887" s="4"/>
      <c r="AL1887" s="4"/>
      <c r="AM1887" s="4"/>
      <c r="AN1887" s="4"/>
      <c r="AO1887" s="4"/>
      <c r="AP1887" s="4"/>
      <c r="AQ1887" s="4"/>
      <c r="AR1887" s="4"/>
      <c r="AS1887" s="4"/>
      <c r="AT1887" s="4"/>
      <c r="AU1887" s="4"/>
      <c r="AV1887" s="4"/>
      <c r="AW1887" s="4"/>
      <c r="AX1887" s="4"/>
      <c r="AY1887" s="4"/>
      <c r="AZ1887" s="4"/>
      <c r="BA1887" s="4"/>
      <c r="BB1887" s="4"/>
      <c r="BC1887" s="4"/>
      <c r="BD1887" s="4"/>
      <c r="BE1887" s="4"/>
      <c r="BF1887" s="4"/>
      <c r="BG1887" s="4"/>
      <c r="BH1887" s="4"/>
      <c r="BI1887" s="4"/>
      <c r="BJ1887" s="4"/>
      <c r="BK1887" s="4"/>
      <c r="BL1887" s="4"/>
      <c r="BM1887" s="4"/>
      <c r="BN1887" s="4"/>
      <c r="BO1887" s="4"/>
      <c r="BP1887" s="4"/>
      <c r="BQ1887" s="4"/>
      <c r="BR1887" s="4"/>
      <c r="BS1887" s="4"/>
      <c r="BT1887" s="4"/>
      <c r="BU1887" s="4"/>
    </row>
    <row r="1888" spans="29:73" s="1" customFormat="1" x14ac:dyDescent="0.25">
      <c r="AC1888" s="4"/>
      <c r="AD1888" s="4"/>
      <c r="AE1888" s="4"/>
      <c r="AF1888" s="4"/>
      <c r="AG1888" s="4"/>
      <c r="AH1888" s="4"/>
      <c r="AI1888" s="4"/>
      <c r="AJ1888" s="4"/>
      <c r="AK1888" s="4"/>
      <c r="AL1888" s="4"/>
      <c r="AM1888" s="4"/>
      <c r="AN1888" s="4"/>
      <c r="AO1888" s="4"/>
      <c r="AP1888" s="4"/>
      <c r="AQ1888" s="4"/>
      <c r="AR1888" s="4"/>
      <c r="AS1888" s="4"/>
      <c r="AT1888" s="4"/>
      <c r="AU1888" s="4"/>
      <c r="AV1888" s="4"/>
      <c r="AW1888" s="4"/>
      <c r="AX1888" s="4"/>
      <c r="AY1888" s="4"/>
      <c r="AZ1888" s="4"/>
      <c r="BA1888" s="4"/>
      <c r="BB1888" s="4"/>
      <c r="BC1888" s="4"/>
      <c r="BD1888" s="4"/>
      <c r="BE1888" s="4"/>
      <c r="BF1888" s="4"/>
      <c r="BG1888" s="4"/>
      <c r="BH1888" s="4"/>
      <c r="BI1888" s="4"/>
      <c r="BJ1888" s="4"/>
      <c r="BK1888" s="4"/>
      <c r="BL1888" s="4"/>
      <c r="BM1888" s="4"/>
      <c r="BN1888" s="4"/>
      <c r="BO1888" s="4"/>
      <c r="BP1888" s="4"/>
      <c r="BQ1888" s="4"/>
      <c r="BR1888" s="4"/>
      <c r="BS1888" s="4"/>
      <c r="BT1888" s="4"/>
      <c r="BU1888" s="4"/>
    </row>
    <row r="1889" spans="29:73" s="1" customFormat="1" x14ac:dyDescent="0.25">
      <c r="AC1889" s="4"/>
      <c r="AD1889" s="4"/>
      <c r="AE1889" s="4"/>
      <c r="AF1889" s="4"/>
      <c r="AG1889" s="4"/>
      <c r="AH1889" s="4"/>
      <c r="AI1889" s="4"/>
      <c r="AJ1889" s="4"/>
      <c r="AK1889" s="4"/>
      <c r="AL1889" s="4"/>
      <c r="AM1889" s="4"/>
      <c r="AN1889" s="4"/>
      <c r="AO1889" s="4"/>
      <c r="AP1889" s="4"/>
      <c r="AQ1889" s="4"/>
      <c r="AR1889" s="4"/>
      <c r="AS1889" s="4"/>
      <c r="AT1889" s="4"/>
      <c r="AU1889" s="4"/>
      <c r="AV1889" s="4"/>
      <c r="AW1889" s="4"/>
      <c r="AX1889" s="4"/>
      <c r="AY1889" s="4"/>
      <c r="AZ1889" s="4"/>
      <c r="BA1889" s="4"/>
      <c r="BB1889" s="4"/>
      <c r="BC1889" s="4"/>
      <c r="BD1889" s="4"/>
      <c r="BE1889" s="4"/>
      <c r="BF1889" s="4"/>
      <c r="BG1889" s="4"/>
      <c r="BH1889" s="4"/>
      <c r="BI1889" s="4"/>
      <c r="BJ1889" s="4"/>
      <c r="BK1889" s="4"/>
      <c r="BL1889" s="4"/>
      <c r="BM1889" s="4"/>
      <c r="BN1889" s="4"/>
      <c r="BO1889" s="4"/>
      <c r="BP1889" s="4"/>
      <c r="BQ1889" s="4"/>
      <c r="BR1889" s="4"/>
      <c r="BS1889" s="4"/>
      <c r="BT1889" s="4"/>
      <c r="BU1889" s="4"/>
    </row>
    <row r="1890" spans="29:73" s="1" customFormat="1" x14ac:dyDescent="0.25">
      <c r="AC1890" s="4"/>
      <c r="AD1890" s="4"/>
      <c r="AE1890" s="4"/>
      <c r="AF1890" s="4"/>
      <c r="AG1890" s="4"/>
      <c r="AH1890" s="4"/>
      <c r="AI1890" s="4"/>
      <c r="AJ1890" s="4"/>
      <c r="AK1890" s="4"/>
      <c r="AL1890" s="4"/>
      <c r="AM1890" s="4"/>
      <c r="AN1890" s="4"/>
      <c r="AO1890" s="4"/>
      <c r="AP1890" s="4"/>
      <c r="AQ1890" s="4"/>
      <c r="AR1890" s="4"/>
      <c r="AS1890" s="4"/>
      <c r="AT1890" s="4"/>
      <c r="AU1890" s="4"/>
      <c r="AV1890" s="4"/>
      <c r="AW1890" s="4"/>
      <c r="AX1890" s="4"/>
      <c r="AY1890" s="4"/>
      <c r="AZ1890" s="4"/>
      <c r="BA1890" s="4"/>
      <c r="BB1890" s="4"/>
      <c r="BC1890" s="4"/>
      <c r="BD1890" s="4"/>
      <c r="BE1890" s="4"/>
      <c r="BF1890" s="4"/>
      <c r="BG1890" s="4"/>
      <c r="BH1890" s="4"/>
      <c r="BI1890" s="4"/>
      <c r="BJ1890" s="4"/>
      <c r="BK1890" s="4"/>
      <c r="BL1890" s="4"/>
      <c r="BM1890" s="4"/>
      <c r="BN1890" s="4"/>
      <c r="BO1890" s="4"/>
      <c r="BP1890" s="4"/>
      <c r="BQ1890" s="4"/>
      <c r="BR1890" s="4"/>
      <c r="BS1890" s="4"/>
      <c r="BT1890" s="4"/>
      <c r="BU1890" s="4"/>
    </row>
    <row r="1891" spans="29:73" s="1" customFormat="1" x14ac:dyDescent="0.25">
      <c r="AC1891" s="4"/>
      <c r="AD1891" s="4"/>
      <c r="AE1891" s="4"/>
      <c r="AF1891" s="4"/>
      <c r="AG1891" s="4"/>
      <c r="AH1891" s="4"/>
      <c r="AI1891" s="4"/>
      <c r="AJ1891" s="4"/>
      <c r="AK1891" s="4"/>
      <c r="AL1891" s="4"/>
      <c r="AM1891" s="4"/>
      <c r="AN1891" s="4"/>
      <c r="AO1891" s="4"/>
      <c r="AP1891" s="4"/>
      <c r="AQ1891" s="4"/>
      <c r="AR1891" s="4"/>
      <c r="AS1891" s="4"/>
      <c r="AT1891" s="4"/>
      <c r="AU1891" s="4"/>
      <c r="AV1891" s="4"/>
      <c r="AW1891" s="4"/>
      <c r="AX1891" s="4"/>
      <c r="AY1891" s="4"/>
      <c r="AZ1891" s="4"/>
      <c r="BA1891" s="4"/>
      <c r="BB1891" s="4"/>
      <c r="BC1891" s="4"/>
      <c r="BD1891" s="4"/>
      <c r="BE1891" s="4"/>
      <c r="BF1891" s="4"/>
      <c r="BG1891" s="4"/>
      <c r="BH1891" s="4"/>
      <c r="BI1891" s="4"/>
      <c r="BJ1891" s="4"/>
      <c r="BK1891" s="4"/>
      <c r="BL1891" s="4"/>
      <c r="BM1891" s="4"/>
      <c r="BN1891" s="4"/>
      <c r="BO1891" s="4"/>
      <c r="BP1891" s="4"/>
      <c r="BQ1891" s="4"/>
      <c r="BR1891" s="4"/>
      <c r="BS1891" s="4"/>
      <c r="BT1891" s="4"/>
      <c r="BU1891" s="4"/>
    </row>
    <row r="1892" spans="29:73" s="1" customFormat="1" x14ac:dyDescent="0.25">
      <c r="AC1892" s="4"/>
      <c r="AD1892" s="4"/>
      <c r="AE1892" s="4"/>
      <c r="AF1892" s="4"/>
      <c r="AG1892" s="4"/>
      <c r="AH1892" s="4"/>
      <c r="AI1892" s="4"/>
      <c r="AJ1892" s="4"/>
      <c r="AK1892" s="4"/>
      <c r="AL1892" s="4"/>
      <c r="AM1892" s="4"/>
      <c r="AN1892" s="4"/>
      <c r="AO1892" s="4"/>
      <c r="AP1892" s="4"/>
      <c r="AQ1892" s="4"/>
      <c r="AR1892" s="4"/>
      <c r="AS1892" s="4"/>
      <c r="AT1892" s="4"/>
      <c r="AU1892" s="4"/>
      <c r="AV1892" s="4"/>
      <c r="AW1892" s="4"/>
      <c r="AX1892" s="4"/>
      <c r="AY1892" s="4"/>
      <c r="AZ1892" s="4"/>
      <c r="BA1892" s="4"/>
      <c r="BB1892" s="4"/>
      <c r="BC1892" s="4"/>
      <c r="BD1892" s="4"/>
      <c r="BE1892" s="4"/>
      <c r="BF1892" s="4"/>
      <c r="BG1892" s="4"/>
      <c r="BH1892" s="4"/>
      <c r="BI1892" s="4"/>
      <c r="BJ1892" s="4"/>
      <c r="BK1892" s="4"/>
      <c r="BL1892" s="4"/>
      <c r="BM1892" s="4"/>
      <c r="BN1892" s="4"/>
      <c r="BO1892" s="4"/>
      <c r="BP1892" s="4"/>
      <c r="BQ1892" s="4"/>
      <c r="BR1892" s="4"/>
      <c r="BS1892" s="4"/>
      <c r="BT1892" s="4"/>
      <c r="BU1892" s="4"/>
    </row>
    <row r="1893" spans="29:73" s="1" customFormat="1" x14ac:dyDescent="0.25">
      <c r="AC1893" s="4"/>
      <c r="AD1893" s="4"/>
      <c r="AE1893" s="4"/>
      <c r="AF1893" s="4"/>
      <c r="AG1893" s="4"/>
      <c r="AH1893" s="4"/>
      <c r="AI1893" s="4"/>
      <c r="AJ1893" s="4"/>
      <c r="AK1893" s="4"/>
      <c r="AL1893" s="4"/>
      <c r="AM1893" s="4"/>
      <c r="AN1893" s="4"/>
      <c r="AO1893" s="4"/>
      <c r="AP1893" s="4"/>
      <c r="AQ1893" s="4"/>
      <c r="AR1893" s="4"/>
      <c r="AS1893" s="4"/>
      <c r="AT1893" s="4"/>
      <c r="AU1893" s="4"/>
      <c r="AV1893" s="4"/>
      <c r="AW1893" s="4"/>
      <c r="AX1893" s="4"/>
      <c r="AY1893" s="4"/>
      <c r="AZ1893" s="4"/>
      <c r="BA1893" s="4"/>
      <c r="BB1893" s="4"/>
      <c r="BC1893" s="4"/>
      <c r="BD1893" s="4"/>
      <c r="BE1893" s="4"/>
      <c r="BF1893" s="4"/>
      <c r="BG1893" s="4"/>
      <c r="BH1893" s="4"/>
      <c r="BI1893" s="4"/>
      <c r="BJ1893" s="4"/>
      <c r="BK1893" s="4"/>
      <c r="BL1893" s="4"/>
      <c r="BM1893" s="4"/>
      <c r="BN1893" s="4"/>
      <c r="BO1893" s="4"/>
      <c r="BP1893" s="4"/>
      <c r="BQ1893" s="4"/>
      <c r="BR1893" s="4"/>
      <c r="BS1893" s="4"/>
      <c r="BT1893" s="4"/>
      <c r="BU1893" s="4"/>
    </row>
    <row r="1894" spans="29:73" s="1" customFormat="1" x14ac:dyDescent="0.25">
      <c r="AC1894" s="4"/>
      <c r="AD1894" s="4"/>
      <c r="AE1894" s="4"/>
      <c r="AF1894" s="4"/>
      <c r="AG1894" s="4"/>
      <c r="AH1894" s="4"/>
      <c r="AI1894" s="4"/>
      <c r="AJ1894" s="4"/>
      <c r="AK1894" s="4"/>
      <c r="AL1894" s="4"/>
      <c r="AM1894" s="4"/>
      <c r="AN1894" s="4"/>
      <c r="AO1894" s="4"/>
      <c r="AP1894" s="4"/>
      <c r="AQ1894" s="4"/>
      <c r="AR1894" s="4"/>
      <c r="AS1894" s="4"/>
      <c r="AT1894" s="4"/>
      <c r="AU1894" s="4"/>
      <c r="AV1894" s="4"/>
      <c r="AW1894" s="4"/>
      <c r="AX1894" s="4"/>
      <c r="AY1894" s="4"/>
      <c r="AZ1894" s="4"/>
      <c r="BA1894" s="4"/>
      <c r="BB1894" s="4"/>
      <c r="BC1894" s="4"/>
      <c r="BD1894" s="4"/>
      <c r="BE1894" s="4"/>
      <c r="BF1894" s="4"/>
      <c r="BG1894" s="4"/>
      <c r="BH1894" s="4"/>
      <c r="BI1894" s="4"/>
      <c r="BJ1894" s="4"/>
      <c r="BK1894" s="4"/>
      <c r="BL1894" s="4"/>
      <c r="BM1894" s="4"/>
      <c r="BN1894" s="4"/>
      <c r="BO1894" s="4"/>
      <c r="BP1894" s="4"/>
      <c r="BQ1894" s="4"/>
      <c r="BR1894" s="4"/>
      <c r="BS1894" s="4"/>
      <c r="BT1894" s="4"/>
      <c r="BU1894" s="4"/>
    </row>
    <row r="1895" spans="29:73" s="1" customFormat="1" x14ac:dyDescent="0.25">
      <c r="AC1895" s="4"/>
      <c r="AD1895" s="4"/>
      <c r="AE1895" s="4"/>
      <c r="AF1895" s="4"/>
      <c r="AG1895" s="4"/>
      <c r="AH1895" s="4"/>
      <c r="AI1895" s="4"/>
      <c r="AJ1895" s="4"/>
      <c r="AK1895" s="4"/>
      <c r="AL1895" s="4"/>
      <c r="AM1895" s="4"/>
      <c r="AN1895" s="4"/>
      <c r="AO1895" s="4"/>
      <c r="AP1895" s="4"/>
      <c r="AQ1895" s="4"/>
      <c r="AR1895" s="4"/>
      <c r="AS1895" s="4"/>
      <c r="AT1895" s="4"/>
      <c r="AU1895" s="4"/>
      <c r="AV1895" s="4"/>
      <c r="AW1895" s="4"/>
      <c r="AX1895" s="4"/>
      <c r="AY1895" s="4"/>
      <c r="AZ1895" s="4"/>
      <c r="BA1895" s="4"/>
      <c r="BB1895" s="4"/>
      <c r="BC1895" s="4"/>
      <c r="BD1895" s="4"/>
      <c r="BE1895" s="4"/>
      <c r="BF1895" s="4"/>
      <c r="BG1895" s="4"/>
      <c r="BH1895" s="4"/>
      <c r="BI1895" s="4"/>
      <c r="BJ1895" s="4"/>
      <c r="BK1895" s="4"/>
      <c r="BL1895" s="4"/>
      <c r="BM1895" s="4"/>
      <c r="BN1895" s="4"/>
      <c r="BO1895" s="4"/>
      <c r="BP1895" s="4"/>
      <c r="BQ1895" s="4"/>
      <c r="BR1895" s="4"/>
      <c r="BS1895" s="4"/>
      <c r="BT1895" s="4"/>
      <c r="BU1895" s="4"/>
    </row>
    <row r="1896" spans="29:73" s="1" customFormat="1" x14ac:dyDescent="0.25">
      <c r="AC1896" s="4"/>
      <c r="AD1896" s="4"/>
      <c r="AE1896" s="4"/>
      <c r="AF1896" s="4"/>
      <c r="AG1896" s="4"/>
      <c r="AH1896" s="4"/>
      <c r="AI1896" s="4"/>
      <c r="AJ1896" s="4"/>
      <c r="AK1896" s="4"/>
      <c r="AL1896" s="4"/>
      <c r="AM1896" s="4"/>
      <c r="AN1896" s="4"/>
      <c r="AO1896" s="4"/>
      <c r="AP1896" s="4"/>
      <c r="AQ1896" s="4"/>
      <c r="AR1896" s="4"/>
      <c r="AS1896" s="4"/>
      <c r="AT1896" s="4"/>
      <c r="AU1896" s="4"/>
      <c r="AV1896" s="4"/>
      <c r="AW1896" s="4"/>
      <c r="AX1896" s="4"/>
      <c r="AY1896" s="4"/>
      <c r="AZ1896" s="4"/>
      <c r="BA1896" s="4"/>
      <c r="BB1896" s="4"/>
      <c r="BC1896" s="4"/>
      <c r="BD1896" s="4"/>
      <c r="BE1896" s="4"/>
      <c r="BF1896" s="4"/>
      <c r="BG1896" s="4"/>
      <c r="BH1896" s="4"/>
      <c r="BI1896" s="4"/>
      <c r="BJ1896" s="4"/>
      <c r="BK1896" s="4"/>
      <c r="BL1896" s="4"/>
      <c r="BM1896" s="4"/>
      <c r="BN1896" s="4"/>
      <c r="BO1896" s="4"/>
      <c r="BP1896" s="4"/>
      <c r="BQ1896" s="4"/>
      <c r="BR1896" s="4"/>
      <c r="BS1896" s="4"/>
      <c r="BT1896" s="4"/>
      <c r="BU1896" s="4"/>
    </row>
    <row r="1897" spans="29:73" s="1" customFormat="1" x14ac:dyDescent="0.25">
      <c r="AC1897" s="4"/>
      <c r="AD1897" s="4"/>
      <c r="AE1897" s="4"/>
      <c r="AF1897" s="4"/>
      <c r="AG1897" s="4"/>
      <c r="AH1897" s="4"/>
      <c r="AI1897" s="4"/>
      <c r="AJ1897" s="4"/>
      <c r="AK1897" s="4"/>
      <c r="AL1897" s="4"/>
      <c r="AM1897" s="4"/>
      <c r="AN1897" s="4"/>
      <c r="AO1897" s="4"/>
      <c r="AP1897" s="4"/>
      <c r="AQ1897" s="4"/>
      <c r="AR1897" s="4"/>
      <c r="AS1897" s="4"/>
      <c r="AT1897" s="4"/>
      <c r="AU1897" s="4"/>
      <c r="AV1897" s="4"/>
      <c r="AW1897" s="4"/>
      <c r="AX1897" s="4"/>
      <c r="AY1897" s="4"/>
      <c r="AZ1897" s="4"/>
      <c r="BA1897" s="4"/>
      <c r="BB1897" s="4"/>
      <c r="BC1897" s="4"/>
      <c r="BD1897" s="4"/>
      <c r="BE1897" s="4"/>
      <c r="BF1897" s="4"/>
      <c r="BG1897" s="4"/>
      <c r="BH1897" s="4"/>
      <c r="BI1897" s="4"/>
      <c r="BJ1897" s="4"/>
      <c r="BK1897" s="4"/>
      <c r="BL1897" s="4"/>
      <c r="BM1897" s="4"/>
      <c r="BN1897" s="4"/>
      <c r="BO1897" s="4"/>
      <c r="BP1897" s="4"/>
      <c r="BQ1897" s="4"/>
      <c r="BR1897" s="4"/>
      <c r="BS1897" s="4"/>
      <c r="BT1897" s="4"/>
      <c r="BU1897" s="4"/>
    </row>
    <row r="1898" spans="29:73" s="1" customFormat="1" x14ac:dyDescent="0.25">
      <c r="AC1898" s="4"/>
      <c r="AD1898" s="4"/>
      <c r="AE1898" s="4"/>
      <c r="AF1898" s="4"/>
      <c r="AG1898" s="4"/>
      <c r="AH1898" s="4"/>
      <c r="AI1898" s="4"/>
      <c r="AJ1898" s="4"/>
      <c r="AK1898" s="4"/>
      <c r="AL1898" s="4"/>
      <c r="AM1898" s="4"/>
      <c r="AN1898" s="4"/>
      <c r="AO1898" s="4"/>
      <c r="AP1898" s="4"/>
      <c r="AQ1898" s="4"/>
      <c r="AR1898" s="4"/>
      <c r="AS1898" s="4"/>
      <c r="AT1898" s="4"/>
      <c r="AU1898" s="4"/>
      <c r="AV1898" s="4"/>
      <c r="AW1898" s="4"/>
      <c r="AX1898" s="4"/>
      <c r="AY1898" s="4"/>
      <c r="AZ1898" s="4"/>
      <c r="BA1898" s="4"/>
      <c r="BB1898" s="4"/>
      <c r="BC1898" s="4"/>
      <c r="BD1898" s="4"/>
      <c r="BE1898" s="4"/>
      <c r="BF1898" s="4"/>
      <c r="BG1898" s="4"/>
      <c r="BH1898" s="4"/>
      <c r="BI1898" s="4"/>
      <c r="BJ1898" s="4"/>
      <c r="BK1898" s="4"/>
      <c r="BL1898" s="4"/>
      <c r="BM1898" s="4"/>
      <c r="BN1898" s="4"/>
      <c r="BO1898" s="4"/>
      <c r="BP1898" s="4"/>
      <c r="BQ1898" s="4"/>
      <c r="BR1898" s="4"/>
      <c r="BS1898" s="4"/>
      <c r="BT1898" s="4"/>
      <c r="BU1898" s="4"/>
    </row>
    <row r="1899" spans="29:73" s="1" customFormat="1" x14ac:dyDescent="0.25">
      <c r="AC1899" s="4"/>
      <c r="AD1899" s="4"/>
      <c r="AE1899" s="4"/>
      <c r="AF1899" s="4"/>
      <c r="AG1899" s="4"/>
      <c r="AH1899" s="4"/>
      <c r="AI1899" s="4"/>
      <c r="AJ1899" s="4"/>
      <c r="AK1899" s="4"/>
      <c r="AL1899" s="4"/>
      <c r="AM1899" s="4"/>
      <c r="AN1899" s="4"/>
      <c r="AO1899" s="4"/>
      <c r="AP1899" s="4"/>
      <c r="AQ1899" s="4"/>
      <c r="AR1899" s="4"/>
      <c r="AS1899" s="4"/>
      <c r="AT1899" s="4"/>
      <c r="AU1899" s="4"/>
      <c r="AV1899" s="4"/>
      <c r="AW1899" s="4"/>
      <c r="AX1899" s="4"/>
      <c r="AY1899" s="4"/>
      <c r="AZ1899" s="4"/>
      <c r="BA1899" s="4"/>
      <c r="BB1899" s="4"/>
      <c r="BC1899" s="4"/>
      <c r="BD1899" s="4"/>
      <c r="BE1899" s="4"/>
      <c r="BF1899" s="4"/>
      <c r="BG1899" s="4"/>
      <c r="BH1899" s="4"/>
      <c r="BI1899" s="4"/>
      <c r="BJ1899" s="4"/>
      <c r="BK1899" s="4"/>
      <c r="BL1899" s="4"/>
      <c r="BM1899" s="4"/>
      <c r="BN1899" s="4"/>
      <c r="BO1899" s="4"/>
      <c r="BP1899" s="4"/>
      <c r="BQ1899" s="4"/>
      <c r="BR1899" s="4"/>
      <c r="BS1899" s="4"/>
      <c r="BT1899" s="4"/>
      <c r="BU1899" s="4"/>
    </row>
    <row r="1900" spans="29:73" s="1" customFormat="1" x14ac:dyDescent="0.25">
      <c r="AC1900" s="4"/>
      <c r="AD1900" s="4"/>
      <c r="AE1900" s="4"/>
      <c r="AF1900" s="4"/>
      <c r="AG1900" s="4"/>
      <c r="AH1900" s="4"/>
      <c r="AI1900" s="4"/>
      <c r="AJ1900" s="4"/>
      <c r="AK1900" s="4"/>
      <c r="AL1900" s="4"/>
      <c r="AM1900" s="4"/>
      <c r="AN1900" s="4"/>
      <c r="AO1900" s="4"/>
      <c r="AP1900" s="4"/>
      <c r="AQ1900" s="4"/>
      <c r="AR1900" s="4"/>
      <c r="AS1900" s="4"/>
      <c r="AT1900" s="4"/>
      <c r="AU1900" s="4"/>
      <c r="AV1900" s="4"/>
      <c r="AW1900" s="4"/>
      <c r="AX1900" s="4"/>
      <c r="AY1900" s="4"/>
      <c r="AZ1900" s="4"/>
      <c r="BA1900" s="4"/>
      <c r="BB1900" s="4"/>
      <c r="BC1900" s="4"/>
      <c r="BD1900" s="4"/>
      <c r="BE1900" s="4"/>
      <c r="BF1900" s="4"/>
      <c r="BG1900" s="4"/>
      <c r="BH1900" s="4"/>
      <c r="BI1900" s="4"/>
      <c r="BJ1900" s="4"/>
      <c r="BK1900" s="4"/>
      <c r="BL1900" s="4"/>
      <c r="BM1900" s="4"/>
      <c r="BN1900" s="4"/>
      <c r="BO1900" s="4"/>
      <c r="BP1900" s="4"/>
      <c r="BQ1900" s="4"/>
      <c r="BR1900" s="4"/>
      <c r="BS1900" s="4"/>
      <c r="BT1900" s="4"/>
      <c r="BU1900" s="4"/>
    </row>
    <row r="1901" spans="29:73" s="1" customFormat="1" x14ac:dyDescent="0.25">
      <c r="AC1901" s="4"/>
      <c r="AD1901" s="4"/>
      <c r="AE1901" s="4"/>
      <c r="AF1901" s="4"/>
      <c r="AG1901" s="4"/>
      <c r="AH1901" s="4"/>
      <c r="AI1901" s="4"/>
      <c r="AJ1901" s="4"/>
      <c r="AK1901" s="4"/>
      <c r="AL1901" s="4"/>
      <c r="AM1901" s="4"/>
      <c r="AN1901" s="4"/>
      <c r="AO1901" s="4"/>
      <c r="AP1901" s="4"/>
      <c r="AQ1901" s="4"/>
      <c r="AR1901" s="4"/>
      <c r="AS1901" s="4"/>
      <c r="AT1901" s="4"/>
      <c r="AU1901" s="4"/>
      <c r="AV1901" s="4"/>
      <c r="AW1901" s="4"/>
      <c r="AX1901" s="4"/>
      <c r="AY1901" s="4"/>
      <c r="AZ1901" s="4"/>
      <c r="BA1901" s="4"/>
      <c r="BB1901" s="4"/>
      <c r="BC1901" s="4"/>
      <c r="BD1901" s="4"/>
      <c r="BE1901" s="4"/>
      <c r="BF1901" s="4"/>
      <c r="BG1901" s="4"/>
      <c r="BH1901" s="4"/>
      <c r="BI1901" s="4"/>
      <c r="BJ1901" s="4"/>
      <c r="BK1901" s="4"/>
      <c r="BL1901" s="4"/>
      <c r="BM1901" s="4"/>
      <c r="BN1901" s="4"/>
      <c r="BO1901" s="4"/>
      <c r="BP1901" s="4"/>
      <c r="BQ1901" s="4"/>
      <c r="BR1901" s="4"/>
      <c r="BS1901" s="4"/>
      <c r="BT1901" s="4"/>
      <c r="BU1901" s="4"/>
    </row>
    <row r="1902" spans="29:73" s="1" customFormat="1" x14ac:dyDescent="0.25">
      <c r="AC1902" s="4"/>
      <c r="AD1902" s="4"/>
      <c r="AE1902" s="4"/>
      <c r="AF1902" s="4"/>
      <c r="AG1902" s="4"/>
      <c r="AH1902" s="4"/>
      <c r="AI1902" s="4"/>
      <c r="AJ1902" s="4"/>
      <c r="AK1902" s="4"/>
      <c r="AL1902" s="4"/>
      <c r="AM1902" s="4"/>
      <c r="AN1902" s="4"/>
      <c r="AO1902" s="4"/>
      <c r="AP1902" s="4"/>
      <c r="AQ1902" s="4"/>
      <c r="AR1902" s="4"/>
      <c r="AS1902" s="4"/>
      <c r="AT1902" s="4"/>
      <c r="AU1902" s="4"/>
      <c r="AV1902" s="4"/>
      <c r="AW1902" s="4"/>
      <c r="AX1902" s="4"/>
      <c r="AY1902" s="4"/>
      <c r="AZ1902" s="4"/>
      <c r="BA1902" s="4"/>
      <c r="BB1902" s="4"/>
      <c r="BC1902" s="4"/>
      <c r="BD1902" s="4"/>
      <c r="BE1902" s="4"/>
      <c r="BF1902" s="4"/>
      <c r="BG1902" s="4"/>
      <c r="BH1902" s="4"/>
      <c r="BI1902" s="4"/>
      <c r="BJ1902" s="4"/>
      <c r="BK1902" s="4"/>
      <c r="BL1902" s="4"/>
      <c r="BM1902" s="4"/>
      <c r="BN1902" s="4"/>
      <c r="BO1902" s="4"/>
      <c r="BP1902" s="4"/>
      <c r="BQ1902" s="4"/>
      <c r="BR1902" s="4"/>
      <c r="BS1902" s="4"/>
      <c r="BT1902" s="4"/>
      <c r="BU1902" s="4"/>
    </row>
    <row r="1903" spans="29:73" s="1" customFormat="1" x14ac:dyDescent="0.25">
      <c r="AC1903" s="4"/>
      <c r="AD1903" s="4"/>
      <c r="AE1903" s="4"/>
      <c r="AF1903" s="4"/>
      <c r="AG1903" s="4"/>
      <c r="AH1903" s="4"/>
      <c r="AI1903" s="4"/>
      <c r="AJ1903" s="4"/>
      <c r="AK1903" s="4"/>
      <c r="AL1903" s="4"/>
      <c r="AM1903" s="4"/>
      <c r="AN1903" s="4"/>
      <c r="AO1903" s="4"/>
      <c r="AP1903" s="4"/>
      <c r="AQ1903" s="4"/>
      <c r="AR1903" s="4"/>
      <c r="AS1903" s="4"/>
      <c r="AT1903" s="4"/>
      <c r="AU1903" s="4"/>
      <c r="AV1903" s="4"/>
      <c r="AW1903" s="4"/>
      <c r="AX1903" s="4"/>
      <c r="AY1903" s="4"/>
      <c r="AZ1903" s="4"/>
      <c r="BA1903" s="4"/>
      <c r="BB1903" s="4"/>
      <c r="BC1903" s="4"/>
      <c r="BD1903" s="4"/>
      <c r="BE1903" s="4"/>
      <c r="BF1903" s="4"/>
      <c r="BG1903" s="4"/>
      <c r="BH1903" s="4"/>
      <c r="BI1903" s="4"/>
      <c r="BJ1903" s="4"/>
      <c r="BK1903" s="4"/>
      <c r="BL1903" s="4"/>
      <c r="BM1903" s="4"/>
      <c r="BN1903" s="4"/>
      <c r="BO1903" s="4"/>
      <c r="BP1903" s="4"/>
      <c r="BQ1903" s="4"/>
      <c r="BR1903" s="4"/>
      <c r="BS1903" s="4"/>
      <c r="BT1903" s="4"/>
      <c r="BU1903" s="4"/>
    </row>
    <row r="1904" spans="29:73" s="1" customFormat="1" x14ac:dyDescent="0.25">
      <c r="AC1904" s="4"/>
      <c r="AD1904" s="4"/>
      <c r="AE1904" s="4"/>
      <c r="AF1904" s="4"/>
      <c r="AG1904" s="4"/>
      <c r="AH1904" s="4"/>
      <c r="AI1904" s="4"/>
      <c r="AJ1904" s="4"/>
      <c r="AK1904" s="4"/>
      <c r="AL1904" s="4"/>
      <c r="AM1904" s="4"/>
      <c r="AN1904" s="4"/>
      <c r="AO1904" s="4"/>
      <c r="AP1904" s="4"/>
      <c r="AQ1904" s="4"/>
      <c r="AR1904" s="4"/>
      <c r="AS1904" s="4"/>
      <c r="AT1904" s="4"/>
      <c r="AU1904" s="4"/>
      <c r="AV1904" s="4"/>
      <c r="AW1904" s="4"/>
      <c r="AX1904" s="4"/>
      <c r="AY1904" s="4"/>
      <c r="AZ1904" s="4"/>
      <c r="BA1904" s="4"/>
      <c r="BB1904" s="4"/>
      <c r="BC1904" s="4"/>
      <c r="BD1904" s="4"/>
      <c r="BE1904" s="4"/>
      <c r="BF1904" s="4"/>
      <c r="BG1904" s="4"/>
      <c r="BH1904" s="4"/>
      <c r="BI1904" s="4"/>
      <c r="BJ1904" s="4"/>
      <c r="BK1904" s="4"/>
      <c r="BL1904" s="4"/>
      <c r="BM1904" s="4"/>
      <c r="BN1904" s="4"/>
      <c r="BO1904" s="4"/>
      <c r="BP1904" s="4"/>
      <c r="BQ1904" s="4"/>
      <c r="BR1904" s="4"/>
      <c r="BS1904" s="4"/>
      <c r="BT1904" s="4"/>
      <c r="BU1904" s="4"/>
    </row>
    <row r="1905" spans="29:73" s="1" customFormat="1" x14ac:dyDescent="0.25">
      <c r="AC1905" s="4"/>
      <c r="AD1905" s="4"/>
      <c r="AE1905" s="4"/>
      <c r="AF1905" s="4"/>
      <c r="AG1905" s="4"/>
      <c r="AH1905" s="4"/>
      <c r="AI1905" s="4"/>
      <c r="AJ1905" s="4"/>
      <c r="AK1905" s="4"/>
      <c r="AL1905" s="4"/>
      <c r="AM1905" s="4"/>
      <c r="AN1905" s="4"/>
      <c r="AO1905" s="4"/>
      <c r="AP1905" s="4"/>
      <c r="AQ1905" s="4"/>
      <c r="AR1905" s="4"/>
      <c r="AS1905" s="4"/>
      <c r="AT1905" s="4"/>
      <c r="AU1905" s="4"/>
      <c r="AV1905" s="4"/>
      <c r="AW1905" s="4"/>
      <c r="AX1905" s="4"/>
      <c r="AY1905" s="4"/>
      <c r="AZ1905" s="4"/>
      <c r="BA1905" s="4"/>
      <c r="BB1905" s="4"/>
      <c r="BC1905" s="4"/>
      <c r="BD1905" s="4"/>
      <c r="BE1905" s="4"/>
      <c r="BF1905" s="4"/>
      <c r="BG1905" s="4"/>
      <c r="BH1905" s="4"/>
      <c r="BI1905" s="4"/>
      <c r="BJ1905" s="4"/>
      <c r="BK1905" s="4"/>
      <c r="BL1905" s="4"/>
      <c r="BM1905" s="4"/>
      <c r="BN1905" s="4"/>
      <c r="BO1905" s="4"/>
      <c r="BP1905" s="4"/>
      <c r="BQ1905" s="4"/>
      <c r="BR1905" s="4"/>
      <c r="BS1905" s="4"/>
      <c r="BT1905" s="4"/>
      <c r="BU1905" s="4"/>
    </row>
    <row r="1906" spans="29:73" s="1" customFormat="1" x14ac:dyDescent="0.25">
      <c r="AC1906" s="4"/>
      <c r="AD1906" s="4"/>
      <c r="AE1906" s="4"/>
      <c r="AF1906" s="4"/>
      <c r="AG1906" s="4"/>
      <c r="AH1906" s="4"/>
      <c r="AI1906" s="4"/>
      <c r="AJ1906" s="4"/>
      <c r="AK1906" s="4"/>
      <c r="AL1906" s="4"/>
      <c r="AM1906" s="4"/>
      <c r="AN1906" s="4"/>
      <c r="AO1906" s="4"/>
      <c r="AP1906" s="4"/>
      <c r="AQ1906" s="4"/>
      <c r="AR1906" s="4"/>
      <c r="AS1906" s="4"/>
      <c r="AT1906" s="4"/>
      <c r="AU1906" s="4"/>
      <c r="AV1906" s="4"/>
      <c r="AW1906" s="4"/>
      <c r="AX1906" s="4"/>
      <c r="AY1906" s="4"/>
      <c r="AZ1906" s="4"/>
      <c r="BA1906" s="4"/>
      <c r="BB1906" s="4"/>
      <c r="BC1906" s="4"/>
      <c r="BD1906" s="4"/>
      <c r="BE1906" s="4"/>
      <c r="BF1906" s="4"/>
      <c r="BG1906" s="4"/>
      <c r="BH1906" s="4"/>
      <c r="BI1906" s="4"/>
      <c r="BJ1906" s="4"/>
      <c r="BK1906" s="4"/>
      <c r="BL1906" s="4"/>
      <c r="BM1906" s="4"/>
      <c r="BN1906" s="4"/>
      <c r="BO1906" s="4"/>
      <c r="BP1906" s="4"/>
      <c r="BQ1906" s="4"/>
      <c r="BR1906" s="4"/>
      <c r="BS1906" s="4"/>
      <c r="BT1906" s="4"/>
      <c r="BU1906" s="4"/>
    </row>
    <row r="1907" spans="29:73" s="1" customFormat="1" x14ac:dyDescent="0.25">
      <c r="AC1907" s="4"/>
      <c r="AD1907" s="4"/>
      <c r="AE1907" s="4"/>
      <c r="AF1907" s="4"/>
      <c r="AG1907" s="4"/>
      <c r="AH1907" s="4"/>
      <c r="AI1907" s="4"/>
      <c r="AJ1907" s="4"/>
      <c r="AK1907" s="4"/>
      <c r="AL1907" s="4"/>
      <c r="AM1907" s="4"/>
      <c r="AN1907" s="4"/>
      <c r="AO1907" s="4"/>
      <c r="AP1907" s="4"/>
      <c r="AQ1907" s="4"/>
      <c r="AR1907" s="4"/>
      <c r="AS1907" s="4"/>
      <c r="AT1907" s="4"/>
      <c r="AU1907" s="4"/>
      <c r="AV1907" s="4"/>
      <c r="AW1907" s="4"/>
      <c r="AX1907" s="4"/>
      <c r="AY1907" s="4"/>
      <c r="AZ1907" s="4"/>
      <c r="BA1907" s="4"/>
      <c r="BB1907" s="4"/>
      <c r="BC1907" s="4"/>
      <c r="BD1907" s="4"/>
      <c r="BE1907" s="4"/>
      <c r="BF1907" s="4"/>
      <c r="BG1907" s="4"/>
      <c r="BH1907" s="4"/>
      <c r="BI1907" s="4"/>
      <c r="BJ1907" s="4"/>
      <c r="BK1907" s="4"/>
      <c r="BL1907" s="4"/>
      <c r="BM1907" s="4"/>
      <c r="BN1907" s="4"/>
      <c r="BO1907" s="4"/>
      <c r="BP1907" s="4"/>
      <c r="BQ1907" s="4"/>
      <c r="BR1907" s="4"/>
      <c r="BS1907" s="4"/>
      <c r="BT1907" s="4"/>
      <c r="BU1907" s="4"/>
    </row>
    <row r="1908" spans="29:73" s="1" customFormat="1" x14ac:dyDescent="0.25">
      <c r="AC1908" s="4"/>
      <c r="AD1908" s="4"/>
      <c r="AE1908" s="4"/>
      <c r="AF1908" s="4"/>
      <c r="AG1908" s="4"/>
      <c r="AH1908" s="4"/>
      <c r="AI1908" s="4"/>
      <c r="AJ1908" s="4"/>
      <c r="AK1908" s="4"/>
      <c r="AL1908" s="4"/>
      <c r="AM1908" s="4"/>
      <c r="AN1908" s="4"/>
      <c r="AO1908" s="4"/>
      <c r="AP1908" s="4"/>
      <c r="AQ1908" s="4"/>
      <c r="AR1908" s="4"/>
      <c r="AS1908" s="4"/>
      <c r="AT1908" s="4"/>
      <c r="AU1908" s="4"/>
      <c r="AV1908" s="4"/>
      <c r="AW1908" s="4"/>
      <c r="AX1908" s="4"/>
      <c r="AY1908" s="4"/>
      <c r="AZ1908" s="4"/>
      <c r="BA1908" s="4"/>
      <c r="BB1908" s="4"/>
      <c r="BC1908" s="4"/>
      <c r="BD1908" s="4"/>
      <c r="BE1908" s="4"/>
      <c r="BF1908" s="4"/>
      <c r="BG1908" s="4"/>
      <c r="BH1908" s="4"/>
      <c r="BI1908" s="4"/>
      <c r="BJ1908" s="4"/>
      <c r="BK1908" s="4"/>
      <c r="BL1908" s="4"/>
      <c r="BM1908" s="4"/>
      <c r="BN1908" s="4"/>
      <c r="BO1908" s="4"/>
      <c r="BP1908" s="4"/>
      <c r="BQ1908" s="4"/>
      <c r="BR1908" s="4"/>
      <c r="BS1908" s="4"/>
      <c r="BT1908" s="4"/>
      <c r="BU1908" s="4"/>
    </row>
    <row r="1909" spans="29:73" s="1" customFormat="1" x14ac:dyDescent="0.25">
      <c r="AC1909" s="4"/>
      <c r="AD1909" s="4"/>
      <c r="AE1909" s="4"/>
      <c r="AF1909" s="4"/>
      <c r="AG1909" s="4"/>
      <c r="AH1909" s="4"/>
      <c r="AI1909" s="4"/>
      <c r="AJ1909" s="4"/>
      <c r="AK1909" s="4"/>
      <c r="AL1909" s="4"/>
      <c r="AM1909" s="4"/>
      <c r="AN1909" s="4"/>
      <c r="AO1909" s="4"/>
      <c r="AP1909" s="4"/>
      <c r="AQ1909" s="4"/>
      <c r="AR1909" s="4"/>
      <c r="AS1909" s="4"/>
      <c r="AT1909" s="4"/>
      <c r="AU1909" s="4"/>
      <c r="AV1909" s="4"/>
      <c r="AW1909" s="4"/>
      <c r="AX1909" s="4"/>
      <c r="AY1909" s="4"/>
      <c r="AZ1909" s="4"/>
      <c r="BA1909" s="4"/>
      <c r="BB1909" s="4"/>
      <c r="BC1909" s="4"/>
      <c r="BD1909" s="4"/>
      <c r="BE1909" s="4"/>
      <c r="BF1909" s="4"/>
      <c r="BG1909" s="4"/>
      <c r="BH1909" s="4"/>
      <c r="BI1909" s="4"/>
      <c r="BJ1909" s="4"/>
      <c r="BK1909" s="4"/>
      <c r="BL1909" s="4"/>
      <c r="BM1909" s="4"/>
      <c r="BN1909" s="4"/>
      <c r="BO1909" s="4"/>
      <c r="BP1909" s="4"/>
      <c r="BQ1909" s="4"/>
      <c r="BR1909" s="4"/>
      <c r="BS1909" s="4"/>
      <c r="BT1909" s="4"/>
      <c r="BU1909" s="4"/>
    </row>
    <row r="1910" spans="29:73" s="1" customFormat="1" x14ac:dyDescent="0.25">
      <c r="AC1910" s="4"/>
      <c r="AD1910" s="4"/>
      <c r="AE1910" s="4"/>
      <c r="AF1910" s="4"/>
      <c r="AG1910" s="4"/>
      <c r="AH1910" s="4"/>
      <c r="AI1910" s="4"/>
      <c r="AJ1910" s="4"/>
      <c r="AK1910" s="4"/>
      <c r="AL1910" s="4"/>
      <c r="AM1910" s="4"/>
      <c r="AN1910" s="4"/>
      <c r="AO1910" s="4"/>
      <c r="AP1910" s="4"/>
      <c r="AQ1910" s="4"/>
      <c r="AR1910" s="4"/>
      <c r="AS1910" s="4"/>
      <c r="AT1910" s="4"/>
      <c r="AU1910" s="4"/>
      <c r="AV1910" s="4"/>
      <c r="AW1910" s="4"/>
      <c r="AX1910" s="4"/>
      <c r="AY1910" s="4"/>
      <c r="AZ1910" s="4"/>
      <c r="BA1910" s="4"/>
      <c r="BB1910" s="4"/>
      <c r="BC1910" s="4"/>
      <c r="BD1910" s="4"/>
      <c r="BE1910" s="4"/>
      <c r="BF1910" s="4"/>
      <c r="BG1910" s="4"/>
      <c r="BH1910" s="4"/>
      <c r="BI1910" s="4"/>
      <c r="BJ1910" s="4"/>
      <c r="BK1910" s="4"/>
      <c r="BL1910" s="4"/>
      <c r="BM1910" s="4"/>
      <c r="BN1910" s="4"/>
      <c r="BO1910" s="4"/>
      <c r="BP1910" s="4"/>
      <c r="BQ1910" s="4"/>
      <c r="BR1910" s="4"/>
      <c r="BS1910" s="4"/>
      <c r="BT1910" s="4"/>
      <c r="BU1910" s="4"/>
    </row>
    <row r="1911" spans="29:73" s="1" customFormat="1" x14ac:dyDescent="0.25">
      <c r="AC1911" s="4"/>
      <c r="AD1911" s="4"/>
      <c r="AE1911" s="4"/>
      <c r="AF1911" s="4"/>
      <c r="AG1911" s="4"/>
      <c r="AH1911" s="4"/>
      <c r="AI1911" s="4"/>
      <c r="AJ1911" s="4"/>
      <c r="AK1911" s="4"/>
      <c r="AL1911" s="4"/>
      <c r="AM1911" s="4"/>
      <c r="AN1911" s="4"/>
      <c r="AO1911" s="4"/>
      <c r="AP1911" s="4"/>
      <c r="AQ1911" s="4"/>
      <c r="AR1911" s="4"/>
      <c r="AS1911" s="4"/>
      <c r="AT1911" s="4"/>
      <c r="AU1911" s="4"/>
      <c r="AV1911" s="4"/>
      <c r="AW1911" s="4"/>
      <c r="AX1911" s="4"/>
      <c r="AY1911" s="4"/>
      <c r="AZ1911" s="4"/>
      <c r="BA1911" s="4"/>
      <c r="BB1911" s="4"/>
      <c r="BC1911" s="4"/>
      <c r="BD1911" s="4"/>
      <c r="BE1911" s="4"/>
      <c r="BF1911" s="4"/>
      <c r="BG1911" s="4"/>
      <c r="BH1911" s="4"/>
      <c r="BI1911" s="4"/>
      <c r="BJ1911" s="4"/>
      <c r="BK1911" s="4"/>
      <c r="BL1911" s="4"/>
      <c r="BM1911" s="4"/>
      <c r="BN1911" s="4"/>
      <c r="BO1911" s="4"/>
      <c r="BP1911" s="4"/>
      <c r="BQ1911" s="4"/>
      <c r="BR1911" s="4"/>
      <c r="BS1911" s="4"/>
      <c r="BT1911" s="4"/>
      <c r="BU1911" s="4"/>
    </row>
    <row r="1912" spans="29:73" s="1" customFormat="1" x14ac:dyDescent="0.25">
      <c r="AC1912" s="4"/>
      <c r="AD1912" s="4"/>
      <c r="AE1912" s="4"/>
      <c r="AF1912" s="4"/>
      <c r="AG1912" s="4"/>
      <c r="AH1912" s="4"/>
      <c r="AI1912" s="4"/>
      <c r="AJ1912" s="4"/>
      <c r="AK1912" s="4"/>
      <c r="AL1912" s="4"/>
      <c r="AM1912" s="4"/>
      <c r="AN1912" s="4"/>
      <c r="AO1912" s="4"/>
      <c r="AP1912" s="4"/>
      <c r="AQ1912" s="4"/>
      <c r="AR1912" s="4"/>
      <c r="AS1912" s="4"/>
      <c r="AT1912" s="4"/>
      <c r="AU1912" s="4"/>
      <c r="AV1912" s="4"/>
      <c r="AW1912" s="4"/>
      <c r="AX1912" s="4"/>
      <c r="AY1912" s="4"/>
      <c r="AZ1912" s="4"/>
      <c r="BA1912" s="4"/>
      <c r="BB1912" s="4"/>
      <c r="BC1912" s="4"/>
      <c r="BD1912" s="4"/>
      <c r="BE1912" s="4"/>
      <c r="BF1912" s="4"/>
      <c r="BG1912" s="4"/>
      <c r="BH1912" s="4"/>
      <c r="BI1912" s="4"/>
      <c r="BJ1912" s="4"/>
      <c r="BK1912" s="4"/>
      <c r="BL1912" s="4"/>
      <c r="BM1912" s="4"/>
      <c r="BN1912" s="4"/>
      <c r="BO1912" s="4"/>
      <c r="BP1912" s="4"/>
      <c r="BQ1912" s="4"/>
      <c r="BR1912" s="4"/>
      <c r="BS1912" s="4"/>
      <c r="BT1912" s="4"/>
      <c r="BU1912" s="4"/>
    </row>
    <row r="1913" spans="29:73" s="1" customFormat="1" x14ac:dyDescent="0.25">
      <c r="AC1913" s="4"/>
      <c r="AD1913" s="4"/>
      <c r="AE1913" s="4"/>
      <c r="AF1913" s="4"/>
      <c r="AG1913" s="4"/>
      <c r="AH1913" s="4"/>
      <c r="AI1913" s="4"/>
      <c r="AJ1913" s="4"/>
      <c r="AK1913" s="4"/>
      <c r="AL1913" s="4"/>
      <c r="AM1913" s="4"/>
      <c r="AN1913" s="4"/>
      <c r="AO1913" s="4"/>
      <c r="AP1913" s="4"/>
      <c r="AQ1913" s="4"/>
      <c r="AR1913" s="4"/>
      <c r="AS1913" s="4"/>
      <c r="AT1913" s="4"/>
      <c r="AU1913" s="4"/>
      <c r="AV1913" s="4"/>
      <c r="AW1913" s="4"/>
      <c r="AX1913" s="4"/>
      <c r="AY1913" s="4"/>
      <c r="AZ1913" s="4"/>
      <c r="BA1913" s="4"/>
      <c r="BB1913" s="4"/>
      <c r="BC1913" s="4"/>
      <c r="BD1913" s="4"/>
      <c r="BE1913" s="4"/>
      <c r="BF1913" s="4"/>
      <c r="BG1913" s="4"/>
      <c r="BH1913" s="4"/>
      <c r="BI1913" s="4"/>
      <c r="BJ1913" s="4"/>
      <c r="BK1913" s="4"/>
      <c r="BL1913" s="4"/>
      <c r="BM1913" s="4"/>
      <c r="BN1913" s="4"/>
      <c r="BO1913" s="4"/>
      <c r="BP1913" s="4"/>
      <c r="BQ1913" s="4"/>
      <c r="BR1913" s="4"/>
      <c r="BS1913" s="4"/>
      <c r="BT1913" s="4"/>
      <c r="BU1913" s="4"/>
    </row>
    <row r="1914" spans="29:73" s="1" customFormat="1" x14ac:dyDescent="0.25">
      <c r="AC1914" s="4"/>
      <c r="AD1914" s="4"/>
      <c r="AE1914" s="4"/>
      <c r="AF1914" s="4"/>
      <c r="AG1914" s="4"/>
      <c r="AH1914" s="4"/>
      <c r="AI1914" s="4"/>
      <c r="AJ1914" s="4"/>
      <c r="AK1914" s="4"/>
      <c r="AL1914" s="4"/>
      <c r="AM1914" s="4"/>
      <c r="AN1914" s="4"/>
      <c r="AO1914" s="4"/>
      <c r="AP1914" s="4"/>
      <c r="AQ1914" s="4"/>
      <c r="AR1914" s="4"/>
      <c r="AS1914" s="4"/>
      <c r="AT1914" s="4"/>
      <c r="AU1914" s="4"/>
      <c r="AV1914" s="4"/>
      <c r="AW1914" s="4"/>
      <c r="AX1914" s="4"/>
      <c r="AY1914" s="4"/>
      <c r="AZ1914" s="4"/>
      <c r="BA1914" s="4"/>
      <c r="BB1914" s="4"/>
      <c r="BC1914" s="4"/>
      <c r="BD1914" s="4"/>
      <c r="BE1914" s="4"/>
      <c r="BF1914" s="4"/>
      <c r="BG1914" s="4"/>
      <c r="BH1914" s="4"/>
      <c r="BI1914" s="4"/>
      <c r="BJ1914" s="4"/>
      <c r="BK1914" s="4"/>
      <c r="BL1914" s="4"/>
      <c r="BM1914" s="4"/>
      <c r="BN1914" s="4"/>
      <c r="BO1914" s="4"/>
      <c r="BP1914" s="4"/>
      <c r="BQ1914" s="4"/>
      <c r="BR1914" s="4"/>
      <c r="BS1914" s="4"/>
      <c r="BT1914" s="4"/>
      <c r="BU1914" s="4"/>
    </row>
    <row r="1915" spans="29:73" s="1" customFormat="1" x14ac:dyDescent="0.25">
      <c r="AC1915" s="4"/>
      <c r="AD1915" s="4"/>
      <c r="AE1915" s="4"/>
      <c r="AF1915" s="4"/>
      <c r="AG1915" s="4"/>
      <c r="AH1915" s="4"/>
      <c r="AI1915" s="4"/>
      <c r="AJ1915" s="4"/>
      <c r="AK1915" s="4"/>
      <c r="AL1915" s="4"/>
      <c r="AM1915" s="4"/>
      <c r="AN1915" s="4"/>
      <c r="AO1915" s="4"/>
      <c r="AP1915" s="4"/>
      <c r="AQ1915" s="4"/>
      <c r="AR1915" s="4"/>
      <c r="AS1915" s="4"/>
      <c r="AT1915" s="4"/>
      <c r="AU1915" s="4"/>
      <c r="AV1915" s="4"/>
      <c r="AW1915" s="4"/>
      <c r="AX1915" s="4"/>
      <c r="AY1915" s="4"/>
      <c r="AZ1915" s="4"/>
      <c r="BA1915" s="4"/>
      <c r="BB1915" s="4"/>
      <c r="BC1915" s="4"/>
      <c r="BD1915" s="4"/>
      <c r="BE1915" s="4"/>
      <c r="BF1915" s="4"/>
      <c r="BG1915" s="4"/>
      <c r="BH1915" s="4"/>
      <c r="BI1915" s="4"/>
      <c r="BJ1915" s="4"/>
      <c r="BK1915" s="4"/>
      <c r="BL1915" s="4"/>
      <c r="BM1915" s="4"/>
      <c r="BN1915" s="4"/>
      <c r="BO1915" s="4"/>
      <c r="BP1915" s="4"/>
      <c r="BQ1915" s="4"/>
      <c r="BR1915" s="4"/>
      <c r="BS1915" s="4"/>
      <c r="BT1915" s="4"/>
      <c r="BU1915" s="4"/>
    </row>
    <row r="1916" spans="29:73" s="1" customFormat="1" x14ac:dyDescent="0.25">
      <c r="AC1916" s="4"/>
      <c r="AD1916" s="4"/>
      <c r="AE1916" s="4"/>
      <c r="AF1916" s="4"/>
      <c r="AG1916" s="4"/>
      <c r="AH1916" s="4"/>
      <c r="AI1916" s="4"/>
      <c r="AJ1916" s="4"/>
      <c r="AK1916" s="4"/>
      <c r="AL1916" s="4"/>
      <c r="AM1916" s="4"/>
      <c r="AN1916" s="4"/>
      <c r="AO1916" s="4"/>
      <c r="AP1916" s="4"/>
      <c r="AQ1916" s="4"/>
      <c r="AR1916" s="4"/>
      <c r="AS1916" s="4"/>
      <c r="AT1916" s="4"/>
      <c r="AU1916" s="4"/>
      <c r="AV1916" s="4"/>
      <c r="AW1916" s="4"/>
      <c r="AX1916" s="4"/>
      <c r="AY1916" s="4"/>
      <c r="AZ1916" s="4"/>
      <c r="BA1916" s="4"/>
      <c r="BB1916" s="4"/>
      <c r="BC1916" s="4"/>
      <c r="BD1916" s="4"/>
      <c r="BE1916" s="4"/>
      <c r="BF1916" s="4"/>
      <c r="BG1916" s="4"/>
      <c r="BH1916" s="4"/>
      <c r="BI1916" s="4"/>
      <c r="BJ1916" s="4"/>
      <c r="BK1916" s="4"/>
      <c r="BL1916" s="4"/>
      <c r="BM1916" s="4"/>
      <c r="BN1916" s="4"/>
      <c r="BO1916" s="4"/>
      <c r="BP1916" s="4"/>
      <c r="BQ1916" s="4"/>
      <c r="BR1916" s="4"/>
      <c r="BS1916" s="4"/>
      <c r="BT1916" s="4"/>
      <c r="BU1916" s="4"/>
    </row>
    <row r="1917" spans="29:73" s="1" customFormat="1" x14ac:dyDescent="0.25">
      <c r="AC1917" s="4"/>
      <c r="AD1917" s="4"/>
      <c r="AE1917" s="4"/>
      <c r="AF1917" s="4"/>
      <c r="AG1917" s="4"/>
      <c r="AH1917" s="4"/>
      <c r="AI1917" s="4"/>
      <c r="AJ1917" s="4"/>
      <c r="AK1917" s="4"/>
      <c r="AL1917" s="4"/>
      <c r="AM1917" s="4"/>
      <c r="AN1917" s="4"/>
      <c r="AO1917" s="4"/>
      <c r="AP1917" s="4"/>
      <c r="AQ1917" s="4"/>
      <c r="AR1917" s="4"/>
      <c r="AS1917" s="4"/>
      <c r="AT1917" s="4"/>
      <c r="AU1917" s="4"/>
      <c r="AV1917" s="4"/>
      <c r="AW1917" s="4"/>
      <c r="AX1917" s="4"/>
      <c r="AY1917" s="4"/>
      <c r="AZ1917" s="4"/>
      <c r="BA1917" s="4"/>
      <c r="BB1917" s="4"/>
      <c r="BC1917" s="4"/>
      <c r="BD1917" s="4"/>
      <c r="BE1917" s="4"/>
      <c r="BF1917" s="4"/>
      <c r="BG1917" s="4"/>
      <c r="BH1917" s="4"/>
      <c r="BI1917" s="4"/>
      <c r="BJ1917" s="4"/>
      <c r="BK1917" s="4"/>
      <c r="BL1917" s="4"/>
      <c r="BM1917" s="4"/>
      <c r="BN1917" s="4"/>
      <c r="BO1917" s="4"/>
      <c r="BP1917" s="4"/>
      <c r="BQ1917" s="4"/>
      <c r="BR1917" s="4"/>
      <c r="BS1917" s="4"/>
      <c r="BT1917" s="4"/>
      <c r="BU1917" s="4"/>
    </row>
    <row r="1918" spans="29:73" s="1" customFormat="1" x14ac:dyDescent="0.25">
      <c r="AC1918" s="4"/>
      <c r="AD1918" s="4"/>
      <c r="AE1918" s="4"/>
      <c r="AF1918" s="4"/>
      <c r="AG1918" s="4"/>
      <c r="AH1918" s="4"/>
      <c r="AI1918" s="4"/>
      <c r="AJ1918" s="4"/>
      <c r="AK1918" s="4"/>
      <c r="AL1918" s="4"/>
      <c r="AM1918" s="4"/>
      <c r="AN1918" s="4"/>
      <c r="AO1918" s="4"/>
      <c r="AP1918" s="4"/>
      <c r="AQ1918" s="4"/>
      <c r="AR1918" s="4"/>
      <c r="AS1918" s="4"/>
      <c r="AT1918" s="4"/>
      <c r="AU1918" s="4"/>
      <c r="AV1918" s="4"/>
      <c r="AW1918" s="4"/>
      <c r="AX1918" s="4"/>
      <c r="AY1918" s="4"/>
      <c r="AZ1918" s="4"/>
      <c r="BA1918" s="4"/>
      <c r="BB1918" s="4"/>
      <c r="BC1918" s="4"/>
      <c r="BD1918" s="4"/>
      <c r="BE1918" s="4"/>
      <c r="BF1918" s="4"/>
      <c r="BG1918" s="4"/>
      <c r="BH1918" s="4"/>
      <c r="BI1918" s="4"/>
      <c r="BJ1918" s="4"/>
      <c r="BK1918" s="4"/>
      <c r="BL1918" s="4"/>
      <c r="BM1918" s="4"/>
      <c r="BN1918" s="4"/>
      <c r="BO1918" s="4"/>
      <c r="BP1918" s="4"/>
      <c r="BQ1918" s="4"/>
      <c r="BR1918" s="4"/>
      <c r="BS1918" s="4"/>
      <c r="BT1918" s="4"/>
      <c r="BU1918" s="4"/>
    </row>
    <row r="1919" spans="29:73" s="1" customFormat="1" x14ac:dyDescent="0.25">
      <c r="AC1919" s="4"/>
      <c r="AD1919" s="4"/>
      <c r="AE1919" s="4"/>
      <c r="AF1919" s="4"/>
      <c r="AG1919" s="4"/>
      <c r="AH1919" s="4"/>
      <c r="AI1919" s="4"/>
      <c r="AJ1919" s="4"/>
      <c r="AK1919" s="4"/>
      <c r="AL1919" s="4"/>
      <c r="AM1919" s="4"/>
      <c r="AN1919" s="4"/>
      <c r="AO1919" s="4"/>
      <c r="AP1919" s="4"/>
      <c r="AQ1919" s="4"/>
      <c r="AR1919" s="4"/>
      <c r="AS1919" s="4"/>
      <c r="AT1919" s="4"/>
      <c r="AU1919" s="4"/>
      <c r="AV1919" s="4"/>
      <c r="AW1919" s="4"/>
      <c r="AX1919" s="4"/>
      <c r="AY1919" s="4"/>
      <c r="AZ1919" s="4"/>
      <c r="BA1919" s="4"/>
      <c r="BB1919" s="4"/>
      <c r="BC1919" s="4"/>
      <c r="BD1919" s="4"/>
      <c r="BE1919" s="4"/>
      <c r="BF1919" s="4"/>
      <c r="BG1919" s="4"/>
      <c r="BH1919" s="4"/>
      <c r="BI1919" s="4"/>
      <c r="BJ1919" s="4"/>
      <c r="BK1919" s="4"/>
      <c r="BL1919" s="4"/>
      <c r="BM1919" s="4"/>
      <c r="BN1919" s="4"/>
      <c r="BO1919" s="4"/>
      <c r="BP1919" s="4"/>
      <c r="BQ1919" s="4"/>
      <c r="BR1919" s="4"/>
      <c r="BS1919" s="4"/>
      <c r="BT1919" s="4"/>
      <c r="BU1919" s="4"/>
    </row>
    <row r="1920" spans="29:73" s="1" customFormat="1" x14ac:dyDescent="0.25">
      <c r="AC1920" s="4"/>
      <c r="AD1920" s="4"/>
      <c r="AE1920" s="4"/>
      <c r="AF1920" s="4"/>
      <c r="AG1920" s="4"/>
      <c r="AH1920" s="4"/>
      <c r="AI1920" s="4"/>
      <c r="AJ1920" s="4"/>
      <c r="AK1920" s="4"/>
      <c r="AL1920" s="4"/>
      <c r="AM1920" s="4"/>
      <c r="AN1920" s="4"/>
      <c r="AO1920" s="4"/>
      <c r="AP1920" s="4"/>
      <c r="AQ1920" s="4"/>
      <c r="AR1920" s="4"/>
      <c r="AS1920" s="4"/>
      <c r="AT1920" s="4"/>
      <c r="AU1920" s="4"/>
      <c r="AV1920" s="4"/>
      <c r="AW1920" s="4"/>
      <c r="AX1920" s="4"/>
      <c r="AY1920" s="4"/>
      <c r="AZ1920" s="4"/>
      <c r="BA1920" s="4"/>
      <c r="BB1920" s="4"/>
      <c r="BC1920" s="4"/>
      <c r="BD1920" s="4"/>
      <c r="BE1920" s="4"/>
      <c r="BF1920" s="4"/>
      <c r="BG1920" s="4"/>
      <c r="BH1920" s="4"/>
      <c r="BI1920" s="4"/>
      <c r="BJ1920" s="4"/>
      <c r="BK1920" s="4"/>
      <c r="BL1920" s="4"/>
      <c r="BM1920" s="4"/>
      <c r="BN1920" s="4"/>
      <c r="BO1920" s="4"/>
      <c r="BP1920" s="4"/>
      <c r="BQ1920" s="4"/>
      <c r="BR1920" s="4"/>
      <c r="BS1920" s="4"/>
      <c r="BT1920" s="4"/>
      <c r="BU1920" s="4"/>
    </row>
    <row r="1921" spans="29:73" s="1" customFormat="1" x14ac:dyDescent="0.25">
      <c r="AC1921" s="4"/>
      <c r="AD1921" s="4"/>
      <c r="AE1921" s="4"/>
      <c r="AF1921" s="4"/>
      <c r="AG1921" s="4"/>
      <c r="AH1921" s="4"/>
      <c r="AI1921" s="4"/>
      <c r="AJ1921" s="4"/>
      <c r="AK1921" s="4"/>
      <c r="AL1921" s="4"/>
      <c r="AM1921" s="4"/>
      <c r="AN1921" s="4"/>
      <c r="AO1921" s="4"/>
      <c r="AP1921" s="4"/>
      <c r="AQ1921" s="4"/>
      <c r="AR1921" s="4"/>
      <c r="AS1921" s="4"/>
      <c r="AT1921" s="4"/>
      <c r="AU1921" s="4"/>
      <c r="AV1921" s="4"/>
      <c r="AW1921" s="4"/>
      <c r="AX1921" s="4"/>
      <c r="AY1921" s="4"/>
      <c r="AZ1921" s="4"/>
      <c r="BA1921" s="4"/>
      <c r="BB1921" s="4"/>
      <c r="BC1921" s="4"/>
      <c r="BD1921" s="4"/>
      <c r="BE1921" s="4"/>
      <c r="BF1921" s="4"/>
      <c r="BG1921" s="4"/>
      <c r="BH1921" s="4"/>
      <c r="BI1921" s="4"/>
      <c r="BJ1921" s="4"/>
      <c r="BK1921" s="4"/>
      <c r="BL1921" s="4"/>
      <c r="BM1921" s="4"/>
      <c r="BN1921" s="4"/>
      <c r="BO1921" s="4"/>
      <c r="BP1921" s="4"/>
      <c r="BQ1921" s="4"/>
      <c r="BR1921" s="4"/>
      <c r="BS1921" s="4"/>
      <c r="BT1921" s="4"/>
      <c r="BU1921" s="4"/>
    </row>
    <row r="1922" spans="29:73" s="1" customFormat="1" x14ac:dyDescent="0.25">
      <c r="AC1922" s="4"/>
      <c r="AD1922" s="4"/>
      <c r="AE1922" s="4"/>
      <c r="AF1922" s="4"/>
      <c r="AG1922" s="4"/>
      <c r="AH1922" s="4"/>
      <c r="AI1922" s="4"/>
      <c r="AJ1922" s="4"/>
      <c r="AK1922" s="4"/>
      <c r="AL1922" s="4"/>
      <c r="AM1922" s="4"/>
      <c r="AN1922" s="4"/>
      <c r="AO1922" s="4"/>
      <c r="AP1922" s="4"/>
      <c r="AQ1922" s="4"/>
      <c r="AR1922" s="4"/>
      <c r="AS1922" s="4"/>
      <c r="AT1922" s="4"/>
      <c r="AU1922" s="4"/>
      <c r="AV1922" s="4"/>
      <c r="AW1922" s="4"/>
      <c r="AX1922" s="4"/>
      <c r="AY1922" s="4"/>
      <c r="AZ1922" s="4"/>
      <c r="BA1922" s="4"/>
      <c r="BB1922" s="4"/>
      <c r="BC1922" s="4"/>
      <c r="BD1922" s="4"/>
      <c r="BE1922" s="4"/>
      <c r="BF1922" s="4"/>
      <c r="BG1922" s="4"/>
      <c r="BH1922" s="4"/>
      <c r="BI1922" s="4"/>
      <c r="BJ1922" s="4"/>
      <c r="BK1922" s="4"/>
      <c r="BL1922" s="4"/>
      <c r="BM1922" s="4"/>
      <c r="BN1922" s="4"/>
      <c r="BO1922" s="4"/>
      <c r="BP1922" s="4"/>
      <c r="BQ1922" s="4"/>
      <c r="BR1922" s="4"/>
      <c r="BS1922" s="4"/>
      <c r="BT1922" s="4"/>
      <c r="BU1922" s="4"/>
    </row>
    <row r="1923" spans="29:73" s="1" customFormat="1" x14ac:dyDescent="0.25">
      <c r="AC1923" s="4"/>
      <c r="AD1923" s="4"/>
      <c r="AE1923" s="4"/>
      <c r="AF1923" s="4"/>
      <c r="AG1923" s="4"/>
      <c r="AH1923" s="4"/>
      <c r="AI1923" s="4"/>
      <c r="AJ1923" s="4"/>
      <c r="AK1923" s="4"/>
      <c r="AL1923" s="4"/>
      <c r="AM1923" s="4"/>
      <c r="AN1923" s="4"/>
      <c r="AO1923" s="4"/>
      <c r="AP1923" s="4"/>
      <c r="AQ1923" s="4"/>
      <c r="AR1923" s="4"/>
      <c r="AS1923" s="4"/>
      <c r="AT1923" s="4"/>
      <c r="AU1923" s="4"/>
      <c r="AV1923" s="4"/>
      <c r="AW1923" s="4"/>
      <c r="AX1923" s="4"/>
      <c r="AY1923" s="4"/>
      <c r="AZ1923" s="4"/>
      <c r="BA1923" s="4"/>
      <c r="BB1923" s="4"/>
      <c r="BC1923" s="4"/>
      <c r="BD1923" s="4"/>
      <c r="BE1923" s="4"/>
      <c r="BF1923" s="4"/>
      <c r="BG1923" s="4"/>
      <c r="BH1923" s="4"/>
      <c r="BI1923" s="4"/>
      <c r="BJ1923" s="4"/>
      <c r="BK1923" s="4"/>
      <c r="BL1923" s="4"/>
      <c r="BM1923" s="4"/>
      <c r="BN1923" s="4"/>
      <c r="BO1923" s="4"/>
      <c r="BP1923" s="4"/>
      <c r="BQ1923" s="4"/>
      <c r="BR1923" s="4"/>
      <c r="BS1923" s="4"/>
      <c r="BT1923" s="4"/>
      <c r="BU1923" s="4"/>
    </row>
    <row r="1924" spans="29:73" s="1" customFormat="1" x14ac:dyDescent="0.25">
      <c r="AC1924" s="4"/>
      <c r="AD1924" s="4"/>
      <c r="AE1924" s="4"/>
      <c r="AF1924" s="4"/>
      <c r="AG1924" s="4"/>
      <c r="AH1924" s="4"/>
      <c r="AI1924" s="4"/>
      <c r="AJ1924" s="4"/>
      <c r="AK1924" s="4"/>
      <c r="AL1924" s="4"/>
      <c r="AM1924" s="4"/>
      <c r="AN1924" s="4"/>
      <c r="AO1924" s="4"/>
      <c r="AP1924" s="4"/>
      <c r="AQ1924" s="4"/>
      <c r="AR1924" s="4"/>
      <c r="AS1924" s="4"/>
      <c r="AT1924" s="4"/>
      <c r="AU1924" s="4"/>
      <c r="AV1924" s="4"/>
      <c r="AW1924" s="4"/>
      <c r="AX1924" s="4"/>
      <c r="AY1924" s="4"/>
      <c r="AZ1924" s="4"/>
      <c r="BA1924" s="4"/>
      <c r="BB1924" s="4"/>
      <c r="BC1924" s="4"/>
      <c r="BD1924" s="4"/>
      <c r="BE1924" s="4"/>
      <c r="BF1924" s="4"/>
      <c r="BG1924" s="4"/>
      <c r="BH1924" s="4"/>
      <c r="BI1924" s="4"/>
      <c r="BJ1924" s="4"/>
      <c r="BK1924" s="4"/>
      <c r="BL1924" s="4"/>
      <c r="BM1924" s="4"/>
      <c r="BN1924" s="4"/>
      <c r="BO1924" s="4"/>
      <c r="BP1924" s="4"/>
      <c r="BQ1924" s="4"/>
      <c r="BR1924" s="4"/>
      <c r="BS1924" s="4"/>
      <c r="BT1924" s="4"/>
      <c r="BU1924" s="4"/>
    </row>
    <row r="1925" spans="29:73" s="1" customFormat="1" x14ac:dyDescent="0.25">
      <c r="AC1925" s="4"/>
      <c r="AD1925" s="4"/>
      <c r="AE1925" s="4"/>
      <c r="AF1925" s="4"/>
      <c r="AG1925" s="4"/>
      <c r="AH1925" s="4"/>
      <c r="AI1925" s="4"/>
      <c r="AJ1925" s="4"/>
      <c r="AK1925" s="4"/>
      <c r="AL1925" s="4"/>
      <c r="AM1925" s="4"/>
      <c r="AN1925" s="4"/>
      <c r="AO1925" s="4"/>
      <c r="AP1925" s="4"/>
      <c r="AQ1925" s="4"/>
      <c r="AR1925" s="4"/>
      <c r="AS1925" s="4"/>
      <c r="AT1925" s="4"/>
      <c r="AU1925" s="4"/>
      <c r="AV1925" s="4"/>
      <c r="AW1925" s="4"/>
      <c r="AX1925" s="4"/>
      <c r="AY1925" s="4"/>
      <c r="AZ1925" s="4"/>
      <c r="BA1925" s="4"/>
      <c r="BB1925" s="4"/>
      <c r="BC1925" s="4"/>
      <c r="BD1925" s="4"/>
      <c r="BE1925" s="4"/>
      <c r="BF1925" s="4"/>
      <c r="BG1925" s="4"/>
      <c r="BH1925" s="4"/>
      <c r="BI1925" s="4"/>
      <c r="BJ1925" s="4"/>
      <c r="BK1925" s="4"/>
      <c r="BL1925" s="4"/>
      <c r="BM1925" s="4"/>
      <c r="BN1925" s="4"/>
      <c r="BO1925" s="4"/>
      <c r="BP1925" s="4"/>
      <c r="BQ1925" s="4"/>
      <c r="BR1925" s="4"/>
      <c r="BS1925" s="4"/>
      <c r="BT1925" s="4"/>
      <c r="BU1925" s="4"/>
    </row>
    <row r="1926" spans="29:73" s="1" customFormat="1" x14ac:dyDescent="0.25">
      <c r="AC1926" s="4"/>
      <c r="AD1926" s="4"/>
      <c r="AE1926" s="4"/>
      <c r="AF1926" s="4"/>
      <c r="AG1926" s="4"/>
      <c r="AH1926" s="4"/>
      <c r="AI1926" s="4"/>
      <c r="AJ1926" s="4"/>
      <c r="AK1926" s="4"/>
      <c r="AL1926" s="4"/>
      <c r="AM1926" s="4"/>
      <c r="AN1926" s="4"/>
      <c r="AO1926" s="4"/>
      <c r="AP1926" s="4"/>
      <c r="AQ1926" s="4"/>
      <c r="AR1926" s="4"/>
      <c r="AS1926" s="4"/>
      <c r="AT1926" s="4"/>
      <c r="AU1926" s="4"/>
      <c r="AV1926" s="4"/>
      <c r="AW1926" s="4"/>
      <c r="AX1926" s="4"/>
      <c r="AY1926" s="4"/>
      <c r="AZ1926" s="4"/>
      <c r="BA1926" s="4"/>
      <c r="BB1926" s="4"/>
      <c r="BC1926" s="4"/>
      <c r="BD1926" s="4"/>
      <c r="BE1926" s="4"/>
      <c r="BF1926" s="4"/>
      <c r="BG1926" s="4"/>
      <c r="BH1926" s="4"/>
      <c r="BI1926" s="4"/>
      <c r="BJ1926" s="4"/>
      <c r="BK1926" s="4"/>
      <c r="BL1926" s="4"/>
      <c r="BM1926" s="4"/>
      <c r="BN1926" s="4"/>
      <c r="BO1926" s="4"/>
      <c r="BP1926" s="4"/>
      <c r="BQ1926" s="4"/>
      <c r="BR1926" s="4"/>
      <c r="BS1926" s="4"/>
      <c r="BT1926" s="4"/>
      <c r="BU1926" s="4"/>
    </row>
    <row r="1927" spans="29:73" s="1" customFormat="1" x14ac:dyDescent="0.25">
      <c r="AC1927" s="4"/>
      <c r="AD1927" s="4"/>
      <c r="AE1927" s="4"/>
      <c r="AF1927" s="4"/>
      <c r="AG1927" s="4"/>
      <c r="AH1927" s="4"/>
      <c r="AI1927" s="4"/>
      <c r="AJ1927" s="4"/>
      <c r="AK1927" s="4"/>
      <c r="AL1927" s="4"/>
      <c r="AM1927" s="4"/>
      <c r="AN1927" s="4"/>
      <c r="AO1927" s="4"/>
      <c r="AP1927" s="4"/>
      <c r="AQ1927" s="4"/>
      <c r="AR1927" s="4"/>
      <c r="AS1927" s="4"/>
      <c r="AT1927" s="4"/>
      <c r="AU1927" s="4"/>
      <c r="AV1927" s="4"/>
      <c r="AW1927" s="4"/>
      <c r="AX1927" s="4"/>
      <c r="AY1927" s="4"/>
      <c r="AZ1927" s="4"/>
      <c r="BA1927" s="4"/>
      <c r="BB1927" s="4"/>
      <c r="BC1927" s="4"/>
      <c r="BD1927" s="4"/>
      <c r="BE1927" s="4"/>
      <c r="BF1927" s="4"/>
      <c r="BG1927" s="4"/>
      <c r="BH1927" s="4"/>
      <c r="BI1927" s="4"/>
      <c r="BJ1927" s="4"/>
      <c r="BK1927" s="4"/>
      <c r="BL1927" s="4"/>
      <c r="BM1927" s="4"/>
      <c r="BN1927" s="4"/>
      <c r="BO1927" s="4"/>
      <c r="BP1927" s="4"/>
      <c r="BQ1927" s="4"/>
      <c r="BR1927" s="4"/>
      <c r="BS1927" s="4"/>
      <c r="BT1927" s="4"/>
      <c r="BU1927" s="4"/>
    </row>
    <row r="1928" spans="29:73" s="1" customFormat="1" x14ac:dyDescent="0.25">
      <c r="AC1928" s="4"/>
      <c r="AD1928" s="4"/>
      <c r="AE1928" s="4"/>
      <c r="AF1928" s="4"/>
      <c r="AG1928" s="4"/>
      <c r="AH1928" s="4"/>
      <c r="AI1928" s="4"/>
      <c r="AJ1928" s="4"/>
      <c r="AK1928" s="4"/>
      <c r="AL1928" s="4"/>
      <c r="AM1928" s="4"/>
      <c r="AN1928" s="4"/>
      <c r="AO1928" s="4"/>
      <c r="AP1928" s="4"/>
      <c r="AQ1928" s="4"/>
      <c r="AR1928" s="4"/>
      <c r="AS1928" s="4"/>
      <c r="AT1928" s="4"/>
      <c r="AU1928" s="4"/>
      <c r="AV1928" s="4"/>
      <c r="AW1928" s="4"/>
      <c r="AX1928" s="4"/>
      <c r="AY1928" s="4"/>
      <c r="AZ1928" s="4"/>
      <c r="BA1928" s="4"/>
      <c r="BB1928" s="4"/>
      <c r="BC1928" s="4"/>
      <c r="BD1928" s="4"/>
      <c r="BE1928" s="4"/>
      <c r="BF1928" s="4"/>
      <c r="BG1928" s="4"/>
      <c r="BH1928" s="4"/>
      <c r="BI1928" s="4"/>
      <c r="BJ1928" s="4"/>
      <c r="BK1928" s="4"/>
      <c r="BL1928" s="4"/>
      <c r="BM1928" s="4"/>
      <c r="BN1928" s="4"/>
      <c r="BO1928" s="4"/>
      <c r="BP1928" s="4"/>
      <c r="BQ1928" s="4"/>
      <c r="BR1928" s="4"/>
      <c r="BS1928" s="4"/>
      <c r="BT1928" s="4"/>
      <c r="BU1928" s="4"/>
    </row>
    <row r="1929" spans="29:73" s="1" customFormat="1" x14ac:dyDescent="0.25">
      <c r="AC1929" s="4"/>
      <c r="AD1929" s="4"/>
      <c r="AE1929" s="4"/>
      <c r="AF1929" s="4"/>
      <c r="AG1929" s="4"/>
      <c r="AH1929" s="4"/>
      <c r="AI1929" s="4"/>
      <c r="AJ1929" s="4"/>
      <c r="AK1929" s="4"/>
      <c r="AL1929" s="4"/>
      <c r="AM1929" s="4"/>
      <c r="AN1929" s="4"/>
      <c r="AO1929" s="4"/>
      <c r="AP1929" s="4"/>
      <c r="AQ1929" s="4"/>
      <c r="AR1929" s="4"/>
      <c r="AS1929" s="4"/>
      <c r="AT1929" s="4"/>
      <c r="AU1929" s="4"/>
      <c r="AV1929" s="4"/>
      <c r="AW1929" s="4"/>
      <c r="AX1929" s="4"/>
      <c r="AY1929" s="4"/>
      <c r="AZ1929" s="4"/>
      <c r="BA1929" s="4"/>
      <c r="BB1929" s="4"/>
      <c r="BC1929" s="4"/>
      <c r="BD1929" s="4"/>
      <c r="BE1929" s="4"/>
      <c r="BF1929" s="4"/>
      <c r="BG1929" s="4"/>
      <c r="BH1929" s="4"/>
      <c r="BI1929" s="4"/>
      <c r="BJ1929" s="4"/>
      <c r="BK1929" s="4"/>
      <c r="BL1929" s="4"/>
      <c r="BM1929" s="4"/>
      <c r="BN1929" s="4"/>
      <c r="BO1929" s="4"/>
      <c r="BP1929" s="4"/>
      <c r="BQ1929" s="4"/>
      <c r="BR1929" s="4"/>
      <c r="BS1929" s="4"/>
      <c r="BT1929" s="4"/>
      <c r="BU1929" s="4"/>
    </row>
    <row r="1930" spans="29:73" s="1" customFormat="1" x14ac:dyDescent="0.25">
      <c r="AC1930" s="4"/>
      <c r="AD1930" s="4"/>
      <c r="AE1930" s="4"/>
      <c r="AF1930" s="4"/>
      <c r="AG1930" s="4"/>
      <c r="AH1930" s="4"/>
      <c r="AI1930" s="4"/>
      <c r="AJ1930" s="4"/>
      <c r="AK1930" s="4"/>
      <c r="AL1930" s="4"/>
      <c r="AM1930" s="4"/>
      <c r="AN1930" s="4"/>
      <c r="AO1930" s="4"/>
      <c r="AP1930" s="4"/>
      <c r="AQ1930" s="4"/>
      <c r="AR1930" s="4"/>
      <c r="AS1930" s="4"/>
      <c r="AT1930" s="4"/>
      <c r="AU1930" s="4"/>
      <c r="AV1930" s="4"/>
      <c r="AW1930" s="4"/>
      <c r="AX1930" s="4"/>
      <c r="AY1930" s="4"/>
      <c r="AZ1930" s="4"/>
      <c r="BA1930" s="4"/>
      <c r="BB1930" s="4"/>
      <c r="BC1930" s="4"/>
      <c r="BD1930" s="4"/>
      <c r="BE1930" s="4"/>
      <c r="BF1930" s="4"/>
      <c r="BG1930" s="4"/>
      <c r="BH1930" s="4"/>
      <c r="BI1930" s="4"/>
      <c r="BJ1930" s="4"/>
      <c r="BK1930" s="4"/>
      <c r="BL1930" s="4"/>
      <c r="BM1930" s="4"/>
      <c r="BN1930" s="4"/>
      <c r="BO1930" s="4"/>
      <c r="BP1930" s="4"/>
      <c r="BQ1930" s="4"/>
      <c r="BR1930" s="4"/>
      <c r="BS1930" s="4"/>
      <c r="BT1930" s="4"/>
      <c r="BU1930" s="4"/>
    </row>
    <row r="1931" spans="29:73" s="1" customFormat="1" x14ac:dyDescent="0.25">
      <c r="AC1931" s="4"/>
      <c r="AD1931" s="4"/>
      <c r="AE1931" s="4"/>
      <c r="AF1931" s="4"/>
      <c r="AG1931" s="4"/>
      <c r="AH1931" s="4"/>
      <c r="AI1931" s="4"/>
      <c r="AJ1931" s="4"/>
      <c r="AK1931" s="4"/>
      <c r="AL1931" s="4"/>
      <c r="AM1931" s="4"/>
      <c r="AN1931" s="4"/>
      <c r="AO1931" s="4"/>
      <c r="AP1931" s="4"/>
      <c r="AQ1931" s="4"/>
      <c r="AR1931" s="4"/>
      <c r="AS1931" s="4"/>
      <c r="AT1931" s="4"/>
      <c r="AU1931" s="4"/>
      <c r="AV1931" s="4"/>
      <c r="AW1931" s="4"/>
      <c r="AX1931" s="4"/>
      <c r="AY1931" s="4"/>
      <c r="AZ1931" s="4"/>
      <c r="BA1931" s="4"/>
      <c r="BB1931" s="4"/>
      <c r="BC1931" s="4"/>
      <c r="BD1931" s="4"/>
      <c r="BE1931" s="4"/>
      <c r="BF1931" s="4"/>
      <c r="BG1931" s="4"/>
      <c r="BH1931" s="4"/>
      <c r="BI1931" s="4"/>
      <c r="BJ1931" s="4"/>
      <c r="BK1931" s="4"/>
      <c r="BL1931" s="4"/>
      <c r="BM1931" s="4"/>
      <c r="BN1931" s="4"/>
      <c r="BO1931" s="4"/>
      <c r="BP1931" s="4"/>
      <c r="BQ1931" s="4"/>
      <c r="BR1931" s="4"/>
      <c r="BS1931" s="4"/>
      <c r="BT1931" s="4"/>
      <c r="BU1931" s="4"/>
    </row>
    <row r="1932" spans="29:73" s="1" customFormat="1" x14ac:dyDescent="0.25">
      <c r="AC1932" s="4"/>
      <c r="AD1932" s="4"/>
      <c r="AE1932" s="4"/>
      <c r="AF1932" s="4"/>
      <c r="AG1932" s="4"/>
      <c r="AH1932" s="4"/>
      <c r="AI1932" s="4"/>
      <c r="AJ1932" s="4"/>
      <c r="AK1932" s="4"/>
      <c r="AL1932" s="4"/>
      <c r="AM1932" s="4"/>
      <c r="AN1932" s="4"/>
      <c r="AO1932" s="4"/>
      <c r="AP1932" s="4"/>
      <c r="AQ1932" s="4"/>
      <c r="AR1932" s="4"/>
      <c r="AS1932" s="4"/>
      <c r="AT1932" s="4"/>
      <c r="AU1932" s="4"/>
      <c r="AV1932" s="4"/>
      <c r="AW1932" s="4"/>
      <c r="AX1932" s="4"/>
      <c r="AY1932" s="4"/>
      <c r="AZ1932" s="4"/>
      <c r="BA1932" s="4"/>
      <c r="BB1932" s="4"/>
      <c r="BC1932" s="4"/>
      <c r="BD1932" s="4"/>
      <c r="BE1932" s="4"/>
      <c r="BF1932" s="4"/>
      <c r="BG1932" s="4"/>
      <c r="BH1932" s="4"/>
      <c r="BI1932" s="4"/>
      <c r="BJ1932" s="4"/>
      <c r="BK1932" s="4"/>
      <c r="BL1932" s="4"/>
      <c r="BM1932" s="4"/>
      <c r="BN1932" s="4"/>
      <c r="BO1932" s="4"/>
      <c r="BP1932" s="4"/>
      <c r="BQ1932" s="4"/>
      <c r="BR1932" s="4"/>
      <c r="BS1932" s="4"/>
      <c r="BT1932" s="4"/>
      <c r="BU1932" s="4"/>
    </row>
    <row r="1933" spans="29:73" s="1" customFormat="1" x14ac:dyDescent="0.25">
      <c r="AC1933" s="4"/>
      <c r="AD1933" s="4"/>
      <c r="AE1933" s="4"/>
      <c r="AF1933" s="4"/>
      <c r="AG1933" s="4"/>
      <c r="AH1933" s="4"/>
      <c r="AI1933" s="4"/>
      <c r="AJ1933" s="4"/>
      <c r="AK1933" s="4"/>
      <c r="AL1933" s="4"/>
      <c r="AM1933" s="4"/>
      <c r="AN1933" s="4"/>
      <c r="AO1933" s="4"/>
      <c r="AP1933" s="4"/>
      <c r="AQ1933" s="4"/>
      <c r="AR1933" s="4"/>
      <c r="AS1933" s="4"/>
      <c r="AT1933" s="4"/>
      <c r="AU1933" s="4"/>
      <c r="AV1933" s="4"/>
      <c r="AW1933" s="4"/>
      <c r="AX1933" s="4"/>
      <c r="AY1933" s="4"/>
      <c r="AZ1933" s="4"/>
      <c r="BA1933" s="4"/>
      <c r="BB1933" s="4"/>
      <c r="BC1933" s="4"/>
      <c r="BD1933" s="4"/>
      <c r="BE1933" s="4"/>
      <c r="BF1933" s="4"/>
      <c r="BG1933" s="4"/>
      <c r="BH1933" s="4"/>
      <c r="BI1933" s="4"/>
      <c r="BJ1933" s="4"/>
      <c r="BK1933" s="4"/>
      <c r="BL1933" s="4"/>
      <c r="BM1933" s="4"/>
      <c r="BN1933" s="4"/>
      <c r="BO1933" s="4"/>
      <c r="BP1933" s="4"/>
      <c r="BQ1933" s="4"/>
      <c r="BR1933" s="4"/>
      <c r="BS1933" s="4"/>
      <c r="BT1933" s="4"/>
      <c r="BU1933" s="4"/>
    </row>
    <row r="1934" spans="29:73" s="1" customFormat="1" x14ac:dyDescent="0.25">
      <c r="AC1934" s="4"/>
      <c r="AD1934" s="4"/>
      <c r="AE1934" s="4"/>
      <c r="AF1934" s="4"/>
      <c r="AG1934" s="4"/>
      <c r="AH1934" s="4"/>
      <c r="AI1934" s="4"/>
      <c r="AJ1934" s="4"/>
      <c r="AK1934" s="4"/>
      <c r="AL1934" s="4"/>
      <c r="AM1934" s="4"/>
      <c r="AN1934" s="4"/>
      <c r="AO1934" s="4"/>
      <c r="AP1934" s="4"/>
      <c r="AQ1934" s="4"/>
      <c r="AR1934" s="4"/>
      <c r="AS1934" s="4"/>
      <c r="AT1934" s="4"/>
      <c r="AU1934" s="4"/>
      <c r="AV1934" s="4"/>
      <c r="AW1934" s="4"/>
      <c r="AX1934" s="4"/>
      <c r="AY1934" s="4"/>
      <c r="AZ1934" s="4"/>
      <c r="BA1934" s="4"/>
      <c r="BB1934" s="4"/>
      <c r="BC1934" s="4"/>
      <c r="BD1934" s="4"/>
      <c r="BE1934" s="4"/>
      <c r="BF1934" s="4"/>
      <c r="BG1934" s="4"/>
      <c r="BH1934" s="4"/>
      <c r="BI1934" s="4"/>
      <c r="BJ1934" s="4"/>
      <c r="BK1934" s="4"/>
      <c r="BL1934" s="4"/>
      <c r="BM1934" s="4"/>
      <c r="BN1934" s="4"/>
      <c r="BO1934" s="4"/>
      <c r="BP1934" s="4"/>
      <c r="BQ1934" s="4"/>
      <c r="BR1934" s="4"/>
      <c r="BS1934" s="4"/>
      <c r="BT1934" s="4"/>
      <c r="BU1934" s="4"/>
    </row>
    <row r="1935" spans="29:73" s="1" customFormat="1" x14ac:dyDescent="0.25">
      <c r="AC1935" s="4"/>
      <c r="AD1935" s="4"/>
      <c r="AE1935" s="4"/>
      <c r="AF1935" s="4"/>
      <c r="AG1935" s="4"/>
      <c r="AH1935" s="4"/>
      <c r="AI1935" s="4"/>
      <c r="AJ1935" s="4"/>
      <c r="AK1935" s="4"/>
      <c r="AL1935" s="4"/>
      <c r="AM1935" s="4"/>
      <c r="AN1935" s="4"/>
      <c r="AO1935" s="4"/>
      <c r="AP1935" s="4"/>
      <c r="AQ1935" s="4"/>
      <c r="AR1935" s="4"/>
      <c r="AS1935" s="4"/>
      <c r="AT1935" s="4"/>
      <c r="AU1935" s="4"/>
      <c r="AV1935" s="4"/>
      <c r="AW1935" s="4"/>
      <c r="AX1935" s="4"/>
      <c r="AY1935" s="4"/>
      <c r="AZ1935" s="4"/>
      <c r="BA1935" s="4"/>
      <c r="BB1935" s="4"/>
      <c r="BC1935" s="4"/>
      <c r="BD1935" s="4"/>
      <c r="BE1935" s="4"/>
      <c r="BF1935" s="4"/>
      <c r="BG1935" s="4"/>
      <c r="BH1935" s="4"/>
      <c r="BI1935" s="4"/>
      <c r="BJ1935" s="4"/>
      <c r="BK1935" s="4"/>
      <c r="BL1935" s="4"/>
      <c r="BM1935" s="4"/>
      <c r="BN1935" s="4"/>
      <c r="BO1935" s="4"/>
      <c r="BP1935" s="4"/>
      <c r="BQ1935" s="4"/>
      <c r="BR1935" s="4"/>
      <c r="BS1935" s="4"/>
      <c r="BT1935" s="4"/>
      <c r="BU1935" s="4"/>
    </row>
    <row r="1936" spans="29:73" s="1" customFormat="1" x14ac:dyDescent="0.25">
      <c r="AC1936" s="4"/>
      <c r="AD1936" s="4"/>
      <c r="AE1936" s="4"/>
      <c r="AF1936" s="4"/>
      <c r="AG1936" s="4"/>
      <c r="AH1936" s="4"/>
      <c r="AI1936" s="4"/>
      <c r="AJ1936" s="4"/>
      <c r="AK1936" s="4"/>
      <c r="AL1936" s="4"/>
      <c r="AM1936" s="4"/>
      <c r="AN1936" s="4"/>
      <c r="AO1936" s="4"/>
      <c r="AP1936" s="4"/>
      <c r="AQ1936" s="4"/>
      <c r="AR1936" s="4"/>
      <c r="AS1936" s="4"/>
      <c r="AT1936" s="4"/>
      <c r="AU1936" s="4"/>
      <c r="AV1936" s="4"/>
      <c r="AW1936" s="4"/>
      <c r="AX1936" s="4"/>
      <c r="AY1936" s="4"/>
      <c r="AZ1936" s="4"/>
      <c r="BA1936" s="4"/>
      <c r="BB1936" s="4"/>
      <c r="BC1936" s="4"/>
      <c r="BD1936" s="4"/>
      <c r="BE1936" s="4"/>
      <c r="BF1936" s="4"/>
      <c r="BG1936" s="4"/>
      <c r="BH1936" s="4"/>
      <c r="BI1936" s="4"/>
      <c r="BJ1936" s="4"/>
      <c r="BK1936" s="4"/>
      <c r="BL1936" s="4"/>
      <c r="BM1936" s="4"/>
      <c r="BN1936" s="4"/>
      <c r="BO1936" s="4"/>
      <c r="BP1936" s="4"/>
      <c r="BQ1936" s="4"/>
      <c r="BR1936" s="4"/>
      <c r="BS1936" s="4"/>
      <c r="BT1936" s="4"/>
      <c r="BU1936" s="4"/>
    </row>
    <row r="1937" spans="29:73" s="1" customFormat="1" x14ac:dyDescent="0.25">
      <c r="AC1937" s="4"/>
      <c r="AD1937" s="4"/>
      <c r="AE1937" s="4"/>
      <c r="AF1937" s="4"/>
      <c r="AG1937" s="4"/>
      <c r="AH1937" s="4"/>
      <c r="AI1937" s="4"/>
      <c r="AJ1937" s="4"/>
      <c r="AK1937" s="4"/>
      <c r="AL1937" s="4"/>
      <c r="AM1937" s="4"/>
      <c r="AN1937" s="4"/>
      <c r="AO1937" s="4"/>
      <c r="AP1937" s="4"/>
      <c r="AQ1937" s="4"/>
      <c r="AR1937" s="4"/>
      <c r="AS1937" s="4"/>
      <c r="AT1937" s="4"/>
      <c r="AU1937" s="4"/>
      <c r="AV1937" s="4"/>
      <c r="AW1937" s="4"/>
      <c r="AX1937" s="4"/>
      <c r="AY1937" s="4"/>
      <c r="AZ1937" s="4"/>
      <c r="BA1937" s="4"/>
      <c r="BB1937" s="4"/>
      <c r="BC1937" s="4"/>
      <c r="BD1937" s="4"/>
      <c r="BE1937" s="4"/>
      <c r="BF1937" s="4"/>
      <c r="BG1937" s="4"/>
      <c r="BH1937" s="4"/>
      <c r="BI1937" s="4"/>
      <c r="BJ1937" s="4"/>
      <c r="BK1937" s="4"/>
      <c r="BL1937" s="4"/>
      <c r="BM1937" s="4"/>
      <c r="BN1937" s="4"/>
      <c r="BO1937" s="4"/>
      <c r="BP1937" s="4"/>
      <c r="BQ1937" s="4"/>
      <c r="BR1937" s="4"/>
      <c r="BS1937" s="4"/>
      <c r="BT1937" s="4"/>
      <c r="BU1937" s="4"/>
    </row>
    <row r="1938" spans="29:73" s="1" customFormat="1" x14ac:dyDescent="0.25">
      <c r="AC1938" s="4"/>
      <c r="AD1938" s="4"/>
      <c r="AE1938" s="4"/>
      <c r="AF1938" s="4"/>
      <c r="AG1938" s="4"/>
      <c r="AH1938" s="4"/>
      <c r="AI1938" s="4"/>
      <c r="AJ1938" s="4"/>
      <c r="AK1938" s="4"/>
      <c r="AL1938" s="4"/>
      <c r="AM1938" s="4"/>
      <c r="AN1938" s="4"/>
      <c r="AO1938" s="4"/>
      <c r="AP1938" s="4"/>
      <c r="AQ1938" s="4"/>
      <c r="AR1938" s="4"/>
      <c r="AS1938" s="4"/>
      <c r="AT1938" s="4"/>
      <c r="AU1938" s="4"/>
      <c r="AV1938" s="4"/>
      <c r="AW1938" s="4"/>
      <c r="AX1938" s="4"/>
      <c r="AY1938" s="4"/>
      <c r="AZ1938" s="4"/>
      <c r="BA1938" s="4"/>
      <c r="BB1938" s="4"/>
      <c r="BC1938" s="4"/>
      <c r="BD1938" s="4"/>
      <c r="BE1938" s="4"/>
      <c r="BF1938" s="4"/>
      <c r="BG1938" s="4"/>
      <c r="BH1938" s="4"/>
      <c r="BI1938" s="4"/>
      <c r="BJ1938" s="4"/>
      <c r="BK1938" s="4"/>
      <c r="BL1938" s="4"/>
      <c r="BM1938" s="4"/>
      <c r="BN1938" s="4"/>
      <c r="BO1938" s="4"/>
      <c r="BP1938" s="4"/>
      <c r="BQ1938" s="4"/>
      <c r="BR1938" s="4"/>
      <c r="BS1938" s="4"/>
      <c r="BT1938" s="4"/>
      <c r="BU1938" s="4"/>
    </row>
    <row r="1939" spans="29:73" s="1" customFormat="1" x14ac:dyDescent="0.25">
      <c r="AC1939" s="4"/>
      <c r="AD1939" s="4"/>
      <c r="AE1939" s="4"/>
      <c r="AF1939" s="4"/>
      <c r="AG1939" s="4"/>
      <c r="AH1939" s="4"/>
      <c r="AI1939" s="4"/>
      <c r="AJ1939" s="4"/>
      <c r="AK1939" s="4"/>
      <c r="AL1939" s="4"/>
      <c r="AM1939" s="4"/>
      <c r="AN1939" s="4"/>
      <c r="AO1939" s="4"/>
      <c r="AP1939" s="4"/>
      <c r="AQ1939" s="4"/>
      <c r="AR1939" s="4"/>
      <c r="AS1939" s="4"/>
      <c r="AT1939" s="4"/>
      <c r="AU1939" s="4"/>
      <c r="AV1939" s="4"/>
      <c r="AW1939" s="4"/>
      <c r="AX1939" s="4"/>
      <c r="AY1939" s="4"/>
      <c r="AZ1939" s="4"/>
      <c r="BA1939" s="4"/>
      <c r="BB1939" s="4"/>
      <c r="BC1939" s="4"/>
      <c r="BD1939" s="4"/>
      <c r="BE1939" s="4"/>
      <c r="BF1939" s="4"/>
      <c r="BG1939" s="4"/>
      <c r="BH1939" s="4"/>
      <c r="BI1939" s="4"/>
      <c r="BJ1939" s="4"/>
      <c r="BK1939" s="4"/>
      <c r="BL1939" s="4"/>
      <c r="BM1939" s="4"/>
      <c r="BN1939" s="4"/>
      <c r="BO1939" s="4"/>
      <c r="BP1939" s="4"/>
      <c r="BQ1939" s="4"/>
      <c r="BR1939" s="4"/>
      <c r="BS1939" s="4"/>
      <c r="BT1939" s="4"/>
      <c r="BU1939" s="4"/>
    </row>
    <row r="1940" spans="29:73" s="1" customFormat="1" x14ac:dyDescent="0.25">
      <c r="AC1940" s="4"/>
      <c r="AD1940" s="4"/>
      <c r="AE1940" s="4"/>
      <c r="AF1940" s="4"/>
      <c r="AG1940" s="4"/>
      <c r="AH1940" s="4"/>
      <c r="AI1940" s="4"/>
      <c r="AJ1940" s="4"/>
      <c r="AK1940" s="4"/>
      <c r="AL1940" s="4"/>
      <c r="AM1940" s="4"/>
      <c r="AN1940" s="4"/>
      <c r="AO1940" s="4"/>
      <c r="AP1940" s="4"/>
      <c r="AQ1940" s="4"/>
      <c r="AR1940" s="4"/>
      <c r="AS1940" s="4"/>
      <c r="AT1940" s="4"/>
      <c r="AU1940" s="4"/>
      <c r="AV1940" s="4"/>
      <c r="AW1940" s="4"/>
      <c r="AX1940" s="4"/>
      <c r="AY1940" s="4"/>
      <c r="AZ1940" s="4"/>
      <c r="BA1940" s="4"/>
      <c r="BB1940" s="4"/>
      <c r="BC1940" s="4"/>
      <c r="BD1940" s="4"/>
      <c r="BE1940" s="4"/>
      <c r="BF1940" s="4"/>
      <c r="BG1940" s="4"/>
      <c r="BH1940" s="4"/>
      <c r="BI1940" s="4"/>
      <c r="BJ1940" s="4"/>
      <c r="BK1940" s="4"/>
      <c r="BL1940" s="4"/>
      <c r="BM1940" s="4"/>
      <c r="BN1940" s="4"/>
      <c r="BO1940" s="4"/>
      <c r="BP1940" s="4"/>
      <c r="BQ1940" s="4"/>
      <c r="BR1940" s="4"/>
      <c r="BS1940" s="4"/>
      <c r="BT1940" s="4"/>
      <c r="BU1940" s="4"/>
    </row>
    <row r="1941" spans="29:73" s="1" customFormat="1" x14ac:dyDescent="0.25">
      <c r="AC1941" s="4"/>
      <c r="AD1941" s="4"/>
      <c r="AE1941" s="4"/>
      <c r="AF1941" s="4"/>
      <c r="AG1941" s="4"/>
      <c r="AH1941" s="4"/>
      <c r="AI1941" s="4"/>
      <c r="AJ1941" s="4"/>
      <c r="AK1941" s="4"/>
      <c r="AL1941" s="4"/>
      <c r="AM1941" s="4"/>
      <c r="AN1941" s="4"/>
      <c r="AO1941" s="4"/>
      <c r="AP1941" s="4"/>
      <c r="AQ1941" s="4"/>
      <c r="AR1941" s="4"/>
      <c r="AS1941" s="4"/>
      <c r="AT1941" s="4"/>
      <c r="AU1941" s="4"/>
      <c r="AV1941" s="4"/>
      <c r="AW1941" s="4"/>
      <c r="AX1941" s="4"/>
      <c r="AY1941" s="4"/>
      <c r="AZ1941" s="4"/>
      <c r="BA1941" s="4"/>
      <c r="BB1941" s="4"/>
      <c r="BC1941" s="4"/>
      <c r="BD1941" s="4"/>
      <c r="BE1941" s="4"/>
      <c r="BF1941" s="4"/>
      <c r="BG1941" s="4"/>
      <c r="BH1941" s="4"/>
      <c r="BI1941" s="4"/>
      <c r="BJ1941" s="4"/>
      <c r="BK1941" s="4"/>
      <c r="BL1941" s="4"/>
      <c r="BM1941" s="4"/>
      <c r="BN1941" s="4"/>
      <c r="BO1941" s="4"/>
      <c r="BP1941" s="4"/>
      <c r="BQ1941" s="4"/>
      <c r="BR1941" s="4"/>
      <c r="BS1941" s="4"/>
      <c r="BT1941" s="4"/>
      <c r="BU1941" s="4"/>
    </row>
    <row r="1942" spans="29:73" s="1" customFormat="1" x14ac:dyDescent="0.25">
      <c r="AC1942" s="4"/>
      <c r="AD1942" s="4"/>
      <c r="AE1942" s="4"/>
      <c r="AF1942" s="4"/>
      <c r="AG1942" s="4"/>
      <c r="AH1942" s="4"/>
      <c r="AI1942" s="4"/>
      <c r="AJ1942" s="4"/>
      <c r="AK1942" s="4"/>
      <c r="AL1942" s="4"/>
      <c r="AM1942" s="4"/>
      <c r="AN1942" s="4"/>
      <c r="AO1942" s="4"/>
      <c r="AP1942" s="4"/>
      <c r="AQ1942" s="4"/>
      <c r="AR1942" s="4"/>
      <c r="AS1942" s="4"/>
      <c r="AT1942" s="4"/>
      <c r="AU1942" s="4"/>
      <c r="AV1942" s="4"/>
      <c r="AW1942" s="4"/>
      <c r="AX1942" s="4"/>
      <c r="AY1942" s="4"/>
      <c r="AZ1942" s="4"/>
      <c r="BA1942" s="4"/>
      <c r="BB1942" s="4"/>
      <c r="BC1942" s="4"/>
      <c r="BD1942" s="4"/>
      <c r="BE1942" s="4"/>
      <c r="BF1942" s="4"/>
      <c r="BG1942" s="4"/>
      <c r="BH1942" s="4"/>
      <c r="BI1942" s="4"/>
      <c r="BJ1942" s="4"/>
      <c r="BK1942" s="4"/>
      <c r="BL1942" s="4"/>
      <c r="BM1942" s="4"/>
      <c r="BN1942" s="4"/>
      <c r="BO1942" s="4"/>
      <c r="BP1942" s="4"/>
      <c r="BQ1942" s="4"/>
      <c r="BR1942" s="4"/>
      <c r="BS1942" s="4"/>
      <c r="BT1942" s="4"/>
      <c r="BU1942" s="4"/>
    </row>
    <row r="1943" spans="29:73" s="1" customFormat="1" x14ac:dyDescent="0.25">
      <c r="AC1943" s="4"/>
      <c r="AD1943" s="4"/>
      <c r="AE1943" s="4"/>
      <c r="AF1943" s="4"/>
      <c r="AG1943" s="4"/>
      <c r="AH1943" s="4"/>
      <c r="AI1943" s="4"/>
      <c r="AJ1943" s="4"/>
      <c r="AK1943" s="4"/>
      <c r="AL1943" s="4"/>
      <c r="AM1943" s="4"/>
      <c r="AN1943" s="4"/>
      <c r="AO1943" s="4"/>
      <c r="AP1943" s="4"/>
      <c r="AQ1943" s="4"/>
      <c r="AR1943" s="4"/>
      <c r="AS1943" s="4"/>
      <c r="AT1943" s="4"/>
      <c r="AU1943" s="4"/>
      <c r="AV1943" s="4"/>
      <c r="AW1943" s="4"/>
      <c r="AX1943" s="4"/>
      <c r="AY1943" s="4"/>
      <c r="AZ1943" s="4"/>
      <c r="BA1943" s="4"/>
      <c r="BB1943" s="4"/>
      <c r="BC1943" s="4"/>
      <c r="BD1943" s="4"/>
      <c r="BE1943" s="4"/>
      <c r="BF1943" s="4"/>
      <c r="BG1943" s="4"/>
      <c r="BH1943" s="4"/>
      <c r="BI1943" s="4"/>
      <c r="BJ1943" s="4"/>
      <c r="BK1943" s="4"/>
      <c r="BL1943" s="4"/>
      <c r="BM1943" s="4"/>
      <c r="BN1943" s="4"/>
      <c r="BO1943" s="4"/>
      <c r="BP1943" s="4"/>
      <c r="BQ1943" s="4"/>
      <c r="BR1943" s="4"/>
      <c r="BS1943" s="4"/>
      <c r="BT1943" s="4"/>
      <c r="BU1943" s="4"/>
    </row>
    <row r="1944" spans="29:73" s="1" customFormat="1" x14ac:dyDescent="0.25">
      <c r="AC1944" s="4"/>
      <c r="AD1944" s="4"/>
      <c r="AE1944" s="4"/>
      <c r="AF1944" s="4"/>
      <c r="AG1944" s="4"/>
      <c r="AH1944" s="4"/>
      <c r="AI1944" s="4"/>
      <c r="AJ1944" s="4"/>
      <c r="AK1944" s="4"/>
      <c r="AL1944" s="4"/>
      <c r="AM1944" s="4"/>
      <c r="AN1944" s="4"/>
      <c r="AO1944" s="4"/>
      <c r="AP1944" s="4"/>
      <c r="AQ1944" s="4"/>
      <c r="AR1944" s="4"/>
      <c r="AS1944" s="4"/>
      <c r="AT1944" s="4"/>
      <c r="AU1944" s="4"/>
      <c r="AV1944" s="4"/>
      <c r="AW1944" s="4"/>
      <c r="AX1944" s="4"/>
      <c r="AY1944" s="4"/>
      <c r="AZ1944" s="4"/>
      <c r="BA1944" s="4"/>
      <c r="BB1944" s="4"/>
      <c r="BC1944" s="4"/>
      <c r="BD1944" s="4"/>
      <c r="BE1944" s="4"/>
      <c r="BF1944" s="4"/>
      <c r="BG1944" s="4"/>
      <c r="BH1944" s="4"/>
      <c r="BI1944" s="4"/>
      <c r="BJ1944" s="4"/>
      <c r="BK1944" s="4"/>
      <c r="BL1944" s="4"/>
      <c r="BM1944" s="4"/>
      <c r="BN1944" s="4"/>
      <c r="BO1944" s="4"/>
      <c r="BP1944" s="4"/>
      <c r="BQ1944" s="4"/>
      <c r="BR1944" s="4"/>
      <c r="BS1944" s="4"/>
      <c r="BT1944" s="4"/>
      <c r="BU1944" s="4"/>
    </row>
    <row r="1945" spans="29:73" s="1" customFormat="1" x14ac:dyDescent="0.25">
      <c r="AC1945" s="4"/>
      <c r="AD1945" s="4"/>
      <c r="AE1945" s="4"/>
      <c r="AF1945" s="4"/>
      <c r="AG1945" s="4"/>
      <c r="AH1945" s="4"/>
      <c r="AI1945" s="4"/>
      <c r="AJ1945" s="4"/>
      <c r="AK1945" s="4"/>
      <c r="AL1945" s="4"/>
      <c r="AM1945" s="4"/>
      <c r="AN1945" s="4"/>
      <c r="AO1945" s="4"/>
      <c r="AP1945" s="4"/>
      <c r="AQ1945" s="4"/>
      <c r="AR1945" s="4"/>
      <c r="AS1945" s="4"/>
      <c r="AT1945" s="4"/>
      <c r="AU1945" s="4"/>
      <c r="AV1945" s="4"/>
      <c r="AW1945" s="4"/>
      <c r="AX1945" s="4"/>
      <c r="AY1945" s="4"/>
      <c r="AZ1945" s="4"/>
      <c r="BA1945" s="4"/>
      <c r="BB1945" s="4"/>
      <c r="BC1945" s="4"/>
      <c r="BD1945" s="4"/>
      <c r="BE1945" s="4"/>
      <c r="BF1945" s="4"/>
      <c r="BG1945" s="4"/>
      <c r="BH1945" s="4"/>
      <c r="BI1945" s="4"/>
      <c r="BJ1945" s="4"/>
      <c r="BK1945" s="4"/>
      <c r="BL1945" s="4"/>
      <c r="BM1945" s="4"/>
      <c r="BN1945" s="4"/>
      <c r="BO1945" s="4"/>
      <c r="BP1945" s="4"/>
      <c r="BQ1945" s="4"/>
      <c r="BR1945" s="4"/>
      <c r="BS1945" s="4"/>
      <c r="BT1945" s="4"/>
      <c r="BU1945" s="4"/>
    </row>
    <row r="1946" spans="29:73" s="1" customFormat="1" x14ac:dyDescent="0.25">
      <c r="AC1946" s="4"/>
      <c r="AD1946" s="4"/>
      <c r="AE1946" s="4"/>
      <c r="AF1946" s="4"/>
      <c r="AG1946" s="4"/>
      <c r="AH1946" s="4"/>
      <c r="AI1946" s="4"/>
      <c r="AJ1946" s="4"/>
      <c r="AK1946" s="4"/>
      <c r="AL1946" s="4"/>
      <c r="AM1946" s="4"/>
      <c r="AN1946" s="4"/>
      <c r="AO1946" s="4"/>
      <c r="AP1946" s="4"/>
      <c r="AQ1946" s="4"/>
      <c r="AR1946" s="4"/>
      <c r="AS1946" s="4"/>
      <c r="AT1946" s="4"/>
      <c r="AU1946" s="4"/>
      <c r="AV1946" s="4"/>
      <c r="AW1946" s="4"/>
      <c r="AX1946" s="4"/>
      <c r="AY1946" s="4"/>
      <c r="AZ1946" s="4"/>
      <c r="BA1946" s="4"/>
      <c r="BB1946" s="4"/>
      <c r="BC1946" s="4"/>
      <c r="BD1946" s="4"/>
      <c r="BE1946" s="4"/>
      <c r="BF1946" s="4"/>
      <c r="BG1946" s="4"/>
      <c r="BH1946" s="4"/>
      <c r="BI1946" s="4"/>
      <c r="BJ1946" s="4"/>
      <c r="BK1946" s="4"/>
      <c r="BL1946" s="4"/>
      <c r="BM1946" s="4"/>
      <c r="BN1946" s="4"/>
      <c r="BO1946" s="4"/>
      <c r="BP1946" s="4"/>
      <c r="BQ1946" s="4"/>
      <c r="BR1946" s="4"/>
      <c r="BS1946" s="4"/>
      <c r="BT1946" s="4"/>
      <c r="BU1946" s="4"/>
    </row>
    <row r="1947" spans="29:73" s="1" customFormat="1" x14ac:dyDescent="0.25">
      <c r="AC1947" s="4"/>
      <c r="AD1947" s="4"/>
      <c r="AE1947" s="4"/>
      <c r="AF1947" s="4"/>
      <c r="AG1947" s="4"/>
      <c r="AH1947" s="4"/>
      <c r="AI1947" s="4"/>
      <c r="AJ1947" s="4"/>
      <c r="AK1947" s="4"/>
      <c r="AL1947" s="4"/>
      <c r="AM1947" s="4"/>
      <c r="AN1947" s="4"/>
      <c r="AO1947" s="4"/>
      <c r="AP1947" s="4"/>
      <c r="AQ1947" s="4"/>
      <c r="AR1947" s="4"/>
      <c r="AS1947" s="4"/>
      <c r="AT1947" s="4"/>
      <c r="AU1947" s="4"/>
      <c r="AV1947" s="4"/>
      <c r="AW1947" s="4"/>
      <c r="AX1947" s="4"/>
      <c r="AY1947" s="4"/>
      <c r="AZ1947" s="4"/>
      <c r="BA1947" s="4"/>
      <c r="BB1947" s="4"/>
      <c r="BC1947" s="4"/>
      <c r="BD1947" s="4"/>
      <c r="BE1947" s="4"/>
      <c r="BF1947" s="4"/>
      <c r="BG1947" s="4"/>
      <c r="BH1947" s="4"/>
      <c r="BI1947" s="4"/>
      <c r="BJ1947" s="4"/>
      <c r="BK1947" s="4"/>
      <c r="BL1947" s="4"/>
      <c r="BM1947" s="4"/>
      <c r="BN1947" s="4"/>
      <c r="BO1947" s="4"/>
      <c r="BP1947" s="4"/>
      <c r="BQ1947" s="4"/>
      <c r="BR1947" s="4"/>
      <c r="BS1947" s="4"/>
      <c r="BT1947" s="4"/>
      <c r="BU1947" s="4"/>
    </row>
    <row r="1948" spans="29:73" s="1" customFormat="1" x14ac:dyDescent="0.25">
      <c r="AC1948" s="4"/>
      <c r="AD1948" s="4"/>
      <c r="AE1948" s="4"/>
      <c r="AF1948" s="4"/>
      <c r="AG1948" s="4"/>
      <c r="AH1948" s="4"/>
      <c r="AI1948" s="4"/>
      <c r="AJ1948" s="4"/>
      <c r="AK1948" s="4"/>
      <c r="AL1948" s="4"/>
      <c r="AM1948" s="4"/>
      <c r="AN1948" s="4"/>
      <c r="AO1948" s="4"/>
      <c r="AP1948" s="4"/>
      <c r="AQ1948" s="4"/>
      <c r="AR1948" s="4"/>
      <c r="AS1948" s="4"/>
      <c r="AT1948" s="4"/>
      <c r="AU1948" s="4"/>
      <c r="AV1948" s="4"/>
      <c r="AW1948" s="4"/>
      <c r="AX1948" s="4"/>
      <c r="AY1948" s="4"/>
      <c r="AZ1948" s="4"/>
      <c r="BA1948" s="4"/>
      <c r="BB1948" s="4"/>
      <c r="BC1948" s="4"/>
      <c r="BD1948" s="4"/>
      <c r="BE1948" s="4"/>
      <c r="BF1948" s="4"/>
      <c r="BG1948" s="4"/>
      <c r="BH1948" s="4"/>
      <c r="BI1948" s="4"/>
      <c r="BJ1948" s="4"/>
      <c r="BK1948" s="4"/>
      <c r="BL1948" s="4"/>
      <c r="BM1948" s="4"/>
      <c r="BN1948" s="4"/>
      <c r="BO1948" s="4"/>
      <c r="BP1948" s="4"/>
      <c r="BQ1948" s="4"/>
      <c r="BR1948" s="4"/>
      <c r="BS1948" s="4"/>
      <c r="BT1948" s="4"/>
      <c r="BU1948" s="4"/>
    </row>
    <row r="1949" spans="29:73" s="1" customFormat="1" x14ac:dyDescent="0.25">
      <c r="AC1949" s="4"/>
      <c r="AD1949" s="4"/>
      <c r="AE1949" s="4"/>
      <c r="AF1949" s="4"/>
      <c r="AG1949" s="4"/>
      <c r="AH1949" s="4"/>
      <c r="AI1949" s="4"/>
      <c r="AJ1949" s="4"/>
      <c r="AK1949" s="4"/>
      <c r="AL1949" s="4"/>
      <c r="AM1949" s="4"/>
      <c r="AN1949" s="4"/>
      <c r="AO1949" s="4"/>
      <c r="AP1949" s="4"/>
      <c r="AQ1949" s="4"/>
      <c r="AR1949" s="4"/>
      <c r="AS1949" s="4"/>
      <c r="AT1949" s="4"/>
      <c r="AU1949" s="4"/>
      <c r="AV1949" s="4"/>
      <c r="AW1949" s="4"/>
      <c r="AX1949" s="4"/>
      <c r="AY1949" s="4"/>
      <c r="AZ1949" s="4"/>
      <c r="BA1949" s="4"/>
      <c r="BB1949" s="4"/>
      <c r="BC1949" s="4"/>
      <c r="BD1949" s="4"/>
      <c r="BE1949" s="4"/>
      <c r="BF1949" s="4"/>
      <c r="BG1949" s="4"/>
      <c r="BH1949" s="4"/>
      <c r="BI1949" s="4"/>
      <c r="BJ1949" s="4"/>
      <c r="BK1949" s="4"/>
      <c r="BL1949" s="4"/>
      <c r="BM1949" s="4"/>
      <c r="BN1949" s="4"/>
      <c r="BO1949" s="4"/>
      <c r="BP1949" s="4"/>
      <c r="BQ1949" s="4"/>
      <c r="BR1949" s="4"/>
      <c r="BS1949" s="4"/>
      <c r="BT1949" s="4"/>
      <c r="BU1949" s="4"/>
    </row>
    <row r="1950" spans="29:73" s="1" customFormat="1" x14ac:dyDescent="0.25">
      <c r="AC1950" s="4"/>
      <c r="AD1950" s="4"/>
      <c r="AE1950" s="4"/>
      <c r="AF1950" s="4"/>
      <c r="AG1950" s="4"/>
      <c r="AH1950" s="4"/>
      <c r="AI1950" s="4"/>
      <c r="AJ1950" s="4"/>
      <c r="AK1950" s="4"/>
      <c r="AL1950" s="4"/>
      <c r="AM1950" s="4"/>
      <c r="AN1950" s="4"/>
      <c r="AO1950" s="4"/>
      <c r="AP1950" s="4"/>
      <c r="AQ1950" s="4"/>
      <c r="AR1950" s="4"/>
      <c r="AS1950" s="4"/>
      <c r="AT1950" s="4"/>
      <c r="AU1950" s="4"/>
      <c r="AV1950" s="4"/>
      <c r="AW1950" s="4"/>
      <c r="AX1950" s="4"/>
      <c r="AY1950" s="4"/>
      <c r="AZ1950" s="4"/>
      <c r="BA1950" s="4"/>
      <c r="BB1950" s="4"/>
      <c r="BC1950" s="4"/>
      <c r="BD1950" s="4"/>
      <c r="BE1950" s="4"/>
      <c r="BF1950" s="4"/>
      <c r="BG1950" s="4"/>
      <c r="BH1950" s="4"/>
      <c r="BI1950" s="4"/>
      <c r="BJ1950" s="4"/>
      <c r="BK1950" s="4"/>
      <c r="BL1950" s="4"/>
      <c r="BM1950" s="4"/>
      <c r="BN1950" s="4"/>
      <c r="BO1950" s="4"/>
      <c r="BP1950" s="4"/>
      <c r="BQ1950" s="4"/>
      <c r="BR1950" s="4"/>
      <c r="BS1950" s="4"/>
      <c r="BT1950" s="4"/>
      <c r="BU1950" s="4"/>
    </row>
    <row r="1951" spans="29:73" s="1" customFormat="1" x14ac:dyDescent="0.25">
      <c r="AC1951" s="4"/>
      <c r="AD1951" s="4"/>
      <c r="AE1951" s="4"/>
      <c r="AF1951" s="4"/>
      <c r="AG1951" s="4"/>
      <c r="AH1951" s="4"/>
      <c r="AI1951" s="4"/>
      <c r="AJ1951" s="4"/>
      <c r="AK1951" s="4"/>
      <c r="AL1951" s="4"/>
      <c r="AM1951" s="4"/>
      <c r="AN1951" s="4"/>
      <c r="AO1951" s="4"/>
      <c r="AP1951" s="4"/>
      <c r="AQ1951" s="4"/>
      <c r="AR1951" s="4"/>
      <c r="AS1951" s="4"/>
      <c r="AT1951" s="4"/>
      <c r="AU1951" s="4"/>
      <c r="AV1951" s="4"/>
      <c r="AW1951" s="4"/>
      <c r="AX1951" s="4"/>
      <c r="AY1951" s="4"/>
      <c r="AZ1951" s="4"/>
      <c r="BA1951" s="4"/>
      <c r="BB1951" s="4"/>
      <c r="BC1951" s="4"/>
      <c r="BD1951" s="4"/>
      <c r="BE1951" s="4"/>
      <c r="BF1951" s="4"/>
      <c r="BG1951" s="4"/>
      <c r="BH1951" s="4"/>
      <c r="BI1951" s="4"/>
      <c r="BJ1951" s="4"/>
      <c r="BK1951" s="4"/>
      <c r="BL1951" s="4"/>
      <c r="BM1951" s="4"/>
      <c r="BN1951" s="4"/>
      <c r="BO1951" s="4"/>
      <c r="BP1951" s="4"/>
      <c r="BQ1951" s="4"/>
      <c r="BR1951" s="4"/>
      <c r="BS1951" s="4"/>
      <c r="BT1951" s="4"/>
      <c r="BU1951" s="4"/>
    </row>
    <row r="1952" spans="29:73" s="1" customFormat="1" x14ac:dyDescent="0.25">
      <c r="AC1952" s="4"/>
      <c r="AD1952" s="4"/>
      <c r="AE1952" s="4"/>
      <c r="AF1952" s="4"/>
      <c r="AG1952" s="4"/>
      <c r="AH1952" s="4"/>
      <c r="AI1952" s="4"/>
      <c r="AJ1952" s="4"/>
      <c r="AK1952" s="4"/>
      <c r="AL1952" s="4"/>
      <c r="AM1952" s="4"/>
      <c r="AN1952" s="4"/>
      <c r="AO1952" s="4"/>
      <c r="AP1952" s="4"/>
      <c r="AQ1952" s="4"/>
      <c r="AR1952" s="4"/>
      <c r="AS1952" s="4"/>
      <c r="AT1952" s="4"/>
      <c r="AU1952" s="4"/>
      <c r="AV1952" s="4"/>
      <c r="AW1952" s="4"/>
      <c r="AX1952" s="4"/>
      <c r="AY1952" s="4"/>
      <c r="AZ1952" s="4"/>
      <c r="BA1952" s="4"/>
      <c r="BB1952" s="4"/>
      <c r="BC1952" s="4"/>
      <c r="BD1952" s="4"/>
      <c r="BE1952" s="4"/>
      <c r="BF1952" s="4"/>
      <c r="BG1952" s="4"/>
      <c r="BH1952" s="4"/>
      <c r="BI1952" s="4"/>
      <c r="BJ1952" s="4"/>
      <c r="BK1952" s="4"/>
      <c r="BL1952" s="4"/>
      <c r="BM1952" s="4"/>
      <c r="BN1952" s="4"/>
      <c r="BO1952" s="4"/>
      <c r="BP1952" s="4"/>
      <c r="BQ1952" s="4"/>
      <c r="BR1952" s="4"/>
      <c r="BS1952" s="4"/>
      <c r="BT1952" s="4"/>
      <c r="BU1952" s="4"/>
    </row>
    <row r="1953" spans="29:73" s="1" customFormat="1" x14ac:dyDescent="0.25">
      <c r="AC1953" s="4"/>
      <c r="AD1953" s="4"/>
      <c r="AE1953" s="4"/>
      <c r="AF1953" s="4"/>
      <c r="AG1953" s="4"/>
      <c r="AH1953" s="4"/>
      <c r="AI1953" s="4"/>
      <c r="AJ1953" s="4"/>
      <c r="AK1953" s="4"/>
      <c r="AL1953" s="4"/>
      <c r="AM1953" s="4"/>
      <c r="AN1953" s="4"/>
      <c r="AO1953" s="4"/>
      <c r="AP1953" s="4"/>
      <c r="AQ1953" s="4"/>
      <c r="AR1953" s="4"/>
      <c r="AS1953" s="4"/>
      <c r="AT1953" s="4"/>
      <c r="AU1953" s="4"/>
      <c r="AV1953" s="4"/>
      <c r="AW1953" s="4"/>
      <c r="AX1953" s="4"/>
      <c r="AY1953" s="4"/>
      <c r="AZ1953" s="4"/>
      <c r="BA1953" s="4"/>
      <c r="BB1953" s="4"/>
      <c r="BC1953" s="4"/>
      <c r="BD1953" s="4"/>
      <c r="BE1953" s="4"/>
      <c r="BF1953" s="4"/>
      <c r="BG1953" s="4"/>
      <c r="BH1953" s="4"/>
      <c r="BI1953" s="4"/>
      <c r="BJ1953" s="4"/>
      <c r="BK1953" s="4"/>
      <c r="BL1953" s="4"/>
      <c r="BM1953" s="4"/>
      <c r="BN1953" s="4"/>
      <c r="BO1953" s="4"/>
      <c r="BP1953" s="4"/>
      <c r="BQ1953" s="4"/>
      <c r="BR1953" s="4"/>
      <c r="BS1953" s="4"/>
      <c r="BT1953" s="4"/>
      <c r="BU1953" s="4"/>
    </row>
    <row r="1954" spans="29:73" s="1" customFormat="1" x14ac:dyDescent="0.25">
      <c r="AC1954" s="4"/>
      <c r="AD1954" s="4"/>
      <c r="AE1954" s="4"/>
      <c r="AF1954" s="4"/>
      <c r="AG1954" s="4"/>
      <c r="AH1954" s="4"/>
      <c r="AI1954" s="4"/>
      <c r="AJ1954" s="4"/>
      <c r="AK1954" s="4"/>
      <c r="AL1954" s="4"/>
      <c r="AM1954" s="4"/>
      <c r="AN1954" s="4"/>
      <c r="AO1954" s="4"/>
      <c r="AP1954" s="4"/>
      <c r="AQ1954" s="4"/>
      <c r="AR1954" s="4"/>
      <c r="AS1954" s="4"/>
      <c r="AT1954" s="4"/>
      <c r="AU1954" s="4"/>
      <c r="AV1954" s="4"/>
      <c r="AW1954" s="4"/>
      <c r="AX1954" s="4"/>
      <c r="AY1954" s="4"/>
      <c r="AZ1954" s="4"/>
      <c r="BA1954" s="4"/>
      <c r="BB1954" s="4"/>
      <c r="BC1954" s="4"/>
      <c r="BD1954" s="4"/>
      <c r="BE1954" s="4"/>
      <c r="BF1954" s="4"/>
      <c r="BG1954" s="4"/>
      <c r="BH1954" s="4"/>
      <c r="BI1954" s="4"/>
      <c r="BJ1954" s="4"/>
      <c r="BK1954" s="4"/>
      <c r="BL1954" s="4"/>
      <c r="BM1954" s="4"/>
      <c r="BN1954" s="4"/>
      <c r="BO1954" s="4"/>
      <c r="BP1954" s="4"/>
      <c r="BQ1954" s="4"/>
      <c r="BR1954" s="4"/>
      <c r="BS1954" s="4"/>
      <c r="BT1954" s="4"/>
      <c r="BU1954" s="4"/>
    </row>
    <row r="1955" spans="29:73" s="1" customFormat="1" x14ac:dyDescent="0.25">
      <c r="AC1955" s="4"/>
      <c r="AD1955" s="4"/>
      <c r="AE1955" s="4"/>
      <c r="AF1955" s="4"/>
      <c r="AG1955" s="4"/>
      <c r="AH1955" s="4"/>
      <c r="AI1955" s="4"/>
      <c r="AJ1955" s="4"/>
      <c r="AK1955" s="4"/>
      <c r="AL1955" s="4"/>
      <c r="AM1955" s="4"/>
      <c r="AN1955" s="4"/>
      <c r="AO1955" s="4"/>
      <c r="AP1955" s="4"/>
      <c r="AQ1955" s="4"/>
      <c r="AR1955" s="4"/>
      <c r="AS1955" s="4"/>
      <c r="AT1955" s="4"/>
      <c r="AU1955" s="4"/>
      <c r="AV1955" s="4"/>
      <c r="AW1955" s="4"/>
      <c r="AX1955" s="4"/>
      <c r="AY1955" s="4"/>
      <c r="AZ1955" s="4"/>
      <c r="BA1955" s="4"/>
      <c r="BB1955" s="4"/>
      <c r="BC1955" s="4"/>
      <c r="BD1955" s="4"/>
      <c r="BE1955" s="4"/>
      <c r="BF1955" s="4"/>
      <c r="BG1955" s="4"/>
      <c r="BH1955" s="4"/>
      <c r="BI1955" s="4"/>
      <c r="BJ1955" s="4"/>
      <c r="BK1955" s="4"/>
      <c r="BL1955" s="4"/>
      <c r="BM1955" s="4"/>
      <c r="BN1955" s="4"/>
      <c r="BO1955" s="4"/>
      <c r="BP1955" s="4"/>
      <c r="BQ1955" s="4"/>
      <c r="BR1955" s="4"/>
      <c r="BS1955" s="4"/>
      <c r="BT1955" s="4"/>
      <c r="BU1955" s="4"/>
    </row>
    <row r="1956" spans="29:73" s="1" customFormat="1" x14ac:dyDescent="0.25">
      <c r="AC1956" s="4"/>
      <c r="AD1956" s="4"/>
      <c r="AE1956" s="4"/>
      <c r="AF1956" s="4"/>
      <c r="AG1956" s="4"/>
      <c r="AH1956" s="4"/>
      <c r="AI1956" s="4"/>
      <c r="AJ1956" s="4"/>
      <c r="AK1956" s="4"/>
      <c r="AL1956" s="4"/>
      <c r="AM1956" s="4"/>
      <c r="AN1956" s="4"/>
      <c r="AO1956" s="4"/>
      <c r="AP1956" s="4"/>
      <c r="AQ1956" s="4"/>
      <c r="AR1956" s="4"/>
      <c r="AS1956" s="4"/>
      <c r="AT1956" s="4"/>
      <c r="AU1956" s="4"/>
      <c r="AV1956" s="4"/>
      <c r="AW1956" s="4"/>
      <c r="AX1956" s="4"/>
      <c r="AY1956" s="4"/>
      <c r="AZ1956" s="4"/>
      <c r="BA1956" s="4"/>
      <c r="BB1956" s="4"/>
      <c r="BC1956" s="4"/>
      <c r="BD1956" s="4"/>
      <c r="BE1956" s="4"/>
      <c r="BF1956" s="4"/>
      <c r="BG1956" s="4"/>
      <c r="BH1956" s="4"/>
      <c r="BI1956" s="4"/>
      <c r="BJ1956" s="4"/>
      <c r="BK1956" s="4"/>
      <c r="BL1956" s="4"/>
      <c r="BM1956" s="4"/>
      <c r="BN1956" s="4"/>
      <c r="BO1956" s="4"/>
      <c r="BP1956" s="4"/>
      <c r="BQ1956" s="4"/>
      <c r="BR1956" s="4"/>
      <c r="BS1956" s="4"/>
      <c r="BT1956" s="4"/>
      <c r="BU1956" s="4"/>
    </row>
    <row r="1957" spans="29:73" s="1" customFormat="1" x14ac:dyDescent="0.25">
      <c r="AC1957" s="4"/>
      <c r="AD1957" s="4"/>
      <c r="AE1957" s="4"/>
      <c r="AF1957" s="4"/>
      <c r="AG1957" s="4"/>
      <c r="AH1957" s="4"/>
      <c r="AI1957" s="4"/>
      <c r="AJ1957" s="4"/>
      <c r="AK1957" s="4"/>
      <c r="AL1957" s="4"/>
      <c r="AM1957" s="4"/>
      <c r="AN1957" s="4"/>
      <c r="AO1957" s="4"/>
      <c r="AP1957" s="4"/>
      <c r="AQ1957" s="4"/>
      <c r="AR1957" s="4"/>
      <c r="AS1957" s="4"/>
      <c r="AT1957" s="4"/>
      <c r="AU1957" s="4"/>
      <c r="AV1957" s="4"/>
      <c r="AW1957" s="4"/>
      <c r="AX1957" s="4"/>
      <c r="AY1957" s="4"/>
      <c r="AZ1957" s="4"/>
      <c r="BA1957" s="4"/>
      <c r="BB1957" s="4"/>
      <c r="BC1957" s="4"/>
      <c r="BD1957" s="4"/>
      <c r="BE1957" s="4"/>
      <c r="BF1957" s="4"/>
      <c r="BG1957" s="4"/>
      <c r="BH1957" s="4"/>
      <c r="BI1957" s="4"/>
      <c r="BJ1957" s="4"/>
      <c r="BK1957" s="4"/>
      <c r="BL1957" s="4"/>
      <c r="BM1957" s="4"/>
      <c r="BN1957" s="4"/>
      <c r="BO1957" s="4"/>
      <c r="BP1957" s="4"/>
      <c r="BQ1957" s="4"/>
      <c r="BR1957" s="4"/>
      <c r="BS1957" s="4"/>
      <c r="BT1957" s="4"/>
      <c r="BU1957" s="4"/>
    </row>
    <row r="1958" spans="29:73" s="1" customFormat="1" x14ac:dyDescent="0.25">
      <c r="AC1958" s="4"/>
      <c r="AD1958" s="4"/>
      <c r="AE1958" s="4"/>
      <c r="AF1958" s="4"/>
      <c r="AG1958" s="4"/>
      <c r="AH1958" s="4"/>
      <c r="AI1958" s="4"/>
      <c r="AJ1958" s="4"/>
      <c r="AK1958" s="4"/>
      <c r="AL1958" s="4"/>
      <c r="AM1958" s="4"/>
      <c r="AN1958" s="4"/>
      <c r="AO1958" s="4"/>
      <c r="AP1958" s="4"/>
      <c r="AQ1958" s="4"/>
      <c r="AR1958" s="4"/>
      <c r="AS1958" s="4"/>
      <c r="AT1958" s="4"/>
      <c r="AU1958" s="4"/>
      <c r="AV1958" s="4"/>
      <c r="AW1958" s="4"/>
      <c r="AX1958" s="4"/>
      <c r="AY1958" s="4"/>
      <c r="AZ1958" s="4"/>
      <c r="BA1958" s="4"/>
      <c r="BB1958" s="4"/>
      <c r="BC1958" s="4"/>
      <c r="BD1958" s="4"/>
      <c r="BE1958" s="4"/>
      <c r="BF1958" s="4"/>
      <c r="BG1958" s="4"/>
      <c r="BH1958" s="4"/>
      <c r="BI1958" s="4"/>
      <c r="BJ1958" s="4"/>
      <c r="BK1958" s="4"/>
      <c r="BL1958" s="4"/>
      <c r="BM1958" s="4"/>
      <c r="BN1958" s="4"/>
      <c r="BO1958" s="4"/>
      <c r="BP1958" s="4"/>
      <c r="BQ1958" s="4"/>
      <c r="BR1958" s="4"/>
      <c r="BS1958" s="4"/>
      <c r="BT1958" s="4"/>
      <c r="BU1958" s="4"/>
    </row>
    <row r="1959" spans="29:73" s="1" customFormat="1" x14ac:dyDescent="0.25">
      <c r="AC1959" s="4"/>
      <c r="AD1959" s="4"/>
      <c r="AE1959" s="4"/>
      <c r="AF1959" s="4"/>
      <c r="AG1959" s="4"/>
      <c r="AH1959" s="4"/>
      <c r="AI1959" s="4"/>
      <c r="AJ1959" s="4"/>
      <c r="AK1959" s="4"/>
      <c r="AL1959" s="4"/>
      <c r="AM1959" s="4"/>
      <c r="AN1959" s="4"/>
      <c r="AO1959" s="4"/>
      <c r="AP1959" s="4"/>
      <c r="AQ1959" s="4"/>
      <c r="AR1959" s="4"/>
      <c r="AS1959" s="4"/>
      <c r="AT1959" s="4"/>
      <c r="AU1959" s="4"/>
      <c r="AV1959" s="4"/>
      <c r="AW1959" s="4"/>
      <c r="AX1959" s="4"/>
      <c r="AY1959" s="4"/>
      <c r="AZ1959" s="4"/>
      <c r="BA1959" s="4"/>
      <c r="BB1959" s="4"/>
      <c r="BC1959" s="4"/>
      <c r="BD1959" s="4"/>
      <c r="BE1959" s="4"/>
      <c r="BF1959" s="4"/>
      <c r="BG1959" s="4"/>
      <c r="BH1959" s="4"/>
      <c r="BI1959" s="4"/>
      <c r="BJ1959" s="4"/>
      <c r="BK1959" s="4"/>
      <c r="BL1959" s="4"/>
      <c r="BM1959" s="4"/>
      <c r="BN1959" s="4"/>
      <c r="BO1959" s="4"/>
      <c r="BP1959" s="4"/>
      <c r="BQ1959" s="4"/>
      <c r="BR1959" s="4"/>
      <c r="BS1959" s="4"/>
      <c r="BT1959" s="4"/>
      <c r="BU1959" s="4"/>
    </row>
    <row r="1960" spans="29:73" s="1" customFormat="1" x14ac:dyDescent="0.25">
      <c r="AC1960" s="4"/>
      <c r="AD1960" s="4"/>
      <c r="AE1960" s="4"/>
      <c r="AF1960" s="4"/>
      <c r="AG1960" s="4"/>
      <c r="AH1960" s="4"/>
      <c r="AI1960" s="4"/>
      <c r="AJ1960" s="4"/>
      <c r="AK1960" s="4"/>
      <c r="AL1960" s="4"/>
      <c r="AM1960" s="4"/>
      <c r="AN1960" s="4"/>
      <c r="AO1960" s="4"/>
      <c r="AP1960" s="4"/>
      <c r="AQ1960" s="4"/>
      <c r="AR1960" s="4"/>
      <c r="AS1960" s="4"/>
      <c r="AT1960" s="4"/>
      <c r="AU1960" s="4"/>
      <c r="AV1960" s="4"/>
      <c r="AW1960" s="4"/>
      <c r="AX1960" s="4"/>
      <c r="AY1960" s="4"/>
      <c r="AZ1960" s="4"/>
      <c r="BA1960" s="4"/>
      <c r="BB1960" s="4"/>
      <c r="BC1960" s="4"/>
      <c r="BD1960" s="4"/>
      <c r="BE1960" s="4"/>
      <c r="BF1960" s="4"/>
      <c r="BG1960" s="4"/>
      <c r="BH1960" s="4"/>
      <c r="BI1960" s="4"/>
      <c r="BJ1960" s="4"/>
      <c r="BK1960" s="4"/>
      <c r="BL1960" s="4"/>
      <c r="BM1960" s="4"/>
      <c r="BN1960" s="4"/>
      <c r="BO1960" s="4"/>
      <c r="BP1960" s="4"/>
      <c r="BQ1960" s="4"/>
      <c r="BR1960" s="4"/>
      <c r="BS1960" s="4"/>
      <c r="BT1960" s="4"/>
      <c r="BU1960" s="4"/>
    </row>
    <row r="1961" spans="29:73" s="1" customFormat="1" x14ac:dyDescent="0.25">
      <c r="AC1961" s="4"/>
      <c r="AD1961" s="4"/>
      <c r="AE1961" s="4"/>
      <c r="AF1961" s="4"/>
      <c r="AG1961" s="4"/>
      <c r="AH1961" s="4"/>
      <c r="AI1961" s="4"/>
      <c r="AJ1961" s="4"/>
      <c r="AK1961" s="4"/>
      <c r="AL1961" s="4"/>
      <c r="AM1961" s="4"/>
      <c r="AN1961" s="4"/>
      <c r="AO1961" s="4"/>
      <c r="AP1961" s="4"/>
      <c r="AQ1961" s="4"/>
      <c r="AR1961" s="4"/>
      <c r="AS1961" s="4"/>
      <c r="AT1961" s="4"/>
      <c r="AU1961" s="4"/>
      <c r="AV1961" s="4"/>
      <c r="AW1961" s="4"/>
      <c r="AX1961" s="4"/>
      <c r="AY1961" s="4"/>
      <c r="AZ1961" s="4"/>
      <c r="BA1961" s="4"/>
      <c r="BB1961" s="4"/>
      <c r="BC1961" s="4"/>
      <c r="BD1961" s="4"/>
      <c r="BE1961" s="4"/>
      <c r="BF1961" s="4"/>
      <c r="BG1961" s="4"/>
      <c r="BH1961" s="4"/>
      <c r="BI1961" s="4"/>
      <c r="BJ1961" s="4"/>
      <c r="BK1961" s="4"/>
      <c r="BL1961" s="4"/>
      <c r="BM1961" s="4"/>
      <c r="BN1961" s="4"/>
      <c r="BO1961" s="4"/>
      <c r="BP1961" s="4"/>
      <c r="BQ1961" s="4"/>
      <c r="BR1961" s="4"/>
      <c r="BS1961" s="4"/>
      <c r="BT1961" s="4"/>
      <c r="BU1961" s="4"/>
    </row>
    <row r="1962" spans="29:73" s="1" customFormat="1" x14ac:dyDescent="0.25">
      <c r="AC1962" s="4"/>
      <c r="AD1962" s="4"/>
      <c r="AE1962" s="4"/>
      <c r="AF1962" s="4"/>
      <c r="AG1962" s="4"/>
      <c r="AH1962" s="4"/>
      <c r="AI1962" s="4"/>
      <c r="AJ1962" s="4"/>
      <c r="AK1962" s="4"/>
      <c r="AL1962" s="4"/>
      <c r="AM1962" s="4"/>
      <c r="AN1962" s="4"/>
      <c r="AO1962" s="4"/>
      <c r="AP1962" s="4"/>
      <c r="AQ1962" s="4"/>
      <c r="AR1962" s="4"/>
      <c r="AS1962" s="4"/>
      <c r="AT1962" s="4"/>
      <c r="AU1962" s="4"/>
      <c r="AV1962" s="4"/>
      <c r="AW1962" s="4"/>
      <c r="AX1962" s="4"/>
      <c r="AY1962" s="4"/>
      <c r="AZ1962" s="4"/>
      <c r="BA1962" s="4"/>
      <c r="BB1962" s="4"/>
      <c r="BC1962" s="4"/>
      <c r="BD1962" s="4"/>
      <c r="BE1962" s="4"/>
      <c r="BF1962" s="4"/>
      <c r="BG1962" s="4"/>
      <c r="BH1962" s="4"/>
      <c r="BI1962" s="4"/>
      <c r="BJ1962" s="4"/>
      <c r="BK1962" s="4"/>
      <c r="BL1962" s="4"/>
      <c r="BM1962" s="4"/>
      <c r="BN1962" s="4"/>
      <c r="BO1962" s="4"/>
      <c r="BP1962" s="4"/>
      <c r="BQ1962" s="4"/>
      <c r="BR1962" s="4"/>
      <c r="BS1962" s="4"/>
      <c r="BT1962" s="4"/>
      <c r="BU1962" s="4"/>
    </row>
    <row r="1963" spans="29:73" s="1" customFormat="1" x14ac:dyDescent="0.25">
      <c r="AC1963" s="4"/>
      <c r="AD1963" s="4"/>
      <c r="AE1963" s="4"/>
      <c r="AF1963" s="4"/>
      <c r="AG1963" s="4"/>
      <c r="AH1963" s="4"/>
      <c r="AI1963" s="4"/>
      <c r="AJ1963" s="4"/>
      <c r="AK1963" s="4"/>
      <c r="AL1963" s="4"/>
      <c r="AM1963" s="4"/>
      <c r="AN1963" s="4"/>
      <c r="AO1963" s="4"/>
      <c r="AP1963" s="4"/>
      <c r="AQ1963" s="4"/>
      <c r="AR1963" s="4"/>
      <c r="AS1963" s="4"/>
      <c r="AT1963" s="4"/>
      <c r="AU1963" s="4"/>
      <c r="AV1963" s="4"/>
      <c r="AW1963" s="4"/>
      <c r="AX1963" s="4"/>
      <c r="AY1963" s="4"/>
      <c r="AZ1963" s="4"/>
      <c r="BA1963" s="4"/>
      <c r="BB1963" s="4"/>
      <c r="BC1963" s="4"/>
      <c r="BD1963" s="4"/>
      <c r="BE1963" s="4"/>
      <c r="BF1963" s="4"/>
      <c r="BG1963" s="4"/>
      <c r="BH1963" s="4"/>
      <c r="BI1963" s="4"/>
      <c r="BJ1963" s="4"/>
      <c r="BK1963" s="4"/>
      <c r="BL1963" s="4"/>
      <c r="BM1963" s="4"/>
      <c r="BN1963" s="4"/>
      <c r="BO1963" s="4"/>
      <c r="BP1963" s="4"/>
      <c r="BQ1963" s="4"/>
      <c r="BR1963" s="4"/>
      <c r="BS1963" s="4"/>
      <c r="BT1963" s="4"/>
      <c r="BU1963" s="4"/>
    </row>
    <row r="1964" spans="29:73" s="1" customFormat="1" x14ac:dyDescent="0.25">
      <c r="AC1964" s="4"/>
      <c r="AD1964" s="4"/>
      <c r="AE1964" s="4"/>
      <c r="AF1964" s="4"/>
      <c r="AG1964" s="4"/>
      <c r="AH1964" s="4"/>
      <c r="AI1964" s="4"/>
      <c r="AJ1964" s="4"/>
      <c r="AK1964" s="4"/>
      <c r="AL1964" s="4"/>
      <c r="AM1964" s="4"/>
      <c r="AN1964" s="4"/>
      <c r="AO1964" s="4"/>
      <c r="AP1964" s="4"/>
      <c r="AQ1964" s="4"/>
      <c r="AR1964" s="4"/>
      <c r="AS1964" s="4"/>
      <c r="AT1964" s="4"/>
      <c r="AU1964" s="4"/>
      <c r="AV1964" s="4"/>
      <c r="AW1964" s="4"/>
      <c r="AX1964" s="4"/>
      <c r="AY1964" s="4"/>
      <c r="AZ1964" s="4"/>
      <c r="BA1964" s="4"/>
      <c r="BB1964" s="4"/>
      <c r="BC1964" s="4"/>
      <c r="BD1964" s="4"/>
      <c r="BE1964" s="4"/>
      <c r="BF1964" s="4"/>
      <c r="BG1964" s="4"/>
      <c r="BH1964" s="4"/>
      <c r="BI1964" s="4"/>
      <c r="BJ1964" s="4"/>
      <c r="BK1964" s="4"/>
      <c r="BL1964" s="4"/>
      <c r="BM1964" s="4"/>
      <c r="BN1964" s="4"/>
      <c r="BO1964" s="4"/>
      <c r="BP1964" s="4"/>
      <c r="BQ1964" s="4"/>
      <c r="BR1964" s="4"/>
      <c r="BS1964" s="4"/>
      <c r="BT1964" s="4"/>
      <c r="BU1964" s="4"/>
    </row>
    <row r="1965" spans="29:73" s="1" customFormat="1" x14ac:dyDescent="0.25">
      <c r="AC1965" s="4"/>
      <c r="AD1965" s="4"/>
      <c r="AE1965" s="4"/>
      <c r="AF1965" s="4"/>
      <c r="AG1965" s="4"/>
      <c r="AH1965" s="4"/>
      <c r="AI1965" s="4"/>
      <c r="AJ1965" s="4"/>
      <c r="AK1965" s="4"/>
      <c r="AL1965" s="4"/>
      <c r="AM1965" s="4"/>
      <c r="AN1965" s="4"/>
      <c r="AO1965" s="4"/>
      <c r="AP1965" s="4"/>
      <c r="AQ1965" s="4"/>
      <c r="AR1965" s="4"/>
      <c r="AS1965" s="4"/>
      <c r="AT1965" s="4"/>
      <c r="AU1965" s="4"/>
      <c r="AV1965" s="4"/>
      <c r="AW1965" s="4"/>
      <c r="AX1965" s="4"/>
      <c r="AY1965" s="4"/>
      <c r="AZ1965" s="4"/>
      <c r="BA1965" s="4"/>
      <c r="BB1965" s="4"/>
      <c r="BC1965" s="4"/>
      <c r="BD1965" s="4"/>
      <c r="BE1965" s="4"/>
      <c r="BF1965" s="4"/>
      <c r="BG1965" s="4"/>
      <c r="BH1965" s="4"/>
      <c r="BI1965" s="4"/>
      <c r="BJ1965" s="4"/>
      <c r="BK1965" s="4"/>
      <c r="BL1965" s="4"/>
      <c r="BM1965" s="4"/>
      <c r="BN1965" s="4"/>
      <c r="BO1965" s="4"/>
      <c r="BP1965" s="4"/>
      <c r="BQ1965" s="4"/>
      <c r="BR1965" s="4"/>
      <c r="BS1965" s="4"/>
      <c r="BT1965" s="4"/>
      <c r="BU1965" s="4"/>
    </row>
    <row r="1966" spans="29:73" s="1" customFormat="1" x14ac:dyDescent="0.25">
      <c r="AC1966" s="4"/>
      <c r="AD1966" s="4"/>
      <c r="AE1966" s="4"/>
      <c r="AF1966" s="4"/>
      <c r="AG1966" s="4"/>
      <c r="AH1966" s="4"/>
      <c r="AI1966" s="4"/>
      <c r="AJ1966" s="4"/>
      <c r="AK1966" s="4"/>
      <c r="AL1966" s="4"/>
      <c r="AM1966" s="4"/>
      <c r="AN1966" s="4"/>
      <c r="AO1966" s="4"/>
      <c r="AP1966" s="4"/>
      <c r="AQ1966" s="4"/>
      <c r="AR1966" s="4"/>
      <c r="AS1966" s="4"/>
      <c r="AT1966" s="4"/>
      <c r="AU1966" s="4"/>
      <c r="AV1966" s="4"/>
      <c r="AW1966" s="4"/>
      <c r="AX1966" s="4"/>
      <c r="AY1966" s="4"/>
      <c r="AZ1966" s="4"/>
      <c r="BA1966" s="4"/>
      <c r="BB1966" s="4"/>
      <c r="BC1966" s="4"/>
      <c r="BD1966" s="4"/>
      <c r="BE1966" s="4"/>
      <c r="BF1966" s="4"/>
      <c r="BG1966" s="4"/>
      <c r="BH1966" s="4"/>
      <c r="BI1966" s="4"/>
      <c r="BJ1966" s="4"/>
      <c r="BK1966" s="4"/>
      <c r="BL1966" s="4"/>
      <c r="BM1966" s="4"/>
      <c r="BN1966" s="4"/>
      <c r="BO1966" s="4"/>
      <c r="BP1966" s="4"/>
      <c r="BQ1966" s="4"/>
      <c r="BR1966" s="4"/>
      <c r="BS1966" s="4"/>
      <c r="BT1966" s="4"/>
      <c r="BU1966" s="4"/>
    </row>
    <row r="1967" spans="29:73" s="1" customFormat="1" x14ac:dyDescent="0.25">
      <c r="AC1967" s="4"/>
      <c r="AD1967" s="4"/>
      <c r="AE1967" s="4"/>
      <c r="AF1967" s="4"/>
      <c r="AG1967" s="4"/>
      <c r="AH1967" s="4"/>
      <c r="AI1967" s="4"/>
      <c r="AJ1967" s="4"/>
      <c r="AK1967" s="4"/>
      <c r="AL1967" s="4"/>
      <c r="AM1967" s="4"/>
      <c r="AN1967" s="4"/>
      <c r="AO1967" s="4"/>
      <c r="AP1967" s="4"/>
      <c r="AQ1967" s="4"/>
      <c r="AR1967" s="4"/>
      <c r="AS1967" s="4"/>
      <c r="AT1967" s="4"/>
      <c r="AU1967" s="4"/>
      <c r="AV1967" s="4"/>
      <c r="AW1967" s="4"/>
      <c r="AX1967" s="4"/>
      <c r="AY1967" s="4"/>
      <c r="AZ1967" s="4"/>
      <c r="BA1967" s="4"/>
      <c r="BB1967" s="4"/>
      <c r="BC1967" s="4"/>
      <c r="BD1967" s="4"/>
      <c r="BE1967" s="4"/>
      <c r="BF1967" s="4"/>
      <c r="BG1967" s="4"/>
      <c r="BH1967" s="4"/>
      <c r="BI1967" s="4"/>
      <c r="BJ1967" s="4"/>
      <c r="BK1967" s="4"/>
      <c r="BL1967" s="4"/>
      <c r="BM1967" s="4"/>
      <c r="BN1967" s="4"/>
      <c r="BO1967" s="4"/>
      <c r="BP1967" s="4"/>
      <c r="BQ1967" s="4"/>
      <c r="BR1967" s="4"/>
      <c r="BS1967" s="4"/>
      <c r="BT1967" s="4"/>
      <c r="BU1967" s="4"/>
    </row>
    <row r="1968" spans="29:73" s="1" customFormat="1" x14ac:dyDescent="0.25">
      <c r="AC1968" s="4"/>
      <c r="AD1968" s="4"/>
      <c r="AE1968" s="4"/>
      <c r="AF1968" s="4"/>
      <c r="AG1968" s="4"/>
      <c r="AH1968" s="4"/>
      <c r="AI1968" s="4"/>
      <c r="AJ1968" s="4"/>
      <c r="AK1968" s="4"/>
      <c r="AL1968" s="4"/>
      <c r="AM1968" s="4"/>
      <c r="AN1968" s="4"/>
      <c r="AO1968" s="4"/>
      <c r="AP1968" s="4"/>
      <c r="AQ1968" s="4"/>
      <c r="AR1968" s="4"/>
      <c r="AS1968" s="4"/>
      <c r="AT1968" s="4"/>
      <c r="AU1968" s="4"/>
      <c r="AV1968" s="4"/>
      <c r="AW1968" s="4"/>
      <c r="AX1968" s="4"/>
      <c r="AY1968" s="4"/>
      <c r="AZ1968" s="4"/>
      <c r="BA1968" s="4"/>
      <c r="BB1968" s="4"/>
      <c r="BC1968" s="4"/>
      <c r="BD1968" s="4"/>
      <c r="BE1968" s="4"/>
      <c r="BF1968" s="4"/>
      <c r="BG1968" s="4"/>
      <c r="BH1968" s="4"/>
      <c r="BI1968" s="4"/>
      <c r="BJ1968" s="4"/>
      <c r="BK1968" s="4"/>
      <c r="BL1968" s="4"/>
      <c r="BM1968" s="4"/>
      <c r="BN1968" s="4"/>
      <c r="BO1968" s="4"/>
      <c r="BP1968" s="4"/>
      <c r="BQ1968" s="4"/>
      <c r="BR1968" s="4"/>
      <c r="BS1968" s="4"/>
      <c r="BT1968" s="4"/>
      <c r="BU1968" s="4"/>
    </row>
    <row r="1969" spans="29:73" s="1" customFormat="1" x14ac:dyDescent="0.25">
      <c r="AC1969" s="4"/>
      <c r="AD1969" s="4"/>
      <c r="AE1969" s="4"/>
      <c r="AF1969" s="4"/>
      <c r="AG1969" s="4"/>
      <c r="AH1969" s="4"/>
      <c r="AI1969" s="4"/>
      <c r="AJ1969" s="4"/>
      <c r="AK1969" s="4"/>
      <c r="AL1969" s="4"/>
      <c r="AM1969" s="4"/>
      <c r="AN1969" s="4"/>
      <c r="AO1969" s="4"/>
      <c r="AP1969" s="4"/>
      <c r="AQ1969" s="4"/>
      <c r="AR1969" s="4"/>
      <c r="AS1969" s="4"/>
      <c r="AT1969" s="4"/>
      <c r="AU1969" s="4"/>
      <c r="AV1969" s="4"/>
      <c r="AW1969" s="4"/>
      <c r="AX1969" s="4"/>
      <c r="AY1969" s="4"/>
      <c r="AZ1969" s="4"/>
      <c r="BA1969" s="4"/>
      <c r="BB1969" s="4"/>
      <c r="BC1969" s="4"/>
      <c r="BD1969" s="4"/>
      <c r="BE1969" s="4"/>
      <c r="BF1969" s="4"/>
      <c r="BG1969" s="4"/>
      <c r="BH1969" s="4"/>
      <c r="BI1969" s="4"/>
      <c r="BJ1969" s="4"/>
      <c r="BK1969" s="4"/>
      <c r="BL1969" s="4"/>
      <c r="BM1969" s="4"/>
      <c r="BN1969" s="4"/>
      <c r="BO1969" s="4"/>
      <c r="BP1969" s="4"/>
      <c r="BQ1969" s="4"/>
      <c r="BR1969" s="4"/>
      <c r="BS1969" s="4"/>
      <c r="BT1969" s="4"/>
      <c r="BU1969" s="4"/>
    </row>
    <row r="1970" spans="29:73" s="1" customFormat="1" x14ac:dyDescent="0.25">
      <c r="AC1970" s="4"/>
      <c r="AD1970" s="4"/>
      <c r="AE1970" s="4"/>
      <c r="AF1970" s="4"/>
      <c r="AG1970" s="4"/>
      <c r="AH1970" s="4"/>
      <c r="AI1970" s="4"/>
      <c r="AJ1970" s="4"/>
      <c r="AK1970" s="4"/>
      <c r="AL1970" s="4"/>
      <c r="AM1970" s="4"/>
      <c r="AN1970" s="4"/>
      <c r="AO1970" s="4"/>
      <c r="AP1970" s="4"/>
      <c r="AQ1970" s="4"/>
      <c r="AR1970" s="4"/>
      <c r="AS1970" s="4"/>
      <c r="AT1970" s="4"/>
      <c r="AU1970" s="4"/>
      <c r="AV1970" s="4"/>
      <c r="AW1970" s="4"/>
      <c r="AX1970" s="4"/>
      <c r="AY1970" s="4"/>
      <c r="AZ1970" s="4"/>
      <c r="BA1970" s="4"/>
      <c r="BB1970" s="4"/>
      <c r="BC1970" s="4"/>
      <c r="BD1970" s="4"/>
      <c r="BE1970" s="4"/>
      <c r="BF1970" s="4"/>
      <c r="BG1970" s="4"/>
      <c r="BH1970" s="4"/>
      <c r="BI1970" s="4"/>
      <c r="BJ1970" s="4"/>
      <c r="BK1970" s="4"/>
      <c r="BL1970" s="4"/>
      <c r="BM1970" s="4"/>
      <c r="BN1970" s="4"/>
      <c r="BO1970" s="4"/>
      <c r="BP1970" s="4"/>
      <c r="BQ1970" s="4"/>
      <c r="BR1970" s="4"/>
      <c r="BS1970" s="4"/>
      <c r="BT1970" s="4"/>
      <c r="BU1970" s="4"/>
    </row>
    <row r="1971" spans="29:73" s="1" customFormat="1" x14ac:dyDescent="0.25">
      <c r="AC1971" s="4"/>
      <c r="AD1971" s="4"/>
      <c r="AE1971" s="4"/>
      <c r="AF1971" s="4"/>
      <c r="AG1971" s="4"/>
      <c r="AH1971" s="4"/>
      <c r="AI1971" s="4"/>
      <c r="AJ1971" s="4"/>
      <c r="AK1971" s="4"/>
      <c r="AL1971" s="4"/>
      <c r="AM1971" s="4"/>
      <c r="AN1971" s="4"/>
      <c r="AO1971" s="4"/>
      <c r="AP1971" s="4"/>
      <c r="AQ1971" s="4"/>
      <c r="AR1971" s="4"/>
      <c r="AS1971" s="4"/>
      <c r="AT1971" s="4"/>
      <c r="AU1971" s="4"/>
      <c r="AV1971" s="4"/>
      <c r="AW1971" s="4"/>
      <c r="AX1971" s="4"/>
      <c r="AY1971" s="4"/>
      <c r="AZ1971" s="4"/>
      <c r="BA1971" s="4"/>
      <c r="BB1971" s="4"/>
      <c r="BC1971" s="4"/>
      <c r="BD1971" s="4"/>
      <c r="BE1971" s="4"/>
      <c r="BF1971" s="4"/>
      <c r="BG1971" s="4"/>
      <c r="BH1971" s="4"/>
      <c r="BI1971" s="4"/>
      <c r="BJ1971" s="4"/>
      <c r="BK1971" s="4"/>
      <c r="BL1971" s="4"/>
      <c r="BM1971" s="4"/>
      <c r="BN1971" s="4"/>
      <c r="BO1971" s="4"/>
      <c r="BP1971" s="4"/>
      <c r="BQ1971" s="4"/>
      <c r="BR1971" s="4"/>
      <c r="BS1971" s="4"/>
      <c r="BT1971" s="4"/>
      <c r="BU1971" s="4"/>
    </row>
    <row r="1972" spans="29:73" s="1" customFormat="1" x14ac:dyDescent="0.25">
      <c r="AC1972" s="4"/>
      <c r="AD1972" s="4"/>
      <c r="AE1972" s="4"/>
      <c r="AF1972" s="4"/>
      <c r="AG1972" s="4"/>
      <c r="AH1972" s="4"/>
      <c r="AI1972" s="4"/>
      <c r="AJ1972" s="4"/>
      <c r="AK1972" s="4"/>
      <c r="AL1972" s="4"/>
      <c r="AM1972" s="4"/>
      <c r="AN1972" s="4"/>
      <c r="AO1972" s="4"/>
      <c r="AP1972" s="4"/>
      <c r="AQ1972" s="4"/>
      <c r="AR1972" s="4"/>
      <c r="AS1972" s="4"/>
      <c r="AT1972" s="4"/>
      <c r="AU1972" s="4"/>
      <c r="AV1972" s="4"/>
      <c r="AW1972" s="4"/>
      <c r="AX1972" s="4"/>
      <c r="AY1972" s="4"/>
      <c r="AZ1972" s="4"/>
      <c r="BA1972" s="4"/>
      <c r="BB1972" s="4"/>
      <c r="BC1972" s="4"/>
      <c r="BD1972" s="4"/>
      <c r="BE1972" s="4"/>
      <c r="BF1972" s="4"/>
      <c r="BG1972" s="4"/>
      <c r="BH1972" s="4"/>
      <c r="BI1972" s="4"/>
      <c r="BJ1972" s="4"/>
      <c r="BK1972" s="4"/>
      <c r="BL1972" s="4"/>
      <c r="BM1972" s="4"/>
      <c r="BN1972" s="4"/>
      <c r="BO1972" s="4"/>
      <c r="BP1972" s="4"/>
      <c r="BQ1972" s="4"/>
      <c r="BR1972" s="4"/>
      <c r="BS1972" s="4"/>
      <c r="BT1972" s="4"/>
      <c r="BU1972" s="4"/>
    </row>
    <row r="1973" spans="29:73" s="1" customFormat="1" x14ac:dyDescent="0.25">
      <c r="AC1973" s="4"/>
      <c r="AD1973" s="4"/>
      <c r="AE1973" s="4"/>
      <c r="AF1973" s="4"/>
      <c r="AG1973" s="4"/>
      <c r="AH1973" s="4"/>
      <c r="AI1973" s="4"/>
      <c r="AJ1973" s="4"/>
      <c r="AK1973" s="4"/>
      <c r="AL1973" s="4"/>
      <c r="AM1973" s="4"/>
      <c r="AN1973" s="4"/>
      <c r="AO1973" s="4"/>
      <c r="AP1973" s="4"/>
      <c r="AQ1973" s="4"/>
      <c r="AR1973" s="4"/>
      <c r="AS1973" s="4"/>
      <c r="AT1973" s="4"/>
      <c r="AU1973" s="4"/>
      <c r="AV1973" s="4"/>
      <c r="AW1973" s="4"/>
      <c r="AX1973" s="4"/>
      <c r="AY1973" s="4"/>
      <c r="AZ1973" s="4"/>
      <c r="BA1973" s="4"/>
      <c r="BB1973" s="4"/>
      <c r="BC1973" s="4"/>
      <c r="BD1973" s="4"/>
      <c r="BE1973" s="4"/>
      <c r="BF1973" s="4"/>
      <c r="BG1973" s="4"/>
      <c r="BH1973" s="4"/>
      <c r="BI1973" s="4"/>
      <c r="BJ1973" s="4"/>
      <c r="BK1973" s="4"/>
      <c r="BL1973" s="4"/>
      <c r="BM1973" s="4"/>
      <c r="BN1973" s="4"/>
      <c r="BO1973" s="4"/>
      <c r="BP1973" s="4"/>
      <c r="BQ1973" s="4"/>
      <c r="BR1973" s="4"/>
      <c r="BS1973" s="4"/>
      <c r="BT1973" s="4"/>
      <c r="BU1973" s="4"/>
    </row>
    <row r="1974" spans="29:73" s="1" customFormat="1" x14ac:dyDescent="0.25">
      <c r="AC1974" s="4"/>
      <c r="AD1974" s="4"/>
      <c r="AE1974" s="4"/>
      <c r="AF1974" s="4"/>
      <c r="AG1974" s="4"/>
      <c r="AH1974" s="4"/>
      <c r="AI1974" s="4"/>
      <c r="AJ1974" s="4"/>
      <c r="AK1974" s="4"/>
      <c r="AL1974" s="4"/>
      <c r="AM1974" s="4"/>
      <c r="AN1974" s="4"/>
      <c r="AO1974" s="4"/>
      <c r="AP1974" s="4"/>
      <c r="AQ1974" s="4"/>
      <c r="AR1974" s="4"/>
      <c r="AS1974" s="4"/>
      <c r="AT1974" s="4"/>
      <c r="AU1974" s="4"/>
      <c r="AV1974" s="4"/>
      <c r="AW1974" s="4"/>
      <c r="AX1974" s="4"/>
      <c r="AY1974" s="4"/>
      <c r="AZ1974" s="4"/>
      <c r="BA1974" s="4"/>
      <c r="BB1974" s="4"/>
      <c r="BC1974" s="4"/>
      <c r="BD1974" s="4"/>
      <c r="BE1974" s="4"/>
      <c r="BF1974" s="4"/>
      <c r="BG1974" s="4"/>
      <c r="BH1974" s="4"/>
      <c r="BI1974" s="4"/>
      <c r="BJ1974" s="4"/>
      <c r="BK1974" s="4"/>
      <c r="BL1974" s="4"/>
      <c r="BM1974" s="4"/>
      <c r="BN1974" s="4"/>
      <c r="BO1974" s="4"/>
      <c r="BP1974" s="4"/>
      <c r="BQ1974" s="4"/>
      <c r="BR1974" s="4"/>
      <c r="BS1974" s="4"/>
      <c r="BT1974" s="4"/>
      <c r="BU1974" s="4"/>
    </row>
    <row r="1975" spans="29:73" s="1" customFormat="1" x14ac:dyDescent="0.25">
      <c r="AC1975" s="4"/>
      <c r="AD1975" s="4"/>
      <c r="AE1975" s="4"/>
      <c r="AF1975" s="4"/>
      <c r="AG1975" s="4"/>
      <c r="AH1975" s="4"/>
      <c r="AI1975" s="4"/>
      <c r="AJ1975" s="4"/>
      <c r="AK1975" s="4"/>
      <c r="AL1975" s="4"/>
      <c r="AM1975" s="4"/>
      <c r="AN1975" s="4"/>
      <c r="AO1975" s="4"/>
      <c r="AP1975" s="4"/>
      <c r="AQ1975" s="4"/>
      <c r="AR1975" s="4"/>
      <c r="AS1975" s="4"/>
      <c r="AT1975" s="4"/>
      <c r="AU1975" s="4"/>
      <c r="AV1975" s="4"/>
      <c r="AW1975" s="4"/>
      <c r="AX1975" s="4"/>
      <c r="AY1975" s="4"/>
      <c r="AZ1975" s="4"/>
      <c r="BA1975" s="4"/>
      <c r="BB1975" s="4"/>
      <c r="BC1975" s="4"/>
      <c r="BD1975" s="4"/>
      <c r="BE1975" s="4"/>
      <c r="BF1975" s="4"/>
      <c r="BG1975" s="4"/>
      <c r="BH1975" s="4"/>
      <c r="BI1975" s="4"/>
      <c r="BJ1975" s="4"/>
      <c r="BK1975" s="4"/>
      <c r="BL1975" s="4"/>
      <c r="BM1975" s="4"/>
      <c r="BN1975" s="4"/>
      <c r="BO1975" s="4"/>
      <c r="BP1975" s="4"/>
      <c r="BQ1975" s="4"/>
      <c r="BR1975" s="4"/>
      <c r="BS1975" s="4"/>
      <c r="BT1975" s="4"/>
      <c r="BU1975" s="4"/>
    </row>
    <row r="1976" spans="29:73" s="1" customFormat="1" x14ac:dyDescent="0.25">
      <c r="AC1976" s="4"/>
      <c r="AD1976" s="4"/>
      <c r="AE1976" s="4"/>
      <c r="AF1976" s="4"/>
      <c r="AG1976" s="4"/>
      <c r="AH1976" s="4"/>
      <c r="AI1976" s="4"/>
      <c r="AJ1976" s="4"/>
      <c r="AK1976" s="4"/>
      <c r="AL1976" s="4"/>
      <c r="AM1976" s="4"/>
      <c r="AN1976" s="4"/>
      <c r="AO1976" s="4"/>
      <c r="AP1976" s="4"/>
      <c r="AQ1976" s="4"/>
      <c r="AR1976" s="4"/>
      <c r="AS1976" s="4"/>
      <c r="AT1976" s="4"/>
      <c r="AU1976" s="4"/>
      <c r="AV1976" s="4"/>
      <c r="AW1976" s="4"/>
      <c r="AX1976" s="4"/>
      <c r="AY1976" s="4"/>
      <c r="AZ1976" s="4"/>
      <c r="BA1976" s="4"/>
      <c r="BB1976" s="4"/>
      <c r="BC1976" s="4"/>
      <c r="BD1976" s="4"/>
      <c r="BE1976" s="4"/>
      <c r="BF1976" s="4"/>
      <c r="BG1976" s="4"/>
      <c r="BH1976" s="4"/>
      <c r="BI1976" s="4"/>
      <c r="BJ1976" s="4"/>
      <c r="BK1976" s="4"/>
      <c r="BL1976" s="4"/>
      <c r="BM1976" s="4"/>
      <c r="BN1976" s="4"/>
      <c r="BO1976" s="4"/>
      <c r="BP1976" s="4"/>
      <c r="BQ1976" s="4"/>
      <c r="BR1976" s="4"/>
      <c r="BS1976" s="4"/>
      <c r="BT1976" s="4"/>
      <c r="BU1976" s="4"/>
    </row>
    <row r="1977" spans="29:73" s="1" customFormat="1" x14ac:dyDescent="0.25">
      <c r="AC1977" s="4"/>
      <c r="AD1977" s="4"/>
      <c r="AE1977" s="4"/>
      <c r="AF1977" s="4"/>
      <c r="AG1977" s="4"/>
      <c r="AH1977" s="4"/>
      <c r="AI1977" s="4"/>
      <c r="AJ1977" s="4"/>
      <c r="AK1977" s="4"/>
      <c r="AL1977" s="4"/>
      <c r="AM1977" s="4"/>
      <c r="AN1977" s="4"/>
      <c r="AO1977" s="4"/>
      <c r="AP1977" s="4"/>
      <c r="AQ1977" s="4"/>
      <c r="AR1977" s="4"/>
      <c r="AS1977" s="4"/>
      <c r="AT1977" s="4"/>
      <c r="AU1977" s="4"/>
      <c r="AV1977" s="4"/>
      <c r="AW1977" s="4"/>
      <c r="AX1977" s="4"/>
      <c r="AY1977" s="4"/>
      <c r="AZ1977" s="4"/>
      <c r="BA1977" s="4"/>
      <c r="BB1977" s="4"/>
      <c r="BC1977" s="4"/>
      <c r="BD1977" s="4"/>
      <c r="BE1977" s="4"/>
      <c r="BF1977" s="4"/>
      <c r="BG1977" s="4"/>
      <c r="BH1977" s="4"/>
      <c r="BI1977" s="4"/>
      <c r="BJ1977" s="4"/>
      <c r="BK1977" s="4"/>
      <c r="BL1977" s="4"/>
      <c r="BM1977" s="4"/>
      <c r="BN1977" s="4"/>
      <c r="BO1977" s="4"/>
      <c r="BP1977" s="4"/>
      <c r="BQ1977" s="4"/>
      <c r="BR1977" s="4"/>
      <c r="BS1977" s="4"/>
      <c r="BT1977" s="4"/>
      <c r="BU1977" s="4"/>
    </row>
    <row r="1978" spans="29:73" s="1" customFormat="1" x14ac:dyDescent="0.25">
      <c r="AC1978" s="4"/>
      <c r="AD1978" s="4"/>
      <c r="AE1978" s="4"/>
      <c r="AF1978" s="4"/>
      <c r="AG1978" s="4"/>
      <c r="AH1978" s="4"/>
      <c r="AI1978" s="4"/>
      <c r="AJ1978" s="4"/>
      <c r="AK1978" s="4"/>
      <c r="AL1978" s="4"/>
      <c r="AM1978" s="4"/>
      <c r="AN1978" s="4"/>
      <c r="AO1978" s="4"/>
      <c r="AP1978" s="4"/>
      <c r="AQ1978" s="4"/>
      <c r="AR1978" s="4"/>
      <c r="AS1978" s="4"/>
      <c r="AT1978" s="4"/>
      <c r="AU1978" s="4"/>
      <c r="AV1978" s="4"/>
      <c r="AW1978" s="4"/>
      <c r="AX1978" s="4"/>
      <c r="AY1978" s="4"/>
      <c r="AZ1978" s="4"/>
      <c r="BA1978" s="4"/>
      <c r="BB1978" s="4"/>
      <c r="BC1978" s="4"/>
      <c r="BD1978" s="4"/>
      <c r="BE1978" s="4"/>
      <c r="BF1978" s="4"/>
      <c r="BG1978" s="4"/>
      <c r="BH1978" s="4"/>
      <c r="BI1978" s="4"/>
      <c r="BJ1978" s="4"/>
      <c r="BK1978" s="4"/>
      <c r="BL1978" s="4"/>
      <c r="BM1978" s="4"/>
      <c r="BN1978" s="4"/>
      <c r="BO1978" s="4"/>
      <c r="BP1978" s="4"/>
      <c r="BQ1978" s="4"/>
      <c r="BR1978" s="4"/>
      <c r="BS1978" s="4"/>
      <c r="BT1978" s="4"/>
      <c r="BU1978" s="4"/>
    </row>
    <row r="1979" spans="29:73" s="1" customFormat="1" x14ac:dyDescent="0.25">
      <c r="AC1979" s="4"/>
      <c r="AD1979" s="4"/>
      <c r="AE1979" s="4"/>
      <c r="AF1979" s="4"/>
      <c r="AG1979" s="4"/>
      <c r="AH1979" s="4"/>
      <c r="AI1979" s="4"/>
      <c r="AJ1979" s="4"/>
      <c r="AK1979" s="4"/>
      <c r="AL1979" s="4"/>
      <c r="AM1979" s="4"/>
      <c r="AN1979" s="4"/>
      <c r="AO1979" s="4"/>
      <c r="AP1979" s="4"/>
      <c r="AQ1979" s="4"/>
      <c r="AR1979" s="4"/>
      <c r="AS1979" s="4"/>
      <c r="AT1979" s="4"/>
      <c r="AU1979" s="4"/>
      <c r="AV1979" s="4"/>
      <c r="AW1979" s="4"/>
      <c r="AX1979" s="4"/>
      <c r="AY1979" s="4"/>
      <c r="AZ1979" s="4"/>
      <c r="BA1979" s="4"/>
      <c r="BB1979" s="4"/>
      <c r="BC1979" s="4"/>
      <c r="BD1979" s="4"/>
      <c r="BE1979" s="4"/>
      <c r="BF1979" s="4"/>
      <c r="BG1979" s="4"/>
      <c r="BH1979" s="4"/>
      <c r="BI1979" s="4"/>
      <c r="BJ1979" s="4"/>
      <c r="BK1979" s="4"/>
      <c r="BL1979" s="4"/>
      <c r="BM1979" s="4"/>
      <c r="BN1979" s="4"/>
      <c r="BO1979" s="4"/>
      <c r="BP1979" s="4"/>
      <c r="BQ1979" s="4"/>
      <c r="BR1979" s="4"/>
      <c r="BS1979" s="4"/>
      <c r="BT1979" s="4"/>
      <c r="BU1979" s="4"/>
    </row>
    <row r="1980" spans="29:73" s="1" customFormat="1" x14ac:dyDescent="0.25">
      <c r="AC1980" s="4"/>
      <c r="AD1980" s="4"/>
      <c r="AE1980" s="4"/>
      <c r="AF1980" s="4"/>
      <c r="AG1980" s="4"/>
      <c r="AH1980" s="4"/>
      <c r="AI1980" s="4"/>
      <c r="AJ1980" s="4"/>
      <c r="AK1980" s="4"/>
      <c r="AL1980" s="4"/>
      <c r="AM1980" s="4"/>
      <c r="AN1980" s="4"/>
      <c r="AO1980" s="4"/>
      <c r="AP1980" s="4"/>
      <c r="AQ1980" s="4"/>
      <c r="AR1980" s="4"/>
      <c r="AS1980" s="4"/>
      <c r="AT1980" s="4"/>
      <c r="AU1980" s="4"/>
      <c r="AV1980" s="4"/>
      <c r="AW1980" s="4"/>
      <c r="AX1980" s="4"/>
      <c r="AY1980" s="4"/>
      <c r="AZ1980" s="4"/>
      <c r="BA1980" s="4"/>
      <c r="BB1980" s="4"/>
      <c r="BC1980" s="4"/>
      <c r="BD1980" s="4"/>
      <c r="BE1980" s="4"/>
      <c r="BF1980" s="4"/>
      <c r="BG1980" s="4"/>
      <c r="BH1980" s="4"/>
      <c r="BI1980" s="4"/>
      <c r="BJ1980" s="4"/>
      <c r="BK1980" s="4"/>
      <c r="BL1980" s="4"/>
      <c r="BM1980" s="4"/>
      <c r="BN1980" s="4"/>
      <c r="BO1980" s="4"/>
      <c r="BP1980" s="4"/>
      <c r="BQ1980" s="4"/>
      <c r="BR1980" s="4"/>
      <c r="BS1980" s="4"/>
      <c r="BT1980" s="4"/>
      <c r="BU1980" s="4"/>
    </row>
    <row r="1981" spans="29:73" s="1" customFormat="1" x14ac:dyDescent="0.25">
      <c r="AC1981" s="4"/>
      <c r="AD1981" s="4"/>
      <c r="AE1981" s="4"/>
      <c r="AF1981" s="4"/>
      <c r="AG1981" s="4"/>
      <c r="AH1981" s="4"/>
      <c r="AI1981" s="4"/>
      <c r="AJ1981" s="4"/>
      <c r="AK1981" s="4"/>
      <c r="AL1981" s="4"/>
      <c r="AM1981" s="4"/>
      <c r="AN1981" s="4"/>
      <c r="AO1981" s="4"/>
      <c r="AP1981" s="4"/>
      <c r="AQ1981" s="4"/>
      <c r="AR1981" s="4"/>
      <c r="AS1981" s="4"/>
      <c r="AT1981" s="4"/>
      <c r="AU1981" s="4"/>
      <c r="AV1981" s="4"/>
      <c r="AW1981" s="4"/>
      <c r="AX1981" s="4"/>
      <c r="AY1981" s="4"/>
      <c r="AZ1981" s="4"/>
      <c r="BA1981" s="4"/>
      <c r="BB1981" s="4"/>
      <c r="BC1981" s="4"/>
      <c r="BD1981" s="4"/>
      <c r="BE1981" s="4"/>
      <c r="BF1981" s="4"/>
      <c r="BG1981" s="4"/>
      <c r="BH1981" s="4"/>
      <c r="BI1981" s="4"/>
      <c r="BJ1981" s="4"/>
      <c r="BK1981" s="4"/>
      <c r="BL1981" s="4"/>
      <c r="BM1981" s="4"/>
      <c r="BN1981" s="4"/>
      <c r="BO1981" s="4"/>
      <c r="BP1981" s="4"/>
      <c r="BQ1981" s="4"/>
      <c r="BR1981" s="4"/>
      <c r="BS1981" s="4"/>
      <c r="BT1981" s="4"/>
      <c r="BU1981" s="4"/>
    </row>
    <row r="1982" spans="29:73" s="1" customFormat="1" x14ac:dyDescent="0.25">
      <c r="AC1982" s="4"/>
      <c r="AD1982" s="4"/>
      <c r="AE1982" s="4"/>
      <c r="AF1982" s="4"/>
      <c r="AG1982" s="4"/>
      <c r="AH1982" s="4"/>
      <c r="AI1982" s="4"/>
      <c r="AJ1982" s="4"/>
      <c r="AK1982" s="4"/>
      <c r="AL1982" s="4"/>
      <c r="AM1982" s="4"/>
      <c r="AN1982" s="4"/>
      <c r="AO1982" s="4"/>
      <c r="AP1982" s="4"/>
      <c r="AQ1982" s="4"/>
      <c r="AR1982" s="4"/>
      <c r="AS1982" s="4"/>
      <c r="AT1982" s="4"/>
      <c r="AU1982" s="4"/>
      <c r="AV1982" s="4"/>
      <c r="AW1982" s="4"/>
      <c r="AX1982" s="4"/>
      <c r="AY1982" s="4"/>
      <c r="AZ1982" s="4"/>
      <c r="BA1982" s="4"/>
      <c r="BB1982" s="4"/>
      <c r="BC1982" s="4"/>
      <c r="BD1982" s="4"/>
      <c r="BE1982" s="4"/>
      <c r="BF1982" s="4"/>
      <c r="BG1982" s="4"/>
      <c r="BH1982" s="4"/>
      <c r="BI1982" s="4"/>
      <c r="BJ1982" s="4"/>
      <c r="BK1982" s="4"/>
      <c r="BL1982" s="4"/>
      <c r="BM1982" s="4"/>
      <c r="BN1982" s="4"/>
      <c r="BO1982" s="4"/>
      <c r="BP1982" s="4"/>
      <c r="BQ1982" s="4"/>
      <c r="BR1982" s="4"/>
      <c r="BS1982" s="4"/>
      <c r="BT1982" s="4"/>
      <c r="BU1982" s="4"/>
    </row>
    <row r="1983" spans="29:73" s="1" customFormat="1" x14ac:dyDescent="0.25">
      <c r="AC1983" s="4"/>
      <c r="AD1983" s="4"/>
      <c r="AE1983" s="4"/>
      <c r="AF1983" s="4"/>
      <c r="AG1983" s="4"/>
      <c r="AH1983" s="4"/>
      <c r="AI1983" s="4"/>
      <c r="AJ1983" s="4"/>
      <c r="AK1983" s="4"/>
      <c r="AL1983" s="4"/>
      <c r="AM1983" s="4"/>
      <c r="AN1983" s="4"/>
      <c r="AO1983" s="4"/>
      <c r="AP1983" s="4"/>
      <c r="AQ1983" s="4"/>
      <c r="AR1983" s="4"/>
      <c r="AS1983" s="4"/>
      <c r="AT1983" s="4"/>
      <c r="AU1983" s="4"/>
      <c r="AV1983" s="4"/>
      <c r="AW1983" s="4"/>
      <c r="AX1983" s="4"/>
      <c r="AY1983" s="4"/>
      <c r="AZ1983" s="4"/>
      <c r="BA1983" s="4"/>
      <c r="BB1983" s="4"/>
      <c r="BC1983" s="4"/>
      <c r="BD1983" s="4"/>
      <c r="BE1983" s="4"/>
      <c r="BF1983" s="4"/>
      <c r="BG1983" s="4"/>
      <c r="BH1983" s="4"/>
      <c r="BI1983" s="4"/>
      <c r="BJ1983" s="4"/>
      <c r="BK1983" s="4"/>
      <c r="BL1983" s="4"/>
      <c r="BM1983" s="4"/>
      <c r="BN1983" s="4"/>
      <c r="BO1983" s="4"/>
      <c r="BP1983" s="4"/>
      <c r="BQ1983" s="4"/>
      <c r="BR1983" s="4"/>
      <c r="BS1983" s="4"/>
      <c r="BT1983" s="4"/>
      <c r="BU1983" s="4"/>
    </row>
    <row r="1984" spans="29:73" s="1" customFormat="1" x14ac:dyDescent="0.25">
      <c r="AC1984" s="4"/>
      <c r="AD1984" s="4"/>
      <c r="AE1984" s="4"/>
      <c r="AF1984" s="4"/>
      <c r="AG1984" s="4"/>
      <c r="AH1984" s="4"/>
      <c r="AI1984" s="4"/>
      <c r="AJ1984" s="4"/>
      <c r="AK1984" s="4"/>
      <c r="AL1984" s="4"/>
      <c r="AM1984" s="4"/>
      <c r="AN1984" s="4"/>
      <c r="AO1984" s="4"/>
      <c r="AP1984" s="4"/>
      <c r="AQ1984" s="4"/>
      <c r="AR1984" s="4"/>
      <c r="AS1984" s="4"/>
      <c r="AT1984" s="4"/>
      <c r="AU1984" s="4"/>
      <c r="AV1984" s="4"/>
      <c r="AW1984" s="4"/>
      <c r="AX1984" s="4"/>
      <c r="AY1984" s="4"/>
      <c r="AZ1984" s="4"/>
      <c r="BA1984" s="4"/>
      <c r="BB1984" s="4"/>
      <c r="BC1984" s="4"/>
      <c r="BD1984" s="4"/>
      <c r="BE1984" s="4"/>
      <c r="BF1984" s="4"/>
      <c r="BG1984" s="4"/>
      <c r="BH1984" s="4"/>
      <c r="BI1984" s="4"/>
      <c r="BJ1984" s="4"/>
      <c r="BK1984" s="4"/>
      <c r="BL1984" s="4"/>
      <c r="BM1984" s="4"/>
      <c r="BN1984" s="4"/>
      <c r="BO1984" s="4"/>
      <c r="BP1984" s="4"/>
      <c r="BQ1984" s="4"/>
      <c r="BR1984" s="4"/>
      <c r="BS1984" s="4"/>
      <c r="BT1984" s="4"/>
      <c r="BU1984" s="4"/>
    </row>
    <row r="1985" spans="29:73" s="1" customFormat="1" x14ac:dyDescent="0.25">
      <c r="AC1985" s="4"/>
      <c r="AD1985" s="4"/>
      <c r="AE1985" s="4"/>
      <c r="AF1985" s="4"/>
      <c r="AG1985" s="4"/>
      <c r="AH1985" s="4"/>
      <c r="AI1985" s="4"/>
      <c r="AJ1985" s="4"/>
      <c r="AK1985" s="4"/>
      <c r="AL1985" s="4"/>
      <c r="AM1985" s="4"/>
      <c r="AN1985" s="4"/>
      <c r="AO1985" s="4"/>
      <c r="AP1985" s="4"/>
      <c r="AQ1985" s="4"/>
      <c r="AR1985" s="4"/>
      <c r="AS1985" s="4"/>
      <c r="AT1985" s="4"/>
      <c r="AU1985" s="4"/>
      <c r="AV1985" s="4"/>
      <c r="AW1985" s="4"/>
      <c r="AX1985" s="4"/>
      <c r="AY1985" s="4"/>
      <c r="AZ1985" s="4"/>
      <c r="BA1985" s="4"/>
      <c r="BB1985" s="4"/>
      <c r="BC1985" s="4"/>
      <c r="BD1985" s="4"/>
      <c r="BE1985" s="4"/>
      <c r="BF1985" s="4"/>
      <c r="BG1985" s="4"/>
      <c r="BH1985" s="4"/>
      <c r="BI1985" s="4"/>
      <c r="BJ1985" s="4"/>
      <c r="BK1985" s="4"/>
      <c r="BL1985" s="4"/>
      <c r="BM1985" s="4"/>
      <c r="BN1985" s="4"/>
      <c r="BO1985" s="4"/>
      <c r="BP1985" s="4"/>
      <c r="BQ1985" s="4"/>
      <c r="BR1985" s="4"/>
      <c r="BS1985" s="4"/>
      <c r="BT1985" s="4"/>
      <c r="BU1985" s="4"/>
    </row>
    <row r="1986" spans="29:73" s="1" customFormat="1" x14ac:dyDescent="0.25">
      <c r="AC1986" s="4"/>
      <c r="AD1986" s="4"/>
      <c r="AE1986" s="4"/>
      <c r="AF1986" s="4"/>
      <c r="AG1986" s="4"/>
      <c r="AH1986" s="4"/>
      <c r="AI1986" s="4"/>
      <c r="AJ1986" s="4"/>
      <c r="AK1986" s="4"/>
      <c r="AL1986" s="4"/>
      <c r="AM1986" s="4"/>
      <c r="AN1986" s="4"/>
      <c r="AO1986" s="4"/>
      <c r="AP1986" s="4"/>
      <c r="AQ1986" s="4"/>
      <c r="AR1986" s="4"/>
      <c r="AS1986" s="4"/>
      <c r="AT1986" s="4"/>
      <c r="AU1986" s="4"/>
      <c r="AV1986" s="4"/>
      <c r="AW1986" s="4"/>
      <c r="AX1986" s="4"/>
      <c r="AY1986" s="4"/>
      <c r="AZ1986" s="4"/>
      <c r="BA1986" s="4"/>
      <c r="BB1986" s="4"/>
      <c r="BC1986" s="4"/>
      <c r="BD1986" s="4"/>
      <c r="BE1986" s="4"/>
      <c r="BF1986" s="4"/>
      <c r="BG1986" s="4"/>
      <c r="BH1986" s="4"/>
      <c r="BI1986" s="4"/>
      <c r="BJ1986" s="4"/>
      <c r="BK1986" s="4"/>
      <c r="BL1986" s="4"/>
      <c r="BM1986" s="4"/>
      <c r="BN1986" s="4"/>
      <c r="BO1986" s="4"/>
      <c r="BP1986" s="4"/>
      <c r="BQ1986" s="4"/>
      <c r="BR1986" s="4"/>
      <c r="BS1986" s="4"/>
      <c r="BT1986" s="4"/>
      <c r="BU1986" s="4"/>
    </row>
    <row r="1987" spans="29:73" s="1" customFormat="1" x14ac:dyDescent="0.25">
      <c r="AC1987" s="4"/>
      <c r="AD1987" s="4"/>
      <c r="AE1987" s="4"/>
      <c r="AF1987" s="4"/>
      <c r="AG1987" s="4"/>
      <c r="AH1987" s="4"/>
      <c r="AI1987" s="4"/>
      <c r="AJ1987" s="4"/>
      <c r="AK1987" s="4"/>
      <c r="AL1987" s="4"/>
      <c r="AM1987" s="4"/>
      <c r="AN1987" s="4"/>
      <c r="AO1987" s="4"/>
      <c r="AP1987" s="4"/>
      <c r="AQ1987" s="4"/>
      <c r="AR1987" s="4"/>
      <c r="AS1987" s="4"/>
      <c r="AT1987" s="4"/>
      <c r="AU1987" s="4"/>
      <c r="AV1987" s="4"/>
      <c r="AW1987" s="4"/>
      <c r="AX1987" s="4"/>
      <c r="AY1987" s="4"/>
      <c r="AZ1987" s="4"/>
      <c r="BA1987" s="4"/>
      <c r="BB1987" s="4"/>
      <c r="BC1987" s="4"/>
      <c r="BD1987" s="4"/>
      <c r="BE1987" s="4"/>
      <c r="BF1987" s="4"/>
      <c r="BG1987" s="4"/>
      <c r="BH1987" s="4"/>
      <c r="BI1987" s="4"/>
      <c r="BJ1987" s="4"/>
      <c r="BK1987" s="4"/>
      <c r="BL1987" s="4"/>
      <c r="BM1987" s="4"/>
      <c r="BN1987" s="4"/>
      <c r="BO1987" s="4"/>
      <c r="BP1987" s="4"/>
      <c r="BQ1987" s="4"/>
      <c r="BR1987" s="4"/>
      <c r="BS1987" s="4"/>
      <c r="BT1987" s="4"/>
      <c r="BU1987" s="4"/>
    </row>
    <row r="1988" spans="29:73" s="1" customFormat="1" x14ac:dyDescent="0.25">
      <c r="AC1988" s="4"/>
      <c r="AD1988" s="4"/>
      <c r="AE1988" s="4"/>
      <c r="AF1988" s="4"/>
      <c r="AG1988" s="4"/>
      <c r="AH1988" s="4"/>
      <c r="AI1988" s="4"/>
      <c r="AJ1988" s="4"/>
      <c r="AK1988" s="4"/>
      <c r="AL1988" s="4"/>
      <c r="AM1988" s="4"/>
      <c r="AN1988" s="4"/>
      <c r="AO1988" s="4"/>
      <c r="AP1988" s="4"/>
      <c r="AQ1988" s="4"/>
      <c r="AR1988" s="4"/>
      <c r="AS1988" s="4"/>
      <c r="AT1988" s="4"/>
      <c r="AU1988" s="4"/>
      <c r="AV1988" s="4"/>
      <c r="AW1988" s="4"/>
      <c r="AX1988" s="4"/>
      <c r="AY1988" s="4"/>
      <c r="AZ1988" s="4"/>
      <c r="BA1988" s="4"/>
      <c r="BB1988" s="4"/>
      <c r="BC1988" s="4"/>
      <c r="BD1988" s="4"/>
      <c r="BE1988" s="4"/>
      <c r="BF1988" s="4"/>
      <c r="BG1988" s="4"/>
      <c r="BH1988" s="4"/>
      <c r="BI1988" s="4"/>
      <c r="BJ1988" s="4"/>
      <c r="BK1988" s="4"/>
      <c r="BL1988" s="4"/>
      <c r="BM1988" s="4"/>
      <c r="BN1988" s="4"/>
      <c r="BO1988" s="4"/>
      <c r="BP1988" s="4"/>
      <c r="BQ1988" s="4"/>
      <c r="BR1988" s="4"/>
      <c r="BS1988" s="4"/>
      <c r="BT1988" s="4"/>
      <c r="BU1988" s="4"/>
    </row>
    <row r="1989" spans="29:73" s="1" customFormat="1" x14ac:dyDescent="0.25">
      <c r="AC1989" s="4"/>
      <c r="AD1989" s="4"/>
      <c r="AE1989" s="4"/>
      <c r="AF1989" s="4"/>
      <c r="AG1989" s="4"/>
      <c r="AH1989" s="4"/>
      <c r="AI1989" s="4"/>
      <c r="AJ1989" s="4"/>
      <c r="AK1989" s="4"/>
      <c r="AL1989" s="4"/>
      <c r="AM1989" s="4"/>
      <c r="AN1989" s="4"/>
      <c r="AO1989" s="4"/>
      <c r="AP1989" s="4"/>
      <c r="AQ1989" s="4"/>
      <c r="AR1989" s="4"/>
      <c r="AS1989" s="4"/>
      <c r="AT1989" s="4"/>
      <c r="AU1989" s="4"/>
      <c r="AV1989" s="4"/>
      <c r="AW1989" s="4"/>
      <c r="AX1989" s="4"/>
      <c r="AY1989" s="4"/>
      <c r="AZ1989" s="4"/>
      <c r="BA1989" s="4"/>
      <c r="BB1989" s="4"/>
      <c r="BC1989" s="4"/>
      <c r="BD1989" s="4"/>
      <c r="BE1989" s="4"/>
      <c r="BF1989" s="4"/>
      <c r="BG1989" s="4"/>
      <c r="BH1989" s="4"/>
      <c r="BI1989" s="4"/>
      <c r="BJ1989" s="4"/>
      <c r="BK1989" s="4"/>
      <c r="BL1989" s="4"/>
      <c r="BM1989" s="4"/>
      <c r="BN1989" s="4"/>
      <c r="BO1989" s="4"/>
      <c r="BP1989" s="4"/>
      <c r="BQ1989" s="4"/>
      <c r="BR1989" s="4"/>
      <c r="BS1989" s="4"/>
      <c r="BT1989" s="4"/>
      <c r="BU1989" s="4"/>
    </row>
    <row r="1990" spans="29:73" s="1" customFormat="1" x14ac:dyDescent="0.25">
      <c r="AC1990" s="4"/>
      <c r="AD1990" s="4"/>
      <c r="AE1990" s="4"/>
      <c r="AF1990" s="4"/>
      <c r="AG1990" s="4"/>
      <c r="AH1990" s="4"/>
      <c r="AI1990" s="4"/>
      <c r="AJ1990" s="4"/>
      <c r="AK1990" s="4"/>
      <c r="AL1990" s="4"/>
      <c r="AM1990" s="4"/>
      <c r="AN1990" s="4"/>
      <c r="AO1990" s="4"/>
      <c r="AP1990" s="4"/>
      <c r="AQ1990" s="4"/>
      <c r="AR1990" s="4"/>
      <c r="AS1990" s="4"/>
      <c r="AT1990" s="4"/>
      <c r="AU1990" s="4"/>
      <c r="AV1990" s="4"/>
      <c r="AW1990" s="4"/>
      <c r="AX1990" s="4"/>
      <c r="AY1990" s="4"/>
      <c r="AZ1990" s="4"/>
      <c r="BA1990" s="4"/>
      <c r="BB1990" s="4"/>
      <c r="BC1990" s="4"/>
      <c r="BD1990" s="4"/>
      <c r="BE1990" s="4"/>
      <c r="BF1990" s="4"/>
      <c r="BG1990" s="4"/>
      <c r="BH1990" s="4"/>
      <c r="BI1990" s="4"/>
      <c r="BJ1990" s="4"/>
      <c r="BK1990" s="4"/>
      <c r="BL1990" s="4"/>
      <c r="BM1990" s="4"/>
      <c r="BN1990" s="4"/>
      <c r="BO1990" s="4"/>
      <c r="BP1990" s="4"/>
      <c r="BQ1990" s="4"/>
      <c r="BR1990" s="4"/>
      <c r="BS1990" s="4"/>
      <c r="BT1990" s="4"/>
      <c r="BU1990" s="4"/>
    </row>
    <row r="1991" spans="29:73" s="1" customFormat="1" x14ac:dyDescent="0.25">
      <c r="AC1991" s="4"/>
      <c r="AD1991" s="4"/>
      <c r="AE1991" s="4"/>
      <c r="AF1991" s="4"/>
      <c r="AG1991" s="4"/>
      <c r="AH1991" s="4"/>
      <c r="AI1991" s="4"/>
      <c r="AJ1991" s="4"/>
      <c r="AK1991" s="4"/>
      <c r="AL1991" s="4"/>
      <c r="AM1991" s="4"/>
      <c r="AN1991" s="4"/>
      <c r="AO1991" s="4"/>
      <c r="AP1991" s="4"/>
      <c r="AQ1991" s="4"/>
      <c r="AR1991" s="4"/>
      <c r="AS1991" s="4"/>
      <c r="AT1991" s="4"/>
      <c r="AU1991" s="4"/>
      <c r="AV1991" s="4"/>
      <c r="AW1991" s="4"/>
      <c r="AX1991" s="4"/>
      <c r="AY1991" s="4"/>
      <c r="AZ1991" s="4"/>
      <c r="BA1991" s="4"/>
      <c r="BB1991" s="4"/>
      <c r="BC1991" s="4"/>
      <c r="BD1991" s="4"/>
      <c r="BE1991" s="4"/>
      <c r="BF1991" s="4"/>
      <c r="BG1991" s="4"/>
      <c r="BH1991" s="4"/>
      <c r="BI1991" s="4"/>
      <c r="BJ1991" s="4"/>
      <c r="BK1991" s="4"/>
      <c r="BL1991" s="4"/>
      <c r="BM1991" s="4"/>
      <c r="BN1991" s="4"/>
      <c r="BO1991" s="4"/>
      <c r="BP1991" s="4"/>
      <c r="BQ1991" s="4"/>
      <c r="BR1991" s="4"/>
      <c r="BS1991" s="4"/>
      <c r="BT1991" s="4"/>
      <c r="BU1991" s="4"/>
    </row>
    <row r="1992" spans="29:73" s="1" customFormat="1" x14ac:dyDescent="0.25">
      <c r="AC1992" s="4"/>
      <c r="AD1992" s="4"/>
      <c r="AE1992" s="4"/>
      <c r="AF1992" s="4"/>
      <c r="AG1992" s="4"/>
      <c r="AH1992" s="4"/>
      <c r="AI1992" s="4"/>
      <c r="AJ1992" s="4"/>
      <c r="AK1992" s="4"/>
      <c r="AL1992" s="4"/>
      <c r="AM1992" s="4"/>
      <c r="AN1992" s="4"/>
      <c r="AO1992" s="4"/>
      <c r="AP1992" s="4"/>
      <c r="AQ1992" s="4"/>
      <c r="AR1992" s="4"/>
      <c r="AS1992" s="4"/>
      <c r="AT1992" s="4"/>
      <c r="AU1992" s="4"/>
      <c r="AV1992" s="4"/>
      <c r="AW1992" s="4"/>
      <c r="AX1992" s="4"/>
      <c r="AY1992" s="4"/>
      <c r="AZ1992" s="4"/>
      <c r="BA1992" s="4"/>
      <c r="BB1992" s="4"/>
      <c r="BC1992" s="4"/>
      <c r="BD1992" s="4"/>
      <c r="BE1992" s="4"/>
      <c r="BF1992" s="4"/>
      <c r="BG1992" s="4"/>
      <c r="BH1992" s="4"/>
      <c r="BI1992" s="4"/>
      <c r="BJ1992" s="4"/>
      <c r="BK1992" s="4"/>
      <c r="BL1992" s="4"/>
      <c r="BM1992" s="4"/>
      <c r="BN1992" s="4"/>
      <c r="BO1992" s="4"/>
      <c r="BP1992" s="4"/>
      <c r="BQ1992" s="4"/>
      <c r="BR1992" s="4"/>
      <c r="BS1992" s="4"/>
      <c r="BT1992" s="4"/>
      <c r="BU1992" s="4"/>
    </row>
    <row r="1993" spans="29:73" s="1" customFormat="1" x14ac:dyDescent="0.25">
      <c r="AC1993" s="4"/>
      <c r="AD1993" s="4"/>
      <c r="AE1993" s="4"/>
      <c r="AF1993" s="4"/>
      <c r="AG1993" s="4"/>
      <c r="AH1993" s="4"/>
      <c r="AI1993" s="4"/>
      <c r="AJ1993" s="4"/>
      <c r="AK1993" s="4"/>
      <c r="AL1993" s="4"/>
      <c r="AM1993" s="4"/>
      <c r="AN1993" s="4"/>
      <c r="AO1993" s="4"/>
      <c r="AP1993" s="4"/>
      <c r="AQ1993" s="4"/>
      <c r="AR1993" s="4"/>
      <c r="AS1993" s="4"/>
      <c r="AT1993" s="4"/>
      <c r="AU1993" s="4"/>
      <c r="AV1993" s="4"/>
      <c r="AW1993" s="4"/>
      <c r="AX1993" s="4"/>
      <c r="AY1993" s="4"/>
      <c r="AZ1993" s="4"/>
      <c r="BA1993" s="4"/>
      <c r="BB1993" s="4"/>
      <c r="BC1993" s="4"/>
      <c r="BD1993" s="4"/>
      <c r="BE1993" s="4"/>
      <c r="BF1993" s="4"/>
      <c r="BG1993" s="4"/>
      <c r="BH1993" s="4"/>
      <c r="BI1993" s="4"/>
      <c r="BJ1993" s="4"/>
      <c r="BK1993" s="4"/>
      <c r="BL1993" s="4"/>
      <c r="BM1993" s="4"/>
      <c r="BN1993" s="4"/>
      <c r="BO1993" s="4"/>
      <c r="BP1993" s="4"/>
      <c r="BQ1993" s="4"/>
      <c r="BR1993" s="4"/>
      <c r="BS1993" s="4"/>
      <c r="BT1993" s="4"/>
      <c r="BU1993" s="4"/>
    </row>
    <row r="1994" spans="29:73" s="1" customFormat="1" x14ac:dyDescent="0.25">
      <c r="AC1994" s="4"/>
      <c r="AD1994" s="4"/>
      <c r="AE1994" s="4"/>
      <c r="AF1994" s="4"/>
      <c r="AG1994" s="4"/>
      <c r="AH1994" s="4"/>
      <c r="AI1994" s="4"/>
      <c r="AJ1994" s="4"/>
      <c r="AK1994" s="4"/>
      <c r="AL1994" s="4"/>
      <c r="AM1994" s="4"/>
      <c r="AN1994" s="4"/>
      <c r="AO1994" s="4"/>
      <c r="AP1994" s="4"/>
      <c r="AQ1994" s="4"/>
      <c r="AR1994" s="4"/>
      <c r="AS1994" s="4"/>
      <c r="AT1994" s="4"/>
      <c r="AU1994" s="4"/>
      <c r="AV1994" s="4"/>
      <c r="AW1994" s="4"/>
      <c r="AX1994" s="4"/>
      <c r="AY1994" s="4"/>
      <c r="AZ1994" s="4"/>
      <c r="BA1994" s="4"/>
      <c r="BB1994" s="4"/>
      <c r="BC1994" s="4"/>
      <c r="BD1994" s="4"/>
      <c r="BE1994" s="4"/>
      <c r="BF1994" s="4"/>
      <c r="BG1994" s="4"/>
      <c r="BH1994" s="4"/>
      <c r="BI1994" s="4"/>
      <c r="BJ1994" s="4"/>
      <c r="BK1994" s="4"/>
      <c r="BL1994" s="4"/>
      <c r="BM1994" s="4"/>
      <c r="BN1994" s="4"/>
      <c r="BO1994" s="4"/>
      <c r="BP1994" s="4"/>
      <c r="BQ1994" s="4"/>
      <c r="BR1994" s="4"/>
      <c r="BS1994" s="4"/>
      <c r="BT1994" s="4"/>
      <c r="BU1994" s="4"/>
    </row>
    <row r="1995" spans="29:73" s="1" customFormat="1" x14ac:dyDescent="0.25">
      <c r="AC1995" s="4"/>
      <c r="AD1995" s="4"/>
      <c r="AE1995" s="4"/>
      <c r="AF1995" s="4"/>
      <c r="AG1995" s="4"/>
      <c r="AH1995" s="4"/>
      <c r="AI1995" s="4"/>
      <c r="AJ1995" s="4"/>
      <c r="AK1995" s="4"/>
      <c r="AL1995" s="4"/>
      <c r="AM1995" s="4"/>
      <c r="AN1995" s="4"/>
      <c r="AO1995" s="4"/>
      <c r="AP1995" s="4"/>
      <c r="AQ1995" s="4"/>
      <c r="AR1995" s="4"/>
      <c r="AS1995" s="4"/>
      <c r="AT1995" s="4"/>
      <c r="AU1995" s="4"/>
      <c r="AV1995" s="4"/>
      <c r="AW1995" s="4"/>
      <c r="AX1995" s="4"/>
      <c r="AY1995" s="4"/>
      <c r="AZ1995" s="4"/>
      <c r="BA1995" s="4"/>
      <c r="BB1995" s="4"/>
      <c r="BC1995" s="4"/>
      <c r="BD1995" s="4"/>
      <c r="BE1995" s="4"/>
      <c r="BF1995" s="4"/>
      <c r="BG1995" s="4"/>
      <c r="BH1995" s="4"/>
      <c r="BI1995" s="4"/>
      <c r="BJ1995" s="4"/>
      <c r="BK1995" s="4"/>
      <c r="BL1995" s="4"/>
      <c r="BM1995" s="4"/>
      <c r="BN1995" s="4"/>
      <c r="BO1995" s="4"/>
      <c r="BP1995" s="4"/>
      <c r="BQ1995" s="4"/>
      <c r="BR1995" s="4"/>
      <c r="BS1995" s="4"/>
      <c r="BT1995" s="4"/>
      <c r="BU1995" s="4"/>
    </row>
    <row r="1996" spans="29:73" s="1" customFormat="1" x14ac:dyDescent="0.25">
      <c r="AC1996" s="4"/>
      <c r="AD1996" s="4"/>
      <c r="AE1996" s="4"/>
      <c r="AF1996" s="4"/>
      <c r="AG1996" s="4"/>
      <c r="AH1996" s="4"/>
      <c r="AI1996" s="4"/>
      <c r="AJ1996" s="4"/>
      <c r="AK1996" s="4"/>
      <c r="AL1996" s="4"/>
      <c r="AM1996" s="4"/>
      <c r="AN1996" s="4"/>
      <c r="AO1996" s="4"/>
      <c r="AP1996" s="4"/>
      <c r="AQ1996" s="4"/>
      <c r="AR1996" s="4"/>
      <c r="AS1996" s="4"/>
      <c r="AT1996" s="4"/>
      <c r="AU1996" s="4"/>
      <c r="AV1996" s="4"/>
      <c r="AW1996" s="4"/>
      <c r="AX1996" s="4"/>
      <c r="AY1996" s="4"/>
      <c r="AZ1996" s="4"/>
      <c r="BA1996" s="4"/>
      <c r="BB1996" s="4"/>
      <c r="BC1996" s="4"/>
      <c r="BD1996" s="4"/>
      <c r="BE1996" s="4"/>
      <c r="BF1996" s="4"/>
      <c r="BG1996" s="4"/>
      <c r="BH1996" s="4"/>
      <c r="BI1996" s="4"/>
      <c r="BJ1996" s="4"/>
      <c r="BK1996" s="4"/>
      <c r="BL1996" s="4"/>
      <c r="BM1996" s="4"/>
      <c r="BN1996" s="4"/>
      <c r="BO1996" s="4"/>
      <c r="BP1996" s="4"/>
      <c r="BQ1996" s="4"/>
      <c r="BR1996" s="4"/>
      <c r="BS1996" s="4"/>
      <c r="BT1996" s="4"/>
      <c r="BU1996" s="4"/>
    </row>
    <row r="1997" spans="29:73" s="1" customFormat="1" x14ac:dyDescent="0.25">
      <c r="AC1997" s="4"/>
      <c r="AD1997" s="4"/>
      <c r="AE1997" s="4"/>
      <c r="AF1997" s="4"/>
      <c r="AG1997" s="4"/>
      <c r="AH1997" s="4"/>
      <c r="AI1997" s="4"/>
      <c r="AJ1997" s="4"/>
      <c r="AK1997" s="4"/>
      <c r="AL1997" s="4"/>
      <c r="AM1997" s="4"/>
      <c r="AN1997" s="4"/>
      <c r="AO1997" s="4"/>
      <c r="AP1997" s="4"/>
      <c r="AQ1997" s="4"/>
      <c r="AR1997" s="4"/>
      <c r="AS1997" s="4"/>
      <c r="AT1997" s="4"/>
      <c r="AU1997" s="4"/>
      <c r="AV1997" s="4"/>
      <c r="AW1997" s="4"/>
      <c r="AX1997" s="4"/>
      <c r="AY1997" s="4"/>
      <c r="AZ1997" s="4"/>
      <c r="BA1997" s="4"/>
      <c r="BB1997" s="4"/>
      <c r="BC1997" s="4"/>
      <c r="BD1997" s="4"/>
      <c r="BE1997" s="4"/>
      <c r="BF1997" s="4"/>
      <c r="BG1997" s="4"/>
      <c r="BH1997" s="4"/>
      <c r="BI1997" s="4"/>
      <c r="BJ1997" s="4"/>
      <c r="BK1997" s="4"/>
      <c r="BL1997" s="4"/>
      <c r="BM1997" s="4"/>
      <c r="BN1997" s="4"/>
      <c r="BO1997" s="4"/>
      <c r="BP1997" s="4"/>
      <c r="BQ1997" s="4"/>
      <c r="BR1997" s="4"/>
      <c r="BS1997" s="4"/>
      <c r="BT1997" s="4"/>
      <c r="BU1997" s="4"/>
    </row>
    <row r="1998" spans="29:73" s="1" customFormat="1" x14ac:dyDescent="0.25">
      <c r="AC1998" s="4"/>
      <c r="AD1998" s="4"/>
      <c r="AE1998" s="4"/>
      <c r="AF1998" s="4"/>
      <c r="AG1998" s="4"/>
      <c r="AH1998" s="4"/>
      <c r="AI1998" s="4"/>
      <c r="AJ1998" s="4"/>
      <c r="AK1998" s="4"/>
      <c r="AL1998" s="4"/>
      <c r="AM1998" s="4"/>
      <c r="AN1998" s="4"/>
      <c r="AO1998" s="4"/>
      <c r="AP1998" s="4"/>
      <c r="AQ1998" s="4"/>
      <c r="AR1998" s="4"/>
      <c r="AS1998" s="4"/>
      <c r="AT1998" s="4"/>
      <c r="AU1998" s="4"/>
      <c r="AV1998" s="4"/>
      <c r="AW1998" s="4"/>
      <c r="AX1998" s="4"/>
      <c r="AY1998" s="4"/>
      <c r="AZ1998" s="4"/>
      <c r="BA1998" s="4"/>
      <c r="BB1998" s="4"/>
      <c r="BC1998" s="4"/>
      <c r="BD1998" s="4"/>
      <c r="BE1998" s="4"/>
      <c r="BF1998" s="4"/>
      <c r="BG1998" s="4"/>
      <c r="BH1998" s="4"/>
      <c r="BI1998" s="4"/>
      <c r="BJ1998" s="4"/>
      <c r="BK1998" s="4"/>
      <c r="BL1998" s="4"/>
      <c r="BM1998" s="4"/>
      <c r="BN1998" s="4"/>
      <c r="BO1998" s="4"/>
      <c r="BP1998" s="4"/>
      <c r="BQ1998" s="4"/>
      <c r="BR1998" s="4"/>
      <c r="BS1998" s="4"/>
      <c r="BT1998" s="4"/>
      <c r="BU1998" s="4"/>
    </row>
    <row r="1999" spans="29:73" s="1" customFormat="1" x14ac:dyDescent="0.25">
      <c r="AC1999" s="4"/>
      <c r="AD1999" s="4"/>
      <c r="AE1999" s="4"/>
      <c r="AF1999" s="4"/>
      <c r="AG1999" s="4"/>
      <c r="AH1999" s="4"/>
      <c r="AI1999" s="4"/>
      <c r="AJ1999" s="4"/>
      <c r="AK1999" s="4"/>
      <c r="AL1999" s="4"/>
      <c r="AM1999" s="4"/>
      <c r="AN1999" s="4"/>
      <c r="AO1999" s="4"/>
      <c r="AP1999" s="4"/>
      <c r="AQ1999" s="4"/>
      <c r="AR1999" s="4"/>
      <c r="AS1999" s="4"/>
      <c r="AT1999" s="4"/>
      <c r="AU1999" s="4"/>
      <c r="AV1999" s="4"/>
      <c r="AW1999" s="4"/>
      <c r="AX1999" s="4"/>
      <c r="AY1999" s="4"/>
      <c r="AZ1999" s="4"/>
      <c r="BA1999" s="4"/>
      <c r="BB1999" s="4"/>
      <c r="BC1999" s="4"/>
      <c r="BD1999" s="4"/>
      <c r="BE1999" s="4"/>
      <c r="BF1999" s="4"/>
      <c r="BG1999" s="4"/>
      <c r="BH1999" s="4"/>
      <c r="BI1999" s="4"/>
      <c r="BJ1999" s="4"/>
      <c r="BK1999" s="4"/>
      <c r="BL1999" s="4"/>
      <c r="BM1999" s="4"/>
      <c r="BN1999" s="4"/>
      <c r="BO1999" s="4"/>
      <c r="BP1999" s="4"/>
      <c r="BQ1999" s="4"/>
      <c r="BR1999" s="4"/>
      <c r="BS1999" s="4"/>
      <c r="BT1999" s="4"/>
      <c r="BU1999" s="4"/>
    </row>
    <row r="2000" spans="29:73" s="1" customFormat="1" x14ac:dyDescent="0.25">
      <c r="AC2000" s="4"/>
      <c r="AD2000" s="4"/>
      <c r="AE2000" s="4"/>
      <c r="AF2000" s="4"/>
      <c r="AG2000" s="4"/>
      <c r="AH2000" s="4"/>
      <c r="AI2000" s="4"/>
      <c r="AJ2000" s="4"/>
      <c r="AK2000" s="4"/>
      <c r="AL2000" s="4"/>
      <c r="AM2000" s="4"/>
      <c r="AN2000" s="4"/>
      <c r="AO2000" s="4"/>
      <c r="AP2000" s="4"/>
      <c r="AQ2000" s="4"/>
      <c r="AR2000" s="4"/>
      <c r="AS2000" s="4"/>
      <c r="AT2000" s="4"/>
      <c r="AU2000" s="4"/>
      <c r="AV2000" s="4"/>
      <c r="AW2000" s="4"/>
      <c r="AX2000" s="4"/>
      <c r="AY2000" s="4"/>
      <c r="AZ2000" s="4"/>
      <c r="BA2000" s="4"/>
      <c r="BB2000" s="4"/>
      <c r="BC2000" s="4"/>
      <c r="BD2000" s="4"/>
      <c r="BE2000" s="4"/>
      <c r="BF2000" s="4"/>
      <c r="BG2000" s="4"/>
      <c r="BH2000" s="4"/>
      <c r="BI2000" s="4"/>
      <c r="BJ2000" s="4"/>
      <c r="BK2000" s="4"/>
      <c r="BL2000" s="4"/>
      <c r="BM2000" s="4"/>
      <c r="BN2000" s="4"/>
      <c r="BO2000" s="4"/>
      <c r="BP2000" s="4"/>
      <c r="BQ2000" s="4"/>
      <c r="BR2000" s="4"/>
      <c r="BS2000" s="4"/>
      <c r="BT2000" s="4"/>
      <c r="BU2000" s="4"/>
    </row>
    <row r="2001" spans="29:73" s="1" customFormat="1" x14ac:dyDescent="0.25">
      <c r="AC2001" s="4"/>
      <c r="AD2001" s="4"/>
      <c r="AE2001" s="4"/>
      <c r="AF2001" s="4"/>
      <c r="AG2001" s="4"/>
      <c r="AH2001" s="4"/>
      <c r="AI2001" s="4"/>
      <c r="AJ2001" s="4"/>
      <c r="AK2001" s="4"/>
      <c r="AL2001" s="4"/>
      <c r="AM2001" s="4"/>
      <c r="AN2001" s="4"/>
      <c r="AO2001" s="4"/>
      <c r="AP2001" s="4"/>
      <c r="AQ2001" s="4"/>
      <c r="AR2001" s="4"/>
      <c r="AS2001" s="4"/>
      <c r="AT2001" s="4"/>
      <c r="AU2001" s="4"/>
      <c r="AV2001" s="4"/>
      <c r="AW2001" s="4"/>
      <c r="AX2001" s="4"/>
      <c r="AY2001" s="4"/>
      <c r="AZ2001" s="4"/>
      <c r="BA2001" s="4"/>
      <c r="BB2001" s="4"/>
      <c r="BC2001" s="4"/>
      <c r="BD2001" s="4"/>
      <c r="BE2001" s="4"/>
      <c r="BF2001" s="4"/>
      <c r="BG2001" s="4"/>
      <c r="BH2001" s="4"/>
      <c r="BI2001" s="4"/>
      <c r="BJ2001" s="4"/>
      <c r="BK2001" s="4"/>
      <c r="BL2001" s="4"/>
      <c r="BM2001" s="4"/>
      <c r="BN2001" s="4"/>
      <c r="BO2001" s="4"/>
      <c r="BP2001" s="4"/>
      <c r="BQ2001" s="4"/>
      <c r="BR2001" s="4"/>
      <c r="BS2001" s="4"/>
      <c r="BT2001" s="4"/>
      <c r="BU2001" s="4"/>
    </row>
    <row r="2002" spans="29:73" s="1" customFormat="1" x14ac:dyDescent="0.25">
      <c r="AC2002" s="4"/>
      <c r="AD2002" s="4"/>
      <c r="AE2002" s="4"/>
      <c r="AF2002" s="4"/>
      <c r="AG2002" s="4"/>
      <c r="AH2002" s="4"/>
      <c r="AI2002" s="4"/>
      <c r="AJ2002" s="4"/>
      <c r="AK2002" s="4"/>
      <c r="AL2002" s="4"/>
      <c r="AM2002" s="4"/>
      <c r="AN2002" s="4"/>
      <c r="AO2002" s="4"/>
      <c r="AP2002" s="4"/>
      <c r="AQ2002" s="4"/>
      <c r="AR2002" s="4"/>
      <c r="AS2002" s="4"/>
      <c r="AT2002" s="4"/>
      <c r="AU2002" s="4"/>
      <c r="AV2002" s="4"/>
      <c r="AW2002" s="4"/>
      <c r="AX2002" s="4"/>
      <c r="AY2002" s="4"/>
      <c r="AZ2002" s="4"/>
      <c r="BA2002" s="4"/>
      <c r="BB2002" s="4"/>
      <c r="BC2002" s="4"/>
      <c r="BD2002" s="4"/>
      <c r="BE2002" s="4"/>
      <c r="BF2002" s="4"/>
      <c r="BG2002" s="4"/>
      <c r="BH2002" s="4"/>
      <c r="BI2002" s="4"/>
      <c r="BJ2002" s="4"/>
      <c r="BK2002" s="4"/>
      <c r="BL2002" s="4"/>
      <c r="BM2002" s="4"/>
      <c r="BN2002" s="4"/>
      <c r="BO2002" s="4"/>
      <c r="BP2002" s="4"/>
      <c r="BQ2002" s="4"/>
      <c r="BR2002" s="4"/>
      <c r="BS2002" s="4"/>
      <c r="BT2002" s="4"/>
      <c r="BU2002" s="4"/>
    </row>
    <row r="2003" spans="29:73" s="1" customFormat="1" x14ac:dyDescent="0.25">
      <c r="AC2003" s="4"/>
      <c r="AD2003" s="4"/>
      <c r="AE2003" s="4"/>
      <c r="AF2003" s="4"/>
      <c r="AG2003" s="4"/>
      <c r="AH2003" s="4"/>
      <c r="AI2003" s="4"/>
      <c r="AJ2003" s="4"/>
      <c r="AK2003" s="4"/>
      <c r="AL2003" s="4"/>
      <c r="AM2003" s="4"/>
      <c r="AN2003" s="4"/>
      <c r="AO2003" s="4"/>
      <c r="AP2003" s="4"/>
      <c r="AQ2003" s="4"/>
      <c r="AR2003" s="4"/>
      <c r="AS2003" s="4"/>
      <c r="AT2003" s="4"/>
      <c r="AU2003" s="4"/>
      <c r="AV2003" s="4"/>
      <c r="AW2003" s="4"/>
      <c r="AX2003" s="4"/>
      <c r="AY2003" s="4"/>
      <c r="AZ2003" s="4"/>
      <c r="BA2003" s="4"/>
      <c r="BB2003" s="4"/>
      <c r="BC2003" s="4"/>
      <c r="BD2003" s="4"/>
      <c r="BE2003" s="4"/>
      <c r="BF2003" s="4"/>
      <c r="BG2003" s="4"/>
      <c r="BH2003" s="4"/>
      <c r="BI2003" s="4"/>
      <c r="BJ2003" s="4"/>
      <c r="BK2003" s="4"/>
      <c r="BL2003" s="4"/>
      <c r="BM2003" s="4"/>
      <c r="BN2003" s="4"/>
      <c r="BO2003" s="4"/>
      <c r="BP2003" s="4"/>
      <c r="BQ2003" s="4"/>
      <c r="BR2003" s="4"/>
      <c r="BS2003" s="4"/>
      <c r="BT2003" s="4"/>
      <c r="BU2003" s="4"/>
    </row>
    <row r="2004" spans="29:73" s="1" customFormat="1" x14ac:dyDescent="0.25">
      <c r="AC2004" s="4"/>
      <c r="AD2004" s="4"/>
      <c r="AE2004" s="4"/>
      <c r="AF2004" s="4"/>
      <c r="AG2004" s="4"/>
      <c r="AH2004" s="4"/>
      <c r="AI2004" s="4"/>
      <c r="AJ2004" s="4"/>
      <c r="AK2004" s="4"/>
      <c r="AL2004" s="4"/>
      <c r="AM2004" s="4"/>
      <c r="AN2004" s="4"/>
      <c r="AO2004" s="4"/>
      <c r="AP2004" s="4"/>
      <c r="AQ2004" s="4"/>
      <c r="AR2004" s="4"/>
      <c r="AS2004" s="4"/>
      <c r="AT2004" s="4"/>
      <c r="AU2004" s="4"/>
      <c r="AV2004" s="4"/>
      <c r="AW2004" s="4"/>
      <c r="AX2004" s="4"/>
      <c r="AY2004" s="4"/>
      <c r="AZ2004" s="4"/>
      <c r="BA2004" s="4"/>
      <c r="BB2004" s="4"/>
      <c r="BC2004" s="4"/>
      <c r="BD2004" s="4"/>
      <c r="BE2004" s="4"/>
      <c r="BF2004" s="4"/>
      <c r="BG2004" s="4"/>
      <c r="BH2004" s="4"/>
      <c r="BI2004" s="4"/>
      <c r="BJ2004" s="4"/>
      <c r="BK2004" s="4"/>
      <c r="BL2004" s="4"/>
      <c r="BM2004" s="4"/>
      <c r="BN2004" s="4"/>
      <c r="BO2004" s="4"/>
      <c r="BP2004" s="4"/>
      <c r="BQ2004" s="4"/>
      <c r="BR2004" s="4"/>
      <c r="BS2004" s="4"/>
      <c r="BT2004" s="4"/>
      <c r="BU2004" s="4"/>
    </row>
    <row r="2005" spans="29:73" s="1" customFormat="1" x14ac:dyDescent="0.25">
      <c r="AC2005" s="4"/>
      <c r="AD2005" s="4"/>
      <c r="AE2005" s="4"/>
      <c r="AF2005" s="4"/>
      <c r="AG2005" s="4"/>
      <c r="AH2005" s="4"/>
      <c r="AI2005" s="4"/>
      <c r="AJ2005" s="4"/>
      <c r="AK2005" s="4"/>
      <c r="AL2005" s="4"/>
      <c r="AM2005" s="4"/>
      <c r="AN2005" s="4"/>
      <c r="AO2005" s="4"/>
      <c r="AP2005" s="4"/>
      <c r="AQ2005" s="4"/>
      <c r="AR2005" s="4"/>
      <c r="AS2005" s="4"/>
      <c r="AT2005" s="4"/>
      <c r="AU2005" s="4"/>
      <c r="AV2005" s="4"/>
      <c r="AW2005" s="4"/>
      <c r="AX2005" s="4"/>
      <c r="AY2005" s="4"/>
      <c r="AZ2005" s="4"/>
      <c r="BA2005" s="4"/>
      <c r="BB2005" s="4"/>
      <c r="BC2005" s="4"/>
      <c r="BD2005" s="4"/>
      <c r="BE2005" s="4"/>
      <c r="BF2005" s="4"/>
      <c r="BG2005" s="4"/>
      <c r="BH2005" s="4"/>
      <c r="BI2005" s="4"/>
      <c r="BJ2005" s="4"/>
      <c r="BK2005" s="4"/>
      <c r="BL2005" s="4"/>
      <c r="BM2005" s="4"/>
      <c r="BN2005" s="4"/>
      <c r="BO2005" s="4"/>
      <c r="BP2005" s="4"/>
      <c r="BQ2005" s="4"/>
      <c r="BR2005" s="4"/>
      <c r="BS2005" s="4"/>
      <c r="BT2005" s="4"/>
      <c r="BU2005" s="4"/>
    </row>
    <row r="2006" spans="29:73" s="1" customFormat="1" x14ac:dyDescent="0.25">
      <c r="AC2006" s="4"/>
      <c r="AD2006" s="4"/>
      <c r="AE2006" s="4"/>
      <c r="AF2006" s="4"/>
      <c r="AG2006" s="4"/>
      <c r="AH2006" s="4"/>
      <c r="AI2006" s="4"/>
      <c r="AJ2006" s="4"/>
      <c r="AK2006" s="4"/>
      <c r="AL2006" s="4"/>
      <c r="AM2006" s="4"/>
      <c r="AN2006" s="4"/>
      <c r="AO2006" s="4"/>
      <c r="AP2006" s="4"/>
      <c r="AQ2006" s="4"/>
      <c r="AR2006" s="4"/>
      <c r="AS2006" s="4"/>
      <c r="AT2006" s="4"/>
      <c r="AU2006" s="4"/>
      <c r="AV2006" s="4"/>
      <c r="AW2006" s="4"/>
      <c r="AX2006" s="4"/>
      <c r="AY2006" s="4"/>
      <c r="AZ2006" s="4"/>
      <c r="BA2006" s="4"/>
      <c r="BB2006" s="4"/>
      <c r="BC2006" s="4"/>
      <c r="BD2006" s="4"/>
      <c r="BE2006" s="4"/>
      <c r="BF2006" s="4"/>
      <c r="BG2006" s="4"/>
      <c r="BH2006" s="4"/>
      <c r="BI2006" s="4"/>
      <c r="BJ2006" s="4"/>
      <c r="BK2006" s="4"/>
      <c r="BL2006" s="4"/>
      <c r="BM2006" s="4"/>
      <c r="BN2006" s="4"/>
      <c r="BO2006" s="4"/>
      <c r="BP2006" s="4"/>
      <c r="BQ2006" s="4"/>
      <c r="BR2006" s="4"/>
      <c r="BS2006" s="4"/>
      <c r="BT2006" s="4"/>
      <c r="BU2006" s="4"/>
    </row>
    <row r="2007" spans="29:73" s="1" customFormat="1" x14ac:dyDescent="0.25">
      <c r="AC2007" s="4"/>
      <c r="AD2007" s="4"/>
      <c r="AE2007" s="4"/>
      <c r="AF2007" s="4"/>
      <c r="AG2007" s="4"/>
      <c r="AH2007" s="4"/>
      <c r="AI2007" s="4"/>
      <c r="AJ2007" s="4"/>
      <c r="AK2007" s="4"/>
      <c r="AL2007" s="4"/>
      <c r="AM2007" s="4"/>
      <c r="AN2007" s="4"/>
      <c r="AO2007" s="4"/>
      <c r="AP2007" s="4"/>
      <c r="AQ2007" s="4"/>
      <c r="AR2007" s="4"/>
      <c r="AS2007" s="4"/>
      <c r="AT2007" s="4"/>
      <c r="AU2007" s="4"/>
      <c r="AV2007" s="4"/>
      <c r="AW2007" s="4"/>
      <c r="AX2007" s="4"/>
      <c r="AY2007" s="4"/>
      <c r="AZ2007" s="4"/>
      <c r="BA2007" s="4"/>
      <c r="BB2007" s="4"/>
      <c r="BC2007" s="4"/>
      <c r="BD2007" s="4"/>
      <c r="BE2007" s="4"/>
      <c r="BF2007" s="4"/>
      <c r="BG2007" s="4"/>
      <c r="BH2007" s="4"/>
      <c r="BI2007" s="4"/>
      <c r="BJ2007" s="4"/>
      <c r="BK2007" s="4"/>
      <c r="BL2007" s="4"/>
      <c r="BM2007" s="4"/>
      <c r="BN2007" s="4"/>
      <c r="BO2007" s="4"/>
      <c r="BP2007" s="4"/>
      <c r="BQ2007" s="4"/>
      <c r="BR2007" s="4"/>
      <c r="BS2007" s="4"/>
      <c r="BT2007" s="4"/>
      <c r="BU2007" s="4"/>
    </row>
    <row r="2008" spans="29:73" s="1" customFormat="1" x14ac:dyDescent="0.25">
      <c r="AC2008" s="4"/>
      <c r="AD2008" s="4"/>
      <c r="AE2008" s="4"/>
      <c r="AF2008" s="4"/>
      <c r="AG2008" s="4"/>
      <c r="AH2008" s="4"/>
      <c r="AI2008" s="4"/>
      <c r="AJ2008" s="4"/>
      <c r="AK2008" s="4"/>
      <c r="AL2008" s="4"/>
      <c r="AM2008" s="4"/>
      <c r="AN2008" s="4"/>
      <c r="AO2008" s="4"/>
      <c r="AP2008" s="4"/>
      <c r="AQ2008" s="4"/>
      <c r="AR2008" s="4"/>
      <c r="AS2008" s="4"/>
      <c r="AT2008" s="4"/>
      <c r="AU2008" s="4"/>
      <c r="AV2008" s="4"/>
      <c r="AW2008" s="4"/>
      <c r="AX2008" s="4"/>
      <c r="AY2008" s="4"/>
      <c r="AZ2008" s="4"/>
      <c r="BA2008" s="4"/>
      <c r="BB2008" s="4"/>
      <c r="BC2008" s="4"/>
      <c r="BD2008" s="4"/>
      <c r="BE2008" s="4"/>
      <c r="BF2008" s="4"/>
      <c r="BG2008" s="4"/>
      <c r="BH2008" s="4"/>
      <c r="BI2008" s="4"/>
      <c r="BJ2008" s="4"/>
      <c r="BK2008" s="4"/>
      <c r="BL2008" s="4"/>
      <c r="BM2008" s="4"/>
      <c r="BN2008" s="4"/>
      <c r="BO2008" s="4"/>
      <c r="BP2008" s="4"/>
      <c r="BQ2008" s="4"/>
      <c r="BR2008" s="4"/>
      <c r="BS2008" s="4"/>
      <c r="BT2008" s="4"/>
      <c r="BU2008" s="4"/>
    </row>
    <row r="2009" spans="29:73" s="1" customFormat="1" x14ac:dyDescent="0.25">
      <c r="AC2009" s="4"/>
      <c r="AD2009" s="4"/>
      <c r="AE2009" s="4"/>
      <c r="AF2009" s="4"/>
      <c r="AG2009" s="4"/>
      <c r="AH2009" s="4"/>
      <c r="AI2009" s="4"/>
      <c r="AJ2009" s="4"/>
      <c r="AK2009" s="4"/>
      <c r="AL2009" s="4"/>
      <c r="AM2009" s="4"/>
      <c r="AN2009" s="4"/>
      <c r="AO2009" s="4"/>
      <c r="AP2009" s="4"/>
      <c r="AQ2009" s="4"/>
      <c r="AR2009" s="4"/>
      <c r="AS2009" s="4"/>
      <c r="AT2009" s="4"/>
      <c r="AU2009" s="4"/>
      <c r="AV2009" s="4"/>
      <c r="AW2009" s="4"/>
      <c r="AX2009" s="4"/>
      <c r="AY2009" s="4"/>
      <c r="AZ2009" s="4"/>
      <c r="BA2009" s="4"/>
      <c r="BB2009" s="4"/>
      <c r="BC2009" s="4"/>
      <c r="BD2009" s="4"/>
      <c r="BE2009" s="4"/>
      <c r="BF2009" s="4"/>
      <c r="BG2009" s="4"/>
      <c r="BH2009" s="4"/>
      <c r="BI2009" s="4"/>
      <c r="BJ2009" s="4"/>
      <c r="BK2009" s="4"/>
      <c r="BL2009" s="4"/>
      <c r="BM2009" s="4"/>
      <c r="BN2009" s="4"/>
      <c r="BO2009" s="4"/>
      <c r="BP2009" s="4"/>
      <c r="BQ2009" s="4"/>
      <c r="BR2009" s="4"/>
      <c r="BS2009" s="4"/>
      <c r="BT2009" s="4"/>
      <c r="BU2009" s="4"/>
    </row>
    <row r="2010" spans="29:73" s="1" customFormat="1" x14ac:dyDescent="0.25">
      <c r="AC2010" s="4"/>
      <c r="AD2010" s="4"/>
      <c r="AE2010" s="4"/>
      <c r="AF2010" s="4"/>
      <c r="AG2010" s="4"/>
      <c r="AH2010" s="4"/>
      <c r="AI2010" s="4"/>
      <c r="AJ2010" s="4"/>
      <c r="AK2010" s="4"/>
      <c r="AL2010" s="4"/>
      <c r="AM2010" s="4"/>
      <c r="AN2010" s="4"/>
      <c r="AO2010" s="4"/>
      <c r="AP2010" s="4"/>
      <c r="AQ2010" s="4"/>
      <c r="AR2010" s="4"/>
      <c r="AS2010" s="4"/>
      <c r="AT2010" s="4"/>
      <c r="AU2010" s="4"/>
      <c r="AV2010" s="4"/>
      <c r="AW2010" s="4"/>
      <c r="AX2010" s="4"/>
      <c r="AY2010" s="4"/>
      <c r="AZ2010" s="4"/>
      <c r="BA2010" s="4"/>
      <c r="BB2010" s="4"/>
      <c r="BC2010" s="4"/>
      <c r="BD2010" s="4"/>
      <c r="BE2010" s="4"/>
      <c r="BF2010" s="4"/>
      <c r="BG2010" s="4"/>
      <c r="BH2010" s="4"/>
      <c r="BI2010" s="4"/>
      <c r="BJ2010" s="4"/>
      <c r="BK2010" s="4"/>
      <c r="BL2010" s="4"/>
      <c r="BM2010" s="4"/>
      <c r="BN2010" s="4"/>
      <c r="BO2010" s="4"/>
      <c r="BP2010" s="4"/>
      <c r="BQ2010" s="4"/>
      <c r="BR2010" s="4"/>
      <c r="BS2010" s="4"/>
      <c r="BT2010" s="4"/>
      <c r="BU2010" s="4"/>
    </row>
    <row r="2011" spans="29:73" s="1" customFormat="1" x14ac:dyDescent="0.25">
      <c r="AC2011" s="4"/>
      <c r="AD2011" s="4"/>
      <c r="AE2011" s="4"/>
      <c r="AF2011" s="4"/>
      <c r="AG2011" s="4"/>
      <c r="AH2011" s="4"/>
      <c r="AI2011" s="4"/>
      <c r="AJ2011" s="4"/>
      <c r="AK2011" s="4"/>
      <c r="AL2011" s="4"/>
      <c r="AM2011" s="4"/>
      <c r="AN2011" s="4"/>
      <c r="AO2011" s="4"/>
      <c r="AP2011" s="4"/>
      <c r="AQ2011" s="4"/>
      <c r="AR2011" s="4"/>
      <c r="AS2011" s="4"/>
      <c r="AT2011" s="4"/>
      <c r="AU2011" s="4"/>
      <c r="AV2011" s="4"/>
      <c r="AW2011" s="4"/>
      <c r="AX2011" s="4"/>
      <c r="AY2011" s="4"/>
      <c r="AZ2011" s="4"/>
      <c r="BA2011" s="4"/>
      <c r="BB2011" s="4"/>
      <c r="BC2011" s="4"/>
      <c r="BD2011" s="4"/>
      <c r="BE2011" s="4"/>
      <c r="BF2011" s="4"/>
      <c r="BG2011" s="4"/>
      <c r="BH2011" s="4"/>
      <c r="BI2011" s="4"/>
      <c r="BJ2011" s="4"/>
      <c r="BK2011" s="4"/>
      <c r="BL2011" s="4"/>
      <c r="BM2011" s="4"/>
      <c r="BN2011" s="4"/>
      <c r="BO2011" s="4"/>
      <c r="BP2011" s="4"/>
      <c r="BQ2011" s="4"/>
      <c r="BR2011" s="4"/>
      <c r="BS2011" s="4"/>
      <c r="BT2011" s="4"/>
      <c r="BU2011" s="4"/>
    </row>
    <row r="2012" spans="29:73" s="1" customFormat="1" x14ac:dyDescent="0.25">
      <c r="AC2012" s="4"/>
      <c r="AD2012" s="4"/>
      <c r="AE2012" s="4"/>
      <c r="AF2012" s="4"/>
      <c r="AG2012" s="4"/>
      <c r="AH2012" s="4"/>
      <c r="AI2012" s="4"/>
      <c r="AJ2012" s="4"/>
      <c r="AK2012" s="4"/>
      <c r="AL2012" s="4"/>
      <c r="AM2012" s="4"/>
      <c r="AN2012" s="4"/>
      <c r="AO2012" s="4"/>
      <c r="AP2012" s="4"/>
      <c r="AQ2012" s="4"/>
      <c r="AR2012" s="4"/>
      <c r="AS2012" s="4"/>
      <c r="AT2012" s="4"/>
      <c r="AU2012" s="4"/>
      <c r="AV2012" s="4"/>
      <c r="AW2012" s="4"/>
      <c r="AX2012" s="4"/>
      <c r="AY2012" s="4"/>
      <c r="AZ2012" s="4"/>
      <c r="BA2012" s="4"/>
      <c r="BB2012" s="4"/>
      <c r="BC2012" s="4"/>
      <c r="BD2012" s="4"/>
      <c r="BE2012" s="4"/>
      <c r="BF2012" s="4"/>
      <c r="BG2012" s="4"/>
      <c r="BH2012" s="4"/>
      <c r="BI2012" s="4"/>
      <c r="BJ2012" s="4"/>
      <c r="BK2012" s="4"/>
      <c r="BL2012" s="4"/>
      <c r="BM2012" s="4"/>
      <c r="BN2012" s="4"/>
      <c r="BO2012" s="4"/>
      <c r="BP2012" s="4"/>
      <c r="BQ2012" s="4"/>
      <c r="BR2012" s="4"/>
      <c r="BS2012" s="4"/>
      <c r="BT2012" s="4"/>
      <c r="BU2012" s="4"/>
    </row>
    <row r="2013" spans="29:73" s="1" customFormat="1" x14ac:dyDescent="0.25">
      <c r="AC2013" s="4"/>
      <c r="AD2013" s="4"/>
      <c r="AE2013" s="4"/>
      <c r="AF2013" s="4"/>
      <c r="AG2013" s="4"/>
      <c r="AH2013" s="4"/>
      <c r="AI2013" s="4"/>
      <c r="AJ2013" s="4"/>
      <c r="AK2013" s="4"/>
      <c r="AL2013" s="4"/>
      <c r="AM2013" s="4"/>
      <c r="AN2013" s="4"/>
      <c r="AO2013" s="4"/>
      <c r="AP2013" s="4"/>
      <c r="AQ2013" s="4"/>
      <c r="AR2013" s="4"/>
      <c r="AS2013" s="4"/>
      <c r="AT2013" s="4"/>
      <c r="AU2013" s="4"/>
      <c r="AV2013" s="4"/>
      <c r="AW2013" s="4"/>
      <c r="AX2013" s="4"/>
      <c r="AY2013" s="4"/>
      <c r="AZ2013" s="4"/>
      <c r="BA2013" s="4"/>
      <c r="BB2013" s="4"/>
      <c r="BC2013" s="4"/>
      <c r="BD2013" s="4"/>
      <c r="BE2013" s="4"/>
      <c r="BF2013" s="4"/>
      <c r="BG2013" s="4"/>
      <c r="BH2013" s="4"/>
      <c r="BI2013" s="4"/>
      <c r="BJ2013" s="4"/>
      <c r="BK2013" s="4"/>
      <c r="BL2013" s="4"/>
      <c r="BM2013" s="4"/>
      <c r="BN2013" s="4"/>
      <c r="BO2013" s="4"/>
      <c r="BP2013" s="4"/>
      <c r="BQ2013" s="4"/>
      <c r="BR2013" s="4"/>
      <c r="BS2013" s="4"/>
      <c r="BT2013" s="4"/>
      <c r="BU2013" s="4"/>
    </row>
    <row r="2014" spans="29:73" s="1" customFormat="1" x14ac:dyDescent="0.25">
      <c r="AC2014" s="4"/>
      <c r="AD2014" s="4"/>
      <c r="AE2014" s="4"/>
      <c r="AF2014" s="4"/>
      <c r="AG2014" s="4"/>
      <c r="AH2014" s="4"/>
      <c r="AI2014" s="4"/>
      <c r="AJ2014" s="4"/>
      <c r="AK2014" s="4"/>
      <c r="AL2014" s="4"/>
      <c r="AM2014" s="4"/>
      <c r="AN2014" s="4"/>
      <c r="AO2014" s="4"/>
      <c r="AP2014" s="4"/>
      <c r="AQ2014" s="4"/>
      <c r="AR2014" s="4"/>
      <c r="AS2014" s="4"/>
      <c r="AT2014" s="4"/>
      <c r="AU2014" s="4"/>
      <c r="AV2014" s="4"/>
      <c r="AW2014" s="4"/>
      <c r="AX2014" s="4"/>
      <c r="AY2014" s="4"/>
      <c r="AZ2014" s="4"/>
      <c r="BA2014" s="4"/>
      <c r="BB2014" s="4"/>
      <c r="BC2014" s="4"/>
      <c r="BD2014" s="4"/>
      <c r="BE2014" s="4"/>
      <c r="BF2014" s="4"/>
      <c r="BG2014" s="4"/>
      <c r="BH2014" s="4"/>
      <c r="BI2014" s="4"/>
      <c r="BJ2014" s="4"/>
      <c r="BK2014" s="4"/>
      <c r="BL2014" s="4"/>
      <c r="BM2014" s="4"/>
      <c r="BN2014" s="4"/>
      <c r="BO2014" s="4"/>
      <c r="BP2014" s="4"/>
      <c r="BQ2014" s="4"/>
      <c r="BR2014" s="4"/>
      <c r="BS2014" s="4"/>
      <c r="BT2014" s="4"/>
      <c r="BU2014" s="4"/>
    </row>
    <row r="2015" spans="29:73" s="1" customFormat="1" x14ac:dyDescent="0.25">
      <c r="AC2015" s="4"/>
      <c r="AD2015" s="4"/>
      <c r="AE2015" s="4"/>
      <c r="AF2015" s="4"/>
      <c r="AG2015" s="4"/>
      <c r="AH2015" s="4"/>
      <c r="AI2015" s="4"/>
      <c r="AJ2015" s="4"/>
      <c r="AK2015" s="4"/>
      <c r="AL2015" s="4"/>
      <c r="AM2015" s="4"/>
      <c r="AN2015" s="4"/>
      <c r="AO2015" s="4"/>
      <c r="AP2015" s="4"/>
      <c r="AQ2015" s="4"/>
      <c r="AR2015" s="4"/>
      <c r="AS2015" s="4"/>
      <c r="AT2015" s="4"/>
      <c r="AU2015" s="4"/>
      <c r="AV2015" s="4"/>
      <c r="AW2015" s="4"/>
      <c r="AX2015" s="4"/>
      <c r="AY2015" s="4"/>
      <c r="AZ2015" s="4"/>
      <c r="BA2015" s="4"/>
      <c r="BB2015" s="4"/>
      <c r="BC2015" s="4"/>
      <c r="BD2015" s="4"/>
      <c r="BE2015" s="4"/>
      <c r="BF2015" s="4"/>
      <c r="BG2015" s="4"/>
      <c r="BH2015" s="4"/>
      <c r="BI2015" s="4"/>
      <c r="BJ2015" s="4"/>
      <c r="BK2015" s="4"/>
      <c r="BL2015" s="4"/>
      <c r="BM2015" s="4"/>
      <c r="BN2015" s="4"/>
      <c r="BO2015" s="4"/>
      <c r="BP2015" s="4"/>
      <c r="BQ2015" s="4"/>
      <c r="BR2015" s="4"/>
      <c r="BS2015" s="4"/>
      <c r="BT2015" s="4"/>
      <c r="BU2015" s="4"/>
    </row>
    <row r="2016" spans="29:73" s="1" customFormat="1" x14ac:dyDescent="0.25">
      <c r="AC2016" s="4"/>
      <c r="AD2016" s="4"/>
      <c r="AE2016" s="4"/>
      <c r="AF2016" s="4"/>
      <c r="AG2016" s="4"/>
      <c r="AH2016" s="4"/>
      <c r="AI2016" s="4"/>
      <c r="AJ2016" s="4"/>
      <c r="AK2016" s="4"/>
      <c r="AL2016" s="4"/>
      <c r="AM2016" s="4"/>
      <c r="AN2016" s="4"/>
      <c r="AO2016" s="4"/>
      <c r="AP2016" s="4"/>
      <c r="AQ2016" s="4"/>
      <c r="AR2016" s="4"/>
      <c r="AS2016" s="4"/>
      <c r="AT2016" s="4"/>
      <c r="AU2016" s="4"/>
      <c r="AV2016" s="4"/>
      <c r="AW2016" s="4"/>
      <c r="AX2016" s="4"/>
      <c r="AY2016" s="4"/>
      <c r="AZ2016" s="4"/>
      <c r="BA2016" s="4"/>
      <c r="BB2016" s="4"/>
      <c r="BC2016" s="4"/>
      <c r="BD2016" s="4"/>
      <c r="BE2016" s="4"/>
      <c r="BF2016" s="4"/>
      <c r="BG2016" s="4"/>
      <c r="BH2016" s="4"/>
      <c r="BI2016" s="4"/>
      <c r="BJ2016" s="4"/>
      <c r="BK2016" s="4"/>
      <c r="BL2016" s="4"/>
      <c r="BM2016" s="4"/>
      <c r="BN2016" s="4"/>
      <c r="BO2016" s="4"/>
      <c r="BP2016" s="4"/>
      <c r="BQ2016" s="4"/>
      <c r="BR2016" s="4"/>
      <c r="BS2016" s="4"/>
      <c r="BT2016" s="4"/>
      <c r="BU2016" s="4"/>
    </row>
    <row r="2017" spans="29:73" s="1" customFormat="1" x14ac:dyDescent="0.25">
      <c r="AC2017" s="4"/>
      <c r="AD2017" s="4"/>
      <c r="AE2017" s="4"/>
      <c r="AF2017" s="4"/>
      <c r="AG2017" s="4"/>
      <c r="AH2017" s="4"/>
      <c r="AI2017" s="4"/>
      <c r="AJ2017" s="4"/>
      <c r="AK2017" s="4"/>
      <c r="AL2017" s="4"/>
      <c r="AM2017" s="4"/>
      <c r="AN2017" s="4"/>
      <c r="AO2017" s="4"/>
      <c r="AP2017" s="4"/>
      <c r="AQ2017" s="4"/>
      <c r="AR2017" s="4"/>
      <c r="AS2017" s="4"/>
      <c r="AT2017" s="4"/>
      <c r="AU2017" s="4"/>
      <c r="AV2017" s="4"/>
      <c r="AW2017" s="4"/>
      <c r="AX2017" s="4"/>
      <c r="AY2017" s="4"/>
      <c r="AZ2017" s="4"/>
      <c r="BA2017" s="4"/>
      <c r="BB2017" s="4"/>
      <c r="BC2017" s="4"/>
      <c r="BD2017" s="4"/>
      <c r="BE2017" s="4"/>
      <c r="BF2017" s="4"/>
      <c r="BG2017" s="4"/>
      <c r="BH2017" s="4"/>
      <c r="BI2017" s="4"/>
      <c r="BJ2017" s="4"/>
      <c r="BK2017" s="4"/>
      <c r="BL2017" s="4"/>
      <c r="BM2017" s="4"/>
      <c r="BN2017" s="4"/>
      <c r="BO2017" s="4"/>
      <c r="BP2017" s="4"/>
      <c r="BQ2017" s="4"/>
      <c r="BR2017" s="4"/>
      <c r="BS2017" s="4"/>
      <c r="BT2017" s="4"/>
      <c r="BU2017" s="4"/>
    </row>
    <row r="2018" spans="29:73" s="1" customFormat="1" x14ac:dyDescent="0.25">
      <c r="AC2018" s="4"/>
      <c r="AD2018" s="4"/>
      <c r="AE2018" s="4"/>
      <c r="AF2018" s="4"/>
      <c r="AG2018" s="4"/>
      <c r="AH2018" s="4"/>
      <c r="AI2018" s="4"/>
      <c r="AJ2018" s="4"/>
      <c r="AK2018" s="4"/>
      <c r="AL2018" s="4"/>
      <c r="AM2018" s="4"/>
      <c r="AN2018" s="4"/>
      <c r="AO2018" s="4"/>
      <c r="AP2018" s="4"/>
      <c r="AQ2018" s="4"/>
      <c r="AR2018" s="4"/>
      <c r="AS2018" s="4"/>
      <c r="AT2018" s="4"/>
      <c r="AU2018" s="4"/>
      <c r="AV2018" s="4"/>
      <c r="AW2018" s="4"/>
      <c r="AX2018" s="4"/>
      <c r="AY2018" s="4"/>
      <c r="AZ2018" s="4"/>
      <c r="BA2018" s="4"/>
      <c r="BB2018" s="4"/>
      <c r="BC2018" s="4"/>
      <c r="BD2018" s="4"/>
      <c r="BE2018" s="4"/>
      <c r="BF2018" s="4"/>
      <c r="BG2018" s="4"/>
      <c r="BH2018" s="4"/>
      <c r="BI2018" s="4"/>
      <c r="BJ2018" s="4"/>
      <c r="BK2018" s="4"/>
      <c r="BL2018" s="4"/>
      <c r="BM2018" s="4"/>
      <c r="BN2018" s="4"/>
      <c r="BO2018" s="4"/>
      <c r="BP2018" s="4"/>
      <c r="BQ2018" s="4"/>
      <c r="BR2018" s="4"/>
      <c r="BS2018" s="4"/>
      <c r="BT2018" s="4"/>
      <c r="BU2018" s="4"/>
    </row>
    <row r="2019" spans="29:73" s="1" customFormat="1" x14ac:dyDescent="0.25">
      <c r="AC2019" s="4"/>
      <c r="AD2019" s="4"/>
      <c r="AE2019" s="4"/>
      <c r="AF2019" s="4"/>
      <c r="AG2019" s="4"/>
      <c r="AH2019" s="4"/>
      <c r="AI2019" s="4"/>
      <c r="AJ2019" s="4"/>
      <c r="AK2019" s="4"/>
      <c r="AL2019" s="4"/>
      <c r="AM2019" s="4"/>
      <c r="AN2019" s="4"/>
      <c r="AO2019" s="4"/>
      <c r="AP2019" s="4"/>
      <c r="AQ2019" s="4"/>
      <c r="AR2019" s="4"/>
      <c r="AS2019" s="4"/>
      <c r="AT2019" s="4"/>
      <c r="AU2019" s="4"/>
      <c r="AV2019" s="4"/>
      <c r="AW2019" s="4"/>
      <c r="AX2019" s="4"/>
      <c r="AY2019" s="4"/>
      <c r="AZ2019" s="4"/>
      <c r="BA2019" s="4"/>
      <c r="BB2019" s="4"/>
      <c r="BC2019" s="4"/>
      <c r="BD2019" s="4"/>
      <c r="BE2019" s="4"/>
      <c r="BF2019" s="4"/>
      <c r="BG2019" s="4"/>
      <c r="BH2019" s="4"/>
      <c r="BI2019" s="4"/>
      <c r="BJ2019" s="4"/>
      <c r="BK2019" s="4"/>
      <c r="BL2019" s="4"/>
      <c r="BM2019" s="4"/>
      <c r="BN2019" s="4"/>
      <c r="BO2019" s="4"/>
      <c r="BP2019" s="4"/>
      <c r="BQ2019" s="4"/>
      <c r="BR2019" s="4"/>
      <c r="BS2019" s="4"/>
      <c r="BT2019" s="4"/>
      <c r="BU2019" s="4"/>
    </row>
    <row r="2020" spans="29:73" s="1" customFormat="1" x14ac:dyDescent="0.25">
      <c r="AC2020" s="4"/>
      <c r="AD2020" s="4"/>
      <c r="AE2020" s="4"/>
      <c r="AF2020" s="4"/>
      <c r="AG2020" s="4"/>
      <c r="AH2020" s="4"/>
      <c r="AI2020" s="4"/>
      <c r="AJ2020" s="4"/>
      <c r="AK2020" s="4"/>
      <c r="AL2020" s="4"/>
      <c r="AM2020" s="4"/>
      <c r="AN2020" s="4"/>
      <c r="AO2020" s="4"/>
      <c r="AP2020" s="4"/>
      <c r="AQ2020" s="4"/>
      <c r="AR2020" s="4"/>
      <c r="AS2020" s="4"/>
      <c r="AT2020" s="4"/>
      <c r="AU2020" s="4"/>
      <c r="AV2020" s="4"/>
      <c r="AW2020" s="4"/>
      <c r="AX2020" s="4"/>
      <c r="AY2020" s="4"/>
      <c r="AZ2020" s="4"/>
      <c r="BA2020" s="4"/>
      <c r="BB2020" s="4"/>
      <c r="BC2020" s="4"/>
      <c r="BD2020" s="4"/>
      <c r="BE2020" s="4"/>
      <c r="BF2020" s="4"/>
      <c r="BG2020" s="4"/>
      <c r="BH2020" s="4"/>
      <c r="BI2020" s="4"/>
      <c r="BJ2020" s="4"/>
      <c r="BK2020" s="4"/>
      <c r="BL2020" s="4"/>
      <c r="BM2020" s="4"/>
      <c r="BN2020" s="4"/>
      <c r="BO2020" s="4"/>
      <c r="BP2020" s="4"/>
      <c r="BQ2020" s="4"/>
      <c r="BR2020" s="4"/>
      <c r="BS2020" s="4"/>
      <c r="BT2020" s="4"/>
      <c r="BU2020" s="4"/>
    </row>
    <row r="2021" spans="29:73" s="1" customFormat="1" x14ac:dyDescent="0.25">
      <c r="AC2021" s="4"/>
      <c r="AD2021" s="4"/>
      <c r="AE2021" s="4"/>
      <c r="AF2021" s="4"/>
      <c r="AG2021" s="4"/>
      <c r="AH2021" s="4"/>
      <c r="AI2021" s="4"/>
      <c r="AJ2021" s="4"/>
      <c r="AK2021" s="4"/>
      <c r="AL2021" s="4"/>
      <c r="AM2021" s="4"/>
      <c r="AN2021" s="4"/>
      <c r="AO2021" s="4"/>
      <c r="AP2021" s="4"/>
      <c r="AQ2021" s="4"/>
      <c r="AR2021" s="4"/>
      <c r="AS2021" s="4"/>
      <c r="AT2021" s="4"/>
      <c r="AU2021" s="4"/>
      <c r="AV2021" s="4"/>
      <c r="AW2021" s="4"/>
      <c r="AX2021" s="4"/>
      <c r="AY2021" s="4"/>
      <c r="AZ2021" s="4"/>
      <c r="BA2021" s="4"/>
      <c r="BB2021" s="4"/>
      <c r="BC2021" s="4"/>
      <c r="BD2021" s="4"/>
      <c r="BE2021" s="4"/>
      <c r="BF2021" s="4"/>
      <c r="BG2021" s="4"/>
      <c r="BH2021" s="4"/>
      <c r="BI2021" s="4"/>
      <c r="BJ2021" s="4"/>
      <c r="BK2021" s="4"/>
      <c r="BL2021" s="4"/>
      <c r="BM2021" s="4"/>
      <c r="BN2021" s="4"/>
      <c r="BO2021" s="4"/>
      <c r="BP2021" s="4"/>
      <c r="BQ2021" s="4"/>
      <c r="BR2021" s="4"/>
      <c r="BS2021" s="4"/>
      <c r="BT2021" s="4"/>
      <c r="BU2021" s="4"/>
    </row>
    <row r="2022" spans="29:73" s="1" customFormat="1" x14ac:dyDescent="0.25">
      <c r="AC2022" s="4"/>
      <c r="AD2022" s="4"/>
      <c r="AE2022" s="4"/>
      <c r="AF2022" s="4"/>
      <c r="AG2022" s="4"/>
      <c r="AH2022" s="4"/>
      <c r="AI2022" s="4"/>
      <c r="AJ2022" s="4"/>
      <c r="AK2022" s="4"/>
      <c r="AL2022" s="4"/>
      <c r="AM2022" s="4"/>
      <c r="AN2022" s="4"/>
      <c r="AO2022" s="4"/>
      <c r="AP2022" s="4"/>
      <c r="AQ2022" s="4"/>
      <c r="AR2022" s="4"/>
      <c r="AS2022" s="4"/>
      <c r="AT2022" s="4"/>
      <c r="AU2022" s="4"/>
      <c r="AV2022" s="4"/>
      <c r="AW2022" s="4"/>
      <c r="AX2022" s="4"/>
      <c r="AY2022" s="4"/>
      <c r="AZ2022" s="4"/>
      <c r="BA2022" s="4"/>
      <c r="BB2022" s="4"/>
      <c r="BC2022" s="4"/>
      <c r="BD2022" s="4"/>
      <c r="BE2022" s="4"/>
      <c r="BF2022" s="4"/>
      <c r="BG2022" s="4"/>
      <c r="BH2022" s="4"/>
      <c r="BI2022" s="4"/>
      <c r="BJ2022" s="4"/>
      <c r="BK2022" s="4"/>
      <c r="BL2022" s="4"/>
      <c r="BM2022" s="4"/>
      <c r="BN2022" s="4"/>
      <c r="BO2022" s="4"/>
      <c r="BP2022" s="4"/>
      <c r="BQ2022" s="4"/>
      <c r="BR2022" s="4"/>
      <c r="BS2022" s="4"/>
      <c r="BT2022" s="4"/>
      <c r="BU2022" s="4"/>
    </row>
    <row r="2023" spans="29:73" s="1" customFormat="1" x14ac:dyDescent="0.25">
      <c r="AC2023" s="4"/>
      <c r="AD2023" s="4"/>
      <c r="AE2023" s="4"/>
      <c r="AF2023" s="4"/>
      <c r="AG2023" s="4"/>
      <c r="AH2023" s="4"/>
      <c r="AI2023" s="4"/>
      <c r="AJ2023" s="4"/>
      <c r="AK2023" s="4"/>
      <c r="AL2023" s="4"/>
      <c r="AM2023" s="4"/>
      <c r="AN2023" s="4"/>
      <c r="AO2023" s="4"/>
      <c r="AP2023" s="4"/>
      <c r="AQ2023" s="4"/>
      <c r="AR2023" s="4"/>
      <c r="AS2023" s="4"/>
      <c r="AT2023" s="4"/>
      <c r="AU2023" s="4"/>
      <c r="AV2023" s="4"/>
      <c r="AW2023" s="4"/>
      <c r="AX2023" s="4"/>
      <c r="AY2023" s="4"/>
      <c r="AZ2023" s="4"/>
      <c r="BA2023" s="4"/>
      <c r="BB2023" s="4"/>
      <c r="BC2023" s="4"/>
      <c r="BD2023" s="4"/>
      <c r="BE2023" s="4"/>
      <c r="BF2023" s="4"/>
      <c r="BG2023" s="4"/>
      <c r="BH2023" s="4"/>
      <c r="BI2023" s="4"/>
      <c r="BJ2023" s="4"/>
      <c r="BK2023" s="4"/>
      <c r="BL2023" s="4"/>
      <c r="BM2023" s="4"/>
      <c r="BN2023" s="4"/>
      <c r="BO2023" s="4"/>
      <c r="BP2023" s="4"/>
      <c r="BQ2023" s="4"/>
      <c r="BR2023" s="4"/>
      <c r="BS2023" s="4"/>
      <c r="BT2023" s="4"/>
      <c r="BU2023" s="4"/>
    </row>
    <row r="2024" spans="29:73" s="1" customFormat="1" x14ac:dyDescent="0.25">
      <c r="AC2024" s="4"/>
      <c r="AD2024" s="4"/>
      <c r="AE2024" s="4"/>
      <c r="AF2024" s="4"/>
      <c r="AG2024" s="4"/>
      <c r="AH2024" s="4"/>
      <c r="AI2024" s="4"/>
      <c r="AJ2024" s="4"/>
      <c r="AK2024" s="4"/>
      <c r="AL2024" s="4"/>
      <c r="AM2024" s="4"/>
      <c r="AN2024" s="4"/>
      <c r="AO2024" s="4"/>
      <c r="AP2024" s="4"/>
      <c r="AQ2024" s="4"/>
      <c r="AR2024" s="4"/>
      <c r="AS2024" s="4"/>
      <c r="AT2024" s="4"/>
      <c r="AU2024" s="4"/>
      <c r="AV2024" s="4"/>
      <c r="AW2024" s="4"/>
      <c r="AX2024" s="4"/>
      <c r="AY2024" s="4"/>
      <c r="AZ2024" s="4"/>
      <c r="BA2024" s="4"/>
      <c r="BB2024" s="4"/>
      <c r="BC2024" s="4"/>
      <c r="BD2024" s="4"/>
      <c r="BE2024" s="4"/>
      <c r="BF2024" s="4"/>
      <c r="BG2024" s="4"/>
      <c r="BH2024" s="4"/>
      <c r="BI2024" s="4"/>
      <c r="BJ2024" s="4"/>
      <c r="BK2024" s="4"/>
      <c r="BL2024" s="4"/>
      <c r="BM2024" s="4"/>
      <c r="BN2024" s="4"/>
      <c r="BO2024" s="4"/>
      <c r="BP2024" s="4"/>
      <c r="BQ2024" s="4"/>
      <c r="BR2024" s="4"/>
      <c r="BS2024" s="4"/>
      <c r="BT2024" s="4"/>
      <c r="BU2024" s="4"/>
    </row>
    <row r="2025" spans="29:73" s="1" customFormat="1" x14ac:dyDescent="0.25">
      <c r="AC2025" s="4"/>
      <c r="AD2025" s="4"/>
      <c r="AE2025" s="4"/>
      <c r="AF2025" s="4"/>
      <c r="AG2025" s="4"/>
      <c r="AH2025" s="4"/>
      <c r="AI2025" s="4"/>
      <c r="AJ2025" s="4"/>
      <c r="AK2025" s="4"/>
      <c r="AL2025" s="4"/>
      <c r="AM2025" s="4"/>
      <c r="AN2025" s="4"/>
      <c r="AO2025" s="4"/>
      <c r="AP2025" s="4"/>
      <c r="AQ2025" s="4"/>
      <c r="AR2025" s="4"/>
      <c r="AS2025" s="4"/>
      <c r="AT2025" s="4"/>
      <c r="AU2025" s="4"/>
      <c r="AV2025" s="4"/>
      <c r="AW2025" s="4"/>
      <c r="AX2025" s="4"/>
      <c r="AY2025" s="4"/>
      <c r="AZ2025" s="4"/>
      <c r="BA2025" s="4"/>
      <c r="BB2025" s="4"/>
      <c r="BC2025" s="4"/>
      <c r="BD2025" s="4"/>
      <c r="BE2025" s="4"/>
      <c r="BF2025" s="4"/>
      <c r="BG2025" s="4"/>
      <c r="BH2025" s="4"/>
      <c r="BI2025" s="4"/>
      <c r="BJ2025" s="4"/>
      <c r="BK2025" s="4"/>
      <c r="BL2025" s="4"/>
      <c r="BM2025" s="4"/>
      <c r="BN2025" s="4"/>
      <c r="BO2025" s="4"/>
      <c r="BP2025" s="4"/>
      <c r="BQ2025" s="4"/>
      <c r="BR2025" s="4"/>
      <c r="BS2025" s="4"/>
      <c r="BT2025" s="4"/>
      <c r="BU2025" s="4"/>
    </row>
    <row r="2026" spans="29:73" s="1" customFormat="1" x14ac:dyDescent="0.25">
      <c r="AC2026" s="4"/>
      <c r="AD2026" s="4"/>
      <c r="AE2026" s="4"/>
      <c r="AF2026" s="4"/>
      <c r="AG2026" s="4"/>
      <c r="AH2026" s="4"/>
      <c r="AI2026" s="4"/>
      <c r="AJ2026" s="4"/>
      <c r="AK2026" s="4"/>
      <c r="AL2026" s="4"/>
      <c r="AM2026" s="4"/>
      <c r="AN2026" s="4"/>
      <c r="AO2026" s="4"/>
      <c r="AP2026" s="4"/>
      <c r="AQ2026" s="4"/>
      <c r="AR2026" s="4"/>
      <c r="AS2026" s="4"/>
      <c r="AT2026" s="4"/>
      <c r="AU2026" s="4"/>
      <c r="AV2026" s="4"/>
      <c r="AW2026" s="4"/>
      <c r="AX2026" s="4"/>
      <c r="AY2026" s="4"/>
      <c r="AZ2026" s="4"/>
      <c r="BA2026" s="4"/>
      <c r="BB2026" s="4"/>
      <c r="BC2026" s="4"/>
      <c r="BD2026" s="4"/>
      <c r="BE2026" s="4"/>
      <c r="BF2026" s="4"/>
      <c r="BG2026" s="4"/>
      <c r="BH2026" s="4"/>
      <c r="BI2026" s="4"/>
      <c r="BJ2026" s="4"/>
      <c r="BK2026" s="4"/>
      <c r="BL2026" s="4"/>
      <c r="BM2026" s="4"/>
      <c r="BN2026" s="4"/>
      <c r="BO2026" s="4"/>
      <c r="BP2026" s="4"/>
      <c r="BQ2026" s="4"/>
      <c r="BR2026" s="4"/>
      <c r="BS2026" s="4"/>
      <c r="BT2026" s="4"/>
      <c r="BU2026" s="4"/>
    </row>
    <row r="2027" spans="29:73" s="1" customFormat="1" x14ac:dyDescent="0.25">
      <c r="AC2027" s="4"/>
      <c r="AD2027" s="4"/>
      <c r="AE2027" s="4"/>
      <c r="AF2027" s="4"/>
      <c r="AG2027" s="4"/>
      <c r="AH2027" s="4"/>
      <c r="AI2027" s="4"/>
      <c r="AJ2027" s="4"/>
      <c r="AK2027" s="4"/>
      <c r="AL2027" s="4"/>
      <c r="AM2027" s="4"/>
      <c r="AN2027" s="4"/>
      <c r="AO2027" s="4"/>
      <c r="AP2027" s="4"/>
      <c r="AQ2027" s="4"/>
      <c r="AR2027" s="4"/>
      <c r="AS2027" s="4"/>
      <c r="AT2027" s="4"/>
      <c r="AU2027" s="4"/>
      <c r="AV2027" s="4"/>
      <c r="AW2027" s="4"/>
      <c r="AX2027" s="4"/>
      <c r="AY2027" s="4"/>
      <c r="AZ2027" s="4"/>
      <c r="BA2027" s="4"/>
      <c r="BB2027" s="4"/>
      <c r="BC2027" s="4"/>
      <c r="BD2027" s="4"/>
      <c r="BE2027" s="4"/>
      <c r="BF2027" s="4"/>
      <c r="BG2027" s="4"/>
      <c r="BH2027" s="4"/>
      <c r="BI2027" s="4"/>
      <c r="BJ2027" s="4"/>
      <c r="BK2027" s="4"/>
      <c r="BL2027" s="4"/>
      <c r="BM2027" s="4"/>
      <c r="BN2027" s="4"/>
      <c r="BO2027" s="4"/>
      <c r="BP2027" s="4"/>
      <c r="BQ2027" s="4"/>
      <c r="BR2027" s="4"/>
      <c r="BS2027" s="4"/>
      <c r="BT2027" s="4"/>
      <c r="BU2027" s="4"/>
    </row>
    <row r="2028" spans="29:73" s="1" customFormat="1" x14ac:dyDescent="0.25">
      <c r="AC2028" s="4"/>
      <c r="AD2028" s="4"/>
      <c r="AE2028" s="4"/>
      <c r="AF2028" s="4"/>
      <c r="AG2028" s="4"/>
      <c r="AH2028" s="4"/>
      <c r="AI2028" s="4"/>
      <c r="AJ2028" s="4"/>
      <c r="AK2028" s="4"/>
      <c r="AL2028" s="4"/>
      <c r="AM2028" s="4"/>
      <c r="AN2028" s="4"/>
      <c r="AO2028" s="4"/>
      <c r="AP2028" s="4"/>
      <c r="AQ2028" s="4"/>
      <c r="AR2028" s="4"/>
      <c r="AS2028" s="4"/>
      <c r="AT2028" s="4"/>
      <c r="AU2028" s="4"/>
      <c r="AV2028" s="4"/>
      <c r="AW2028" s="4"/>
      <c r="AX2028" s="4"/>
      <c r="AY2028" s="4"/>
      <c r="AZ2028" s="4"/>
      <c r="BA2028" s="4"/>
      <c r="BB2028" s="4"/>
      <c r="BC2028" s="4"/>
      <c r="BD2028" s="4"/>
      <c r="BE2028" s="4"/>
      <c r="BF2028" s="4"/>
      <c r="BG2028" s="4"/>
      <c r="BH2028" s="4"/>
      <c r="BI2028" s="4"/>
      <c r="BJ2028" s="4"/>
      <c r="BK2028" s="4"/>
      <c r="BL2028" s="4"/>
      <c r="BM2028" s="4"/>
      <c r="BN2028" s="4"/>
      <c r="BO2028" s="4"/>
      <c r="BP2028" s="4"/>
      <c r="BQ2028" s="4"/>
      <c r="BR2028" s="4"/>
      <c r="BS2028" s="4"/>
      <c r="BT2028" s="4"/>
      <c r="BU2028" s="4"/>
    </row>
    <row r="2029" spans="29:73" s="1" customFormat="1" x14ac:dyDescent="0.25">
      <c r="AC2029" s="4"/>
      <c r="AD2029" s="4"/>
      <c r="AE2029" s="4"/>
      <c r="AF2029" s="4"/>
      <c r="AG2029" s="4"/>
      <c r="AH2029" s="4"/>
      <c r="AI2029" s="4"/>
      <c r="AJ2029" s="4"/>
      <c r="AK2029" s="4"/>
      <c r="AL2029" s="4"/>
      <c r="AM2029" s="4"/>
      <c r="AN2029" s="4"/>
      <c r="AO2029" s="4"/>
      <c r="AP2029" s="4"/>
      <c r="AQ2029" s="4"/>
      <c r="AR2029" s="4"/>
      <c r="AS2029" s="4"/>
      <c r="AT2029" s="4"/>
      <c r="AU2029" s="4"/>
      <c r="AV2029" s="4"/>
      <c r="AW2029" s="4"/>
      <c r="AX2029" s="4"/>
      <c r="AY2029" s="4"/>
      <c r="AZ2029" s="4"/>
      <c r="BA2029" s="4"/>
      <c r="BB2029" s="4"/>
      <c r="BC2029" s="4"/>
      <c r="BD2029" s="4"/>
      <c r="BE2029" s="4"/>
      <c r="BF2029" s="4"/>
      <c r="BG2029" s="4"/>
      <c r="BH2029" s="4"/>
      <c r="BI2029" s="4"/>
      <c r="BJ2029" s="4"/>
      <c r="BK2029" s="4"/>
      <c r="BL2029" s="4"/>
      <c r="BM2029" s="4"/>
      <c r="BN2029" s="4"/>
      <c r="BO2029" s="4"/>
      <c r="BP2029" s="4"/>
      <c r="BQ2029" s="4"/>
      <c r="BR2029" s="4"/>
      <c r="BS2029" s="4"/>
      <c r="BT2029" s="4"/>
      <c r="BU2029" s="4"/>
    </row>
    <row r="2030" spans="29:73" s="1" customFormat="1" x14ac:dyDescent="0.25">
      <c r="AC2030" s="4"/>
      <c r="AD2030" s="4"/>
      <c r="AE2030" s="4"/>
      <c r="AF2030" s="4"/>
      <c r="AG2030" s="4"/>
      <c r="AH2030" s="4"/>
      <c r="AI2030" s="4"/>
      <c r="AJ2030" s="4"/>
      <c r="AK2030" s="4"/>
      <c r="AL2030" s="4"/>
      <c r="AM2030" s="4"/>
      <c r="AN2030" s="4"/>
      <c r="AO2030" s="4"/>
      <c r="AP2030" s="4"/>
      <c r="AQ2030" s="4"/>
      <c r="AR2030" s="4"/>
      <c r="AS2030" s="4"/>
      <c r="AT2030" s="4"/>
      <c r="AU2030" s="4"/>
      <c r="AV2030" s="4"/>
      <c r="AW2030" s="4"/>
      <c r="AX2030" s="4"/>
      <c r="AY2030" s="4"/>
      <c r="AZ2030" s="4"/>
      <c r="BA2030" s="4"/>
      <c r="BB2030" s="4"/>
      <c r="BC2030" s="4"/>
      <c r="BD2030" s="4"/>
      <c r="BE2030" s="4"/>
      <c r="BF2030" s="4"/>
      <c r="BG2030" s="4"/>
      <c r="BH2030" s="4"/>
      <c r="BI2030" s="4"/>
      <c r="BJ2030" s="4"/>
      <c r="BK2030" s="4"/>
      <c r="BL2030" s="4"/>
      <c r="BM2030" s="4"/>
      <c r="BN2030" s="4"/>
      <c r="BO2030" s="4"/>
      <c r="BP2030" s="4"/>
      <c r="BQ2030" s="4"/>
      <c r="BR2030" s="4"/>
      <c r="BS2030" s="4"/>
      <c r="BT2030" s="4"/>
      <c r="BU2030" s="4"/>
    </row>
    <row r="2031" spans="29:73" s="1" customFormat="1" x14ac:dyDescent="0.25">
      <c r="AC2031" s="4"/>
      <c r="AD2031" s="4"/>
      <c r="AE2031" s="4"/>
      <c r="AF2031" s="4"/>
      <c r="AG2031" s="4"/>
      <c r="AH2031" s="4"/>
      <c r="AI2031" s="4"/>
      <c r="AJ2031" s="4"/>
      <c r="AK2031" s="4"/>
      <c r="AL2031" s="4"/>
      <c r="AM2031" s="4"/>
      <c r="AN2031" s="4"/>
      <c r="AO2031" s="4"/>
      <c r="AP2031" s="4"/>
      <c r="AQ2031" s="4"/>
      <c r="AR2031" s="4"/>
      <c r="AS2031" s="4"/>
      <c r="AT2031" s="4"/>
      <c r="AU2031" s="4"/>
      <c r="AV2031" s="4"/>
      <c r="AW2031" s="4"/>
      <c r="AX2031" s="4"/>
      <c r="AY2031" s="4"/>
      <c r="AZ2031" s="4"/>
      <c r="BA2031" s="4"/>
      <c r="BB2031" s="4"/>
      <c r="BC2031" s="4"/>
      <c r="BD2031" s="4"/>
      <c r="BE2031" s="4"/>
      <c r="BF2031" s="4"/>
      <c r="BG2031" s="4"/>
      <c r="BH2031" s="4"/>
      <c r="BI2031" s="4"/>
      <c r="BJ2031" s="4"/>
      <c r="BK2031" s="4"/>
      <c r="BL2031" s="4"/>
      <c r="BM2031" s="4"/>
      <c r="BN2031" s="4"/>
      <c r="BO2031" s="4"/>
      <c r="BP2031" s="4"/>
      <c r="BQ2031" s="4"/>
      <c r="BR2031" s="4"/>
      <c r="BS2031" s="4"/>
      <c r="BT2031" s="4"/>
      <c r="BU2031" s="4"/>
    </row>
    <row r="2032" spans="29:73" s="1" customFormat="1" x14ac:dyDescent="0.25">
      <c r="AC2032" s="4"/>
      <c r="AD2032" s="4"/>
      <c r="AE2032" s="4"/>
      <c r="AF2032" s="4"/>
      <c r="AG2032" s="4"/>
      <c r="AH2032" s="4"/>
      <c r="AI2032" s="4"/>
      <c r="AJ2032" s="4"/>
      <c r="AK2032" s="4"/>
      <c r="AL2032" s="4"/>
      <c r="AM2032" s="4"/>
      <c r="AN2032" s="4"/>
      <c r="AO2032" s="4"/>
      <c r="AP2032" s="4"/>
      <c r="AQ2032" s="4"/>
      <c r="AR2032" s="4"/>
      <c r="AS2032" s="4"/>
      <c r="AT2032" s="4"/>
      <c r="AU2032" s="4"/>
      <c r="AV2032" s="4"/>
      <c r="AW2032" s="4"/>
      <c r="AX2032" s="4"/>
      <c r="AY2032" s="4"/>
      <c r="AZ2032" s="4"/>
      <c r="BA2032" s="4"/>
      <c r="BB2032" s="4"/>
      <c r="BC2032" s="4"/>
      <c r="BD2032" s="4"/>
      <c r="BE2032" s="4"/>
      <c r="BF2032" s="4"/>
      <c r="BG2032" s="4"/>
      <c r="BH2032" s="4"/>
      <c r="BI2032" s="4"/>
      <c r="BJ2032" s="4"/>
      <c r="BK2032" s="4"/>
      <c r="BL2032" s="4"/>
      <c r="BM2032" s="4"/>
      <c r="BN2032" s="4"/>
      <c r="BO2032" s="4"/>
      <c r="BP2032" s="4"/>
      <c r="BQ2032" s="4"/>
      <c r="BR2032" s="4"/>
      <c r="BS2032" s="4"/>
      <c r="BT2032" s="4"/>
      <c r="BU2032" s="4"/>
    </row>
    <row r="2033" spans="29:73" s="1" customFormat="1" x14ac:dyDescent="0.25">
      <c r="AC2033" s="4"/>
      <c r="AD2033" s="4"/>
      <c r="AE2033" s="4"/>
      <c r="AF2033" s="4"/>
      <c r="AG2033" s="4"/>
      <c r="AH2033" s="4"/>
      <c r="AI2033" s="4"/>
      <c r="AJ2033" s="4"/>
      <c r="AK2033" s="4"/>
      <c r="AL2033" s="4"/>
      <c r="AM2033" s="4"/>
      <c r="AN2033" s="4"/>
      <c r="AO2033" s="4"/>
      <c r="AP2033" s="4"/>
      <c r="AQ2033" s="4"/>
      <c r="AR2033" s="4"/>
      <c r="AS2033" s="4"/>
      <c r="AT2033" s="4"/>
      <c r="AU2033" s="4"/>
      <c r="AV2033" s="4"/>
      <c r="AW2033" s="4"/>
      <c r="AX2033" s="4"/>
      <c r="AY2033" s="4"/>
      <c r="AZ2033" s="4"/>
      <c r="BA2033" s="4"/>
      <c r="BB2033" s="4"/>
      <c r="BC2033" s="4"/>
      <c r="BD2033" s="4"/>
      <c r="BE2033" s="4"/>
      <c r="BF2033" s="4"/>
      <c r="BG2033" s="4"/>
      <c r="BH2033" s="4"/>
      <c r="BI2033" s="4"/>
      <c r="BJ2033" s="4"/>
      <c r="BK2033" s="4"/>
      <c r="BL2033" s="4"/>
      <c r="BM2033" s="4"/>
      <c r="BN2033" s="4"/>
      <c r="BO2033" s="4"/>
      <c r="BP2033" s="4"/>
      <c r="BQ2033" s="4"/>
      <c r="BR2033" s="4"/>
      <c r="BS2033" s="4"/>
      <c r="BT2033" s="4"/>
      <c r="BU2033" s="4"/>
    </row>
    <row r="2034" spans="29:73" s="1" customFormat="1" x14ac:dyDescent="0.25">
      <c r="AC2034" s="4"/>
      <c r="AD2034" s="4"/>
      <c r="AE2034" s="4"/>
      <c r="AF2034" s="4"/>
      <c r="AG2034" s="4"/>
      <c r="AH2034" s="4"/>
      <c r="AI2034" s="4"/>
      <c r="AJ2034" s="4"/>
      <c r="AK2034" s="4"/>
      <c r="AL2034" s="4"/>
      <c r="AM2034" s="4"/>
      <c r="AN2034" s="4"/>
      <c r="AO2034" s="4"/>
      <c r="AP2034" s="4"/>
      <c r="AQ2034" s="4"/>
      <c r="AR2034" s="4"/>
      <c r="AS2034" s="4"/>
      <c r="AT2034" s="4"/>
      <c r="AU2034" s="4"/>
      <c r="AV2034" s="4"/>
      <c r="AW2034" s="4"/>
      <c r="AX2034" s="4"/>
      <c r="AY2034" s="4"/>
      <c r="AZ2034" s="4"/>
      <c r="BA2034" s="4"/>
      <c r="BB2034" s="4"/>
      <c r="BC2034" s="4"/>
      <c r="BD2034" s="4"/>
      <c r="BE2034" s="4"/>
      <c r="BF2034" s="4"/>
      <c r="BG2034" s="4"/>
      <c r="BH2034" s="4"/>
      <c r="BI2034" s="4"/>
      <c r="BJ2034" s="4"/>
      <c r="BK2034" s="4"/>
      <c r="BL2034" s="4"/>
      <c r="BM2034" s="4"/>
      <c r="BN2034" s="4"/>
      <c r="BO2034" s="4"/>
      <c r="BP2034" s="4"/>
      <c r="BQ2034" s="4"/>
      <c r="BR2034" s="4"/>
      <c r="BS2034" s="4"/>
      <c r="BT2034" s="4"/>
      <c r="BU2034" s="4"/>
    </row>
    <row r="2035" spans="29:73" s="1" customFormat="1" x14ac:dyDescent="0.25">
      <c r="AC2035" s="4"/>
      <c r="AD2035" s="4"/>
      <c r="AE2035" s="4"/>
      <c r="AF2035" s="4"/>
      <c r="AG2035" s="4"/>
      <c r="AH2035" s="4"/>
      <c r="AI2035" s="4"/>
      <c r="AJ2035" s="4"/>
      <c r="AK2035" s="4"/>
      <c r="AL2035" s="4"/>
      <c r="AM2035" s="4"/>
      <c r="AN2035" s="4"/>
      <c r="AO2035" s="4"/>
      <c r="AP2035" s="4"/>
      <c r="AQ2035" s="4"/>
      <c r="AR2035" s="4"/>
      <c r="AS2035" s="4"/>
      <c r="AT2035" s="4"/>
      <c r="AU2035" s="4"/>
      <c r="AV2035" s="4"/>
      <c r="AW2035" s="4"/>
      <c r="AX2035" s="4"/>
      <c r="AY2035" s="4"/>
      <c r="AZ2035" s="4"/>
      <c r="BA2035" s="4"/>
      <c r="BB2035" s="4"/>
      <c r="BC2035" s="4"/>
      <c r="BD2035" s="4"/>
      <c r="BE2035" s="4"/>
      <c r="BF2035" s="4"/>
      <c r="BG2035" s="4"/>
      <c r="BH2035" s="4"/>
      <c r="BI2035" s="4"/>
      <c r="BJ2035" s="4"/>
      <c r="BK2035" s="4"/>
      <c r="BL2035" s="4"/>
      <c r="BM2035" s="4"/>
      <c r="BN2035" s="4"/>
      <c r="BO2035" s="4"/>
      <c r="BP2035" s="4"/>
      <c r="BQ2035" s="4"/>
      <c r="BR2035" s="4"/>
      <c r="BS2035" s="4"/>
      <c r="BT2035" s="4"/>
      <c r="BU2035" s="4"/>
    </row>
    <row r="2036" spans="29:73" s="1" customFormat="1" x14ac:dyDescent="0.25">
      <c r="AC2036" s="4"/>
      <c r="AD2036" s="4"/>
      <c r="AE2036" s="4"/>
      <c r="AF2036" s="4"/>
      <c r="AG2036" s="4"/>
      <c r="AH2036" s="4"/>
      <c r="AI2036" s="4"/>
      <c r="AJ2036" s="4"/>
      <c r="AK2036" s="4"/>
      <c r="AL2036" s="4"/>
      <c r="AM2036" s="4"/>
      <c r="AN2036" s="4"/>
      <c r="AO2036" s="4"/>
      <c r="AP2036" s="4"/>
      <c r="AQ2036" s="4"/>
      <c r="AR2036" s="4"/>
      <c r="AS2036" s="4"/>
      <c r="AT2036" s="4"/>
      <c r="AU2036" s="4"/>
      <c r="AV2036" s="4"/>
      <c r="AW2036" s="4"/>
      <c r="AX2036" s="4"/>
      <c r="AY2036" s="4"/>
      <c r="AZ2036" s="4"/>
      <c r="BA2036" s="4"/>
      <c r="BB2036" s="4"/>
      <c r="BC2036" s="4"/>
      <c r="BD2036" s="4"/>
      <c r="BE2036" s="4"/>
      <c r="BF2036" s="4"/>
      <c r="BG2036" s="4"/>
      <c r="BH2036" s="4"/>
      <c r="BI2036" s="4"/>
      <c r="BJ2036" s="4"/>
      <c r="BK2036" s="4"/>
      <c r="BL2036" s="4"/>
      <c r="BM2036" s="4"/>
      <c r="BN2036" s="4"/>
      <c r="BO2036" s="4"/>
      <c r="BP2036" s="4"/>
      <c r="BQ2036" s="4"/>
      <c r="BR2036" s="4"/>
      <c r="BS2036" s="4"/>
      <c r="BT2036" s="4"/>
      <c r="BU2036" s="4"/>
    </row>
    <row r="2037" spans="29:73" s="1" customFormat="1" x14ac:dyDescent="0.25">
      <c r="AC2037" s="4"/>
      <c r="AD2037" s="4"/>
      <c r="AE2037" s="4"/>
      <c r="AF2037" s="4"/>
      <c r="AG2037" s="4"/>
      <c r="AH2037" s="4"/>
      <c r="AI2037" s="4"/>
      <c r="AJ2037" s="4"/>
      <c r="AK2037" s="4"/>
      <c r="AL2037" s="4"/>
      <c r="AM2037" s="4"/>
      <c r="AN2037" s="4"/>
      <c r="AO2037" s="4"/>
      <c r="AP2037" s="4"/>
      <c r="AQ2037" s="4"/>
      <c r="AR2037" s="4"/>
      <c r="AS2037" s="4"/>
      <c r="AT2037" s="4"/>
      <c r="AU2037" s="4"/>
      <c r="AV2037" s="4"/>
      <c r="AW2037" s="4"/>
      <c r="AX2037" s="4"/>
      <c r="AY2037" s="4"/>
      <c r="AZ2037" s="4"/>
      <c r="BA2037" s="4"/>
      <c r="BB2037" s="4"/>
      <c r="BC2037" s="4"/>
      <c r="BD2037" s="4"/>
      <c r="BE2037" s="4"/>
      <c r="BF2037" s="4"/>
      <c r="BG2037" s="4"/>
      <c r="BH2037" s="4"/>
      <c r="BI2037" s="4"/>
      <c r="BJ2037" s="4"/>
      <c r="BK2037" s="4"/>
      <c r="BL2037" s="4"/>
      <c r="BM2037" s="4"/>
      <c r="BN2037" s="4"/>
      <c r="BO2037" s="4"/>
      <c r="BP2037" s="4"/>
      <c r="BQ2037" s="4"/>
      <c r="BR2037" s="4"/>
      <c r="BS2037" s="4"/>
      <c r="BT2037" s="4"/>
      <c r="BU2037" s="4"/>
    </row>
    <row r="2038" spans="29:73" s="1" customFormat="1" x14ac:dyDescent="0.25">
      <c r="AC2038" s="4"/>
      <c r="AD2038" s="4"/>
      <c r="AE2038" s="4"/>
      <c r="AF2038" s="4"/>
      <c r="AG2038" s="4"/>
      <c r="AH2038" s="4"/>
      <c r="AI2038" s="4"/>
      <c r="AJ2038" s="4"/>
      <c r="AK2038" s="4"/>
      <c r="AL2038" s="4"/>
      <c r="AM2038" s="4"/>
      <c r="AN2038" s="4"/>
      <c r="AO2038" s="4"/>
      <c r="AP2038" s="4"/>
      <c r="AQ2038" s="4"/>
      <c r="AR2038" s="4"/>
      <c r="AS2038" s="4"/>
      <c r="AT2038" s="4"/>
      <c r="AU2038" s="4"/>
      <c r="AV2038" s="4"/>
      <c r="AW2038" s="4"/>
      <c r="AX2038" s="4"/>
      <c r="AY2038" s="4"/>
      <c r="AZ2038" s="4"/>
      <c r="BA2038" s="4"/>
      <c r="BB2038" s="4"/>
      <c r="BC2038" s="4"/>
      <c r="BD2038" s="4"/>
      <c r="BE2038" s="4"/>
      <c r="BF2038" s="4"/>
      <c r="BG2038" s="4"/>
      <c r="BH2038" s="4"/>
      <c r="BI2038" s="4"/>
      <c r="BJ2038" s="4"/>
      <c r="BK2038" s="4"/>
      <c r="BL2038" s="4"/>
      <c r="BM2038" s="4"/>
      <c r="BN2038" s="4"/>
      <c r="BO2038" s="4"/>
      <c r="BP2038" s="4"/>
      <c r="BQ2038" s="4"/>
      <c r="BR2038" s="4"/>
      <c r="BS2038" s="4"/>
      <c r="BT2038" s="4"/>
      <c r="BU2038" s="4"/>
    </row>
    <row r="2039" spans="29:73" s="1" customFormat="1" x14ac:dyDescent="0.25">
      <c r="AC2039" s="4"/>
      <c r="AD2039" s="4"/>
      <c r="AE2039" s="4"/>
      <c r="AF2039" s="4"/>
      <c r="AG2039" s="4"/>
      <c r="AH2039" s="4"/>
      <c r="AI2039" s="4"/>
      <c r="AJ2039" s="4"/>
      <c r="AK2039" s="4"/>
      <c r="AL2039" s="4"/>
      <c r="AM2039" s="4"/>
      <c r="AN2039" s="4"/>
      <c r="AO2039" s="4"/>
      <c r="AP2039" s="4"/>
      <c r="AQ2039" s="4"/>
      <c r="AR2039" s="4"/>
      <c r="AS2039" s="4"/>
      <c r="AT2039" s="4"/>
      <c r="AU2039" s="4"/>
      <c r="AV2039" s="4"/>
      <c r="AW2039" s="4"/>
      <c r="AX2039" s="4"/>
      <c r="AY2039" s="4"/>
      <c r="AZ2039" s="4"/>
      <c r="BA2039" s="4"/>
      <c r="BB2039" s="4"/>
      <c r="BC2039" s="4"/>
      <c r="BD2039" s="4"/>
      <c r="BE2039" s="4"/>
      <c r="BF2039" s="4"/>
      <c r="BG2039" s="4"/>
      <c r="BH2039" s="4"/>
      <c r="BI2039" s="4"/>
      <c r="BJ2039" s="4"/>
      <c r="BK2039" s="4"/>
      <c r="BL2039" s="4"/>
      <c r="BM2039" s="4"/>
      <c r="BN2039" s="4"/>
      <c r="BO2039" s="4"/>
      <c r="BP2039" s="4"/>
      <c r="BQ2039" s="4"/>
      <c r="BR2039" s="4"/>
      <c r="BS2039" s="4"/>
      <c r="BT2039" s="4"/>
      <c r="BU2039" s="4"/>
    </row>
    <row r="2040" spans="29:73" s="1" customFormat="1" x14ac:dyDescent="0.25">
      <c r="AC2040" s="4"/>
      <c r="AD2040" s="4"/>
      <c r="AE2040" s="4"/>
      <c r="AF2040" s="4"/>
      <c r="AG2040" s="4"/>
      <c r="AH2040" s="4"/>
      <c r="AI2040" s="4"/>
      <c r="AJ2040" s="4"/>
      <c r="AK2040" s="4"/>
      <c r="AL2040" s="4"/>
      <c r="AM2040" s="4"/>
      <c r="AN2040" s="4"/>
      <c r="AO2040" s="4"/>
      <c r="AP2040" s="4"/>
      <c r="AQ2040" s="4"/>
      <c r="AR2040" s="4"/>
      <c r="AS2040" s="4"/>
      <c r="AT2040" s="4"/>
      <c r="AU2040" s="4"/>
      <c r="AV2040" s="4"/>
      <c r="AW2040" s="4"/>
      <c r="AX2040" s="4"/>
      <c r="AY2040" s="4"/>
      <c r="AZ2040" s="4"/>
      <c r="BA2040" s="4"/>
      <c r="BB2040" s="4"/>
      <c r="BC2040" s="4"/>
      <c r="BD2040" s="4"/>
      <c r="BE2040" s="4"/>
      <c r="BF2040" s="4"/>
      <c r="BG2040" s="4"/>
      <c r="BH2040" s="4"/>
      <c r="BI2040" s="4"/>
      <c r="BJ2040" s="4"/>
      <c r="BK2040" s="4"/>
      <c r="BL2040" s="4"/>
      <c r="BM2040" s="4"/>
      <c r="BN2040" s="4"/>
      <c r="BO2040" s="4"/>
      <c r="BP2040" s="4"/>
      <c r="BQ2040" s="4"/>
      <c r="BR2040" s="4"/>
      <c r="BS2040" s="4"/>
      <c r="BT2040" s="4"/>
      <c r="BU2040" s="4"/>
    </row>
    <row r="2041" spans="29:73" s="1" customFormat="1" x14ac:dyDescent="0.25">
      <c r="AC2041" s="4"/>
      <c r="AD2041" s="4"/>
      <c r="AE2041" s="4"/>
      <c r="AF2041" s="4"/>
      <c r="AG2041" s="4"/>
      <c r="AH2041" s="4"/>
      <c r="AI2041" s="4"/>
      <c r="AJ2041" s="4"/>
      <c r="AK2041" s="4"/>
      <c r="AL2041" s="4"/>
      <c r="AM2041" s="4"/>
      <c r="AN2041" s="4"/>
      <c r="AO2041" s="4"/>
      <c r="AP2041" s="4"/>
      <c r="AQ2041" s="4"/>
      <c r="AR2041" s="4"/>
      <c r="AS2041" s="4"/>
      <c r="AT2041" s="4"/>
      <c r="AU2041" s="4"/>
      <c r="AV2041" s="4"/>
      <c r="AW2041" s="4"/>
      <c r="AX2041" s="4"/>
      <c r="AY2041" s="4"/>
      <c r="AZ2041" s="4"/>
      <c r="BA2041" s="4"/>
      <c r="BB2041" s="4"/>
      <c r="BC2041" s="4"/>
      <c r="BD2041" s="4"/>
      <c r="BE2041" s="4"/>
      <c r="BF2041" s="4"/>
      <c r="BG2041" s="4"/>
      <c r="BH2041" s="4"/>
      <c r="BI2041" s="4"/>
      <c r="BJ2041" s="4"/>
      <c r="BK2041" s="4"/>
      <c r="BL2041" s="4"/>
      <c r="BM2041" s="4"/>
      <c r="BN2041" s="4"/>
      <c r="BO2041" s="4"/>
      <c r="BP2041" s="4"/>
      <c r="BQ2041" s="4"/>
      <c r="BR2041" s="4"/>
      <c r="BS2041" s="4"/>
      <c r="BT2041" s="4"/>
      <c r="BU2041" s="4"/>
    </row>
    <row r="2042" spans="29:73" s="1" customFormat="1" x14ac:dyDescent="0.25">
      <c r="AC2042" s="4"/>
      <c r="AD2042" s="4"/>
      <c r="AE2042" s="4"/>
      <c r="AF2042" s="4"/>
      <c r="AG2042" s="4"/>
      <c r="AH2042" s="4"/>
      <c r="AI2042" s="4"/>
      <c r="AJ2042" s="4"/>
      <c r="AK2042" s="4"/>
      <c r="AL2042" s="4"/>
      <c r="AM2042" s="4"/>
      <c r="AN2042" s="4"/>
      <c r="AO2042" s="4"/>
      <c r="AP2042" s="4"/>
      <c r="AQ2042" s="4"/>
      <c r="AR2042" s="4"/>
      <c r="AS2042" s="4"/>
      <c r="AT2042" s="4"/>
      <c r="AU2042" s="4"/>
      <c r="AV2042" s="4"/>
      <c r="AW2042" s="4"/>
      <c r="AX2042" s="4"/>
      <c r="AY2042" s="4"/>
      <c r="AZ2042" s="4"/>
      <c r="BA2042" s="4"/>
      <c r="BB2042" s="4"/>
      <c r="BC2042" s="4"/>
      <c r="BD2042" s="4"/>
      <c r="BE2042" s="4"/>
      <c r="BF2042" s="4"/>
      <c r="BG2042" s="4"/>
      <c r="BH2042" s="4"/>
      <c r="BI2042" s="4"/>
      <c r="BJ2042" s="4"/>
      <c r="BK2042" s="4"/>
      <c r="BL2042" s="4"/>
      <c r="BM2042" s="4"/>
      <c r="BN2042" s="4"/>
      <c r="BO2042" s="4"/>
      <c r="BP2042" s="4"/>
      <c r="BQ2042" s="4"/>
      <c r="BR2042" s="4"/>
      <c r="BS2042" s="4"/>
      <c r="BT2042" s="4"/>
      <c r="BU2042" s="4"/>
    </row>
    <row r="2043" spans="29:73" s="1" customFormat="1" x14ac:dyDescent="0.25">
      <c r="AC2043" s="4"/>
      <c r="AD2043" s="4"/>
      <c r="AE2043" s="4"/>
      <c r="AF2043" s="4"/>
      <c r="AG2043" s="4"/>
      <c r="AH2043" s="4"/>
      <c r="AI2043" s="4"/>
      <c r="AJ2043" s="4"/>
      <c r="AK2043" s="4"/>
      <c r="AL2043" s="4"/>
      <c r="AM2043" s="4"/>
      <c r="AN2043" s="4"/>
      <c r="AO2043" s="4"/>
      <c r="AP2043" s="4"/>
      <c r="AQ2043" s="4"/>
      <c r="AR2043" s="4"/>
      <c r="AS2043" s="4"/>
      <c r="AT2043" s="4"/>
      <c r="AU2043" s="4"/>
      <c r="AV2043" s="4"/>
      <c r="AW2043" s="4"/>
      <c r="AX2043" s="4"/>
      <c r="AY2043" s="4"/>
      <c r="AZ2043" s="4"/>
      <c r="BA2043" s="4"/>
      <c r="BB2043" s="4"/>
      <c r="BC2043" s="4"/>
      <c r="BD2043" s="4"/>
      <c r="BE2043" s="4"/>
      <c r="BF2043" s="4"/>
      <c r="BG2043" s="4"/>
      <c r="BH2043" s="4"/>
      <c r="BI2043" s="4"/>
      <c r="BJ2043" s="4"/>
      <c r="BK2043" s="4"/>
      <c r="BL2043" s="4"/>
      <c r="BM2043" s="4"/>
      <c r="BN2043" s="4"/>
      <c r="BO2043" s="4"/>
      <c r="BP2043" s="4"/>
      <c r="BQ2043" s="4"/>
      <c r="BR2043" s="4"/>
      <c r="BS2043" s="4"/>
      <c r="BT2043" s="4"/>
      <c r="BU2043" s="4"/>
    </row>
    <row r="2044" spans="29:73" s="1" customFormat="1" x14ac:dyDescent="0.25">
      <c r="AC2044" s="4"/>
      <c r="AD2044" s="4"/>
      <c r="AE2044" s="4"/>
      <c r="AF2044" s="4"/>
      <c r="AG2044" s="4"/>
      <c r="AH2044" s="4"/>
      <c r="AI2044" s="4"/>
      <c r="AJ2044" s="4"/>
      <c r="AK2044" s="4"/>
      <c r="AL2044" s="4"/>
      <c r="AM2044" s="4"/>
      <c r="AN2044" s="4"/>
      <c r="AO2044" s="4"/>
      <c r="AP2044" s="4"/>
      <c r="AQ2044" s="4"/>
      <c r="AR2044" s="4"/>
      <c r="AS2044" s="4"/>
      <c r="AT2044" s="4"/>
      <c r="AU2044" s="4"/>
      <c r="AV2044" s="4"/>
      <c r="AW2044" s="4"/>
      <c r="AX2044" s="4"/>
      <c r="AY2044" s="4"/>
      <c r="AZ2044" s="4"/>
      <c r="BA2044" s="4"/>
      <c r="BB2044" s="4"/>
      <c r="BC2044" s="4"/>
      <c r="BD2044" s="4"/>
      <c r="BE2044" s="4"/>
      <c r="BF2044" s="4"/>
      <c r="BG2044" s="4"/>
      <c r="BH2044" s="4"/>
      <c r="BI2044" s="4"/>
      <c r="BJ2044" s="4"/>
      <c r="BK2044" s="4"/>
      <c r="BL2044" s="4"/>
      <c r="BM2044" s="4"/>
      <c r="BN2044" s="4"/>
      <c r="BO2044" s="4"/>
      <c r="BP2044" s="4"/>
      <c r="BQ2044" s="4"/>
      <c r="BR2044" s="4"/>
      <c r="BS2044" s="4"/>
      <c r="BT2044" s="4"/>
      <c r="BU2044" s="4"/>
    </row>
    <row r="2045" spans="29:73" s="1" customFormat="1" x14ac:dyDescent="0.25">
      <c r="AC2045" s="4"/>
      <c r="AD2045" s="4"/>
      <c r="AE2045" s="4"/>
      <c r="AF2045" s="4"/>
      <c r="AG2045" s="4"/>
      <c r="AH2045" s="4"/>
      <c r="AI2045" s="4"/>
      <c r="AJ2045" s="4"/>
      <c r="AK2045" s="4"/>
      <c r="AL2045" s="4"/>
      <c r="AM2045" s="4"/>
      <c r="AN2045" s="4"/>
      <c r="AO2045" s="4"/>
      <c r="AP2045" s="4"/>
      <c r="AQ2045" s="4"/>
      <c r="AR2045" s="4"/>
      <c r="AS2045" s="4"/>
      <c r="AT2045" s="4"/>
      <c r="AU2045" s="4"/>
      <c r="AV2045" s="4"/>
      <c r="AW2045" s="4"/>
      <c r="AX2045" s="4"/>
      <c r="AY2045" s="4"/>
      <c r="AZ2045" s="4"/>
      <c r="BA2045" s="4"/>
      <c r="BB2045" s="4"/>
      <c r="BC2045" s="4"/>
      <c r="BD2045" s="4"/>
      <c r="BE2045" s="4"/>
      <c r="BF2045" s="4"/>
      <c r="BG2045" s="4"/>
      <c r="BH2045" s="4"/>
      <c r="BI2045" s="4"/>
      <c r="BJ2045" s="4"/>
      <c r="BK2045" s="4"/>
      <c r="BL2045" s="4"/>
      <c r="BM2045" s="4"/>
      <c r="BN2045" s="4"/>
      <c r="BO2045" s="4"/>
      <c r="BP2045" s="4"/>
      <c r="BQ2045" s="4"/>
      <c r="BR2045" s="4"/>
      <c r="BS2045" s="4"/>
      <c r="BT2045" s="4"/>
      <c r="BU2045" s="4"/>
    </row>
    <row r="2046" spans="29:73" s="1" customFormat="1" x14ac:dyDescent="0.25">
      <c r="AC2046" s="4"/>
      <c r="AD2046" s="4"/>
      <c r="AE2046" s="4"/>
      <c r="AF2046" s="4"/>
      <c r="AG2046" s="4"/>
      <c r="AH2046" s="4"/>
      <c r="AI2046" s="4"/>
      <c r="AJ2046" s="4"/>
      <c r="AK2046" s="4"/>
      <c r="AL2046" s="4"/>
      <c r="AM2046" s="4"/>
      <c r="AN2046" s="4"/>
      <c r="AO2046" s="4"/>
      <c r="AP2046" s="4"/>
      <c r="AQ2046" s="4"/>
      <c r="AR2046" s="4"/>
      <c r="AS2046" s="4"/>
      <c r="AT2046" s="4"/>
      <c r="AU2046" s="4"/>
      <c r="AV2046" s="4"/>
      <c r="AW2046" s="4"/>
      <c r="AX2046" s="4"/>
      <c r="AY2046" s="4"/>
      <c r="AZ2046" s="4"/>
      <c r="BA2046" s="4"/>
      <c r="BB2046" s="4"/>
      <c r="BC2046" s="4"/>
      <c r="BD2046" s="4"/>
      <c r="BE2046" s="4"/>
      <c r="BF2046" s="4"/>
      <c r="BG2046" s="4"/>
      <c r="BH2046" s="4"/>
      <c r="BI2046" s="4"/>
      <c r="BJ2046" s="4"/>
      <c r="BK2046" s="4"/>
      <c r="BL2046" s="4"/>
      <c r="BM2046" s="4"/>
      <c r="BN2046" s="4"/>
      <c r="BO2046" s="4"/>
      <c r="BP2046" s="4"/>
      <c r="BQ2046" s="4"/>
      <c r="BR2046" s="4"/>
      <c r="BS2046" s="4"/>
      <c r="BT2046" s="4"/>
      <c r="BU2046" s="4"/>
    </row>
    <row r="2047" spans="29:73" s="1" customFormat="1" x14ac:dyDescent="0.25">
      <c r="AC2047" s="4"/>
      <c r="AD2047" s="4"/>
      <c r="AE2047" s="4"/>
      <c r="AF2047" s="4"/>
      <c r="AG2047" s="4"/>
      <c r="AH2047" s="4"/>
      <c r="AI2047" s="4"/>
      <c r="AJ2047" s="4"/>
      <c r="AK2047" s="4"/>
      <c r="AL2047" s="4"/>
      <c r="AM2047" s="4"/>
      <c r="AN2047" s="4"/>
      <c r="AO2047" s="4"/>
      <c r="AP2047" s="4"/>
      <c r="AQ2047" s="4"/>
      <c r="AR2047" s="4"/>
      <c r="AS2047" s="4"/>
      <c r="AT2047" s="4"/>
      <c r="AU2047" s="4"/>
      <c r="AV2047" s="4"/>
      <c r="AW2047" s="4"/>
      <c r="AX2047" s="4"/>
      <c r="AY2047" s="4"/>
      <c r="AZ2047" s="4"/>
      <c r="BA2047" s="4"/>
      <c r="BB2047" s="4"/>
      <c r="BC2047" s="4"/>
      <c r="BD2047" s="4"/>
      <c r="BE2047" s="4"/>
      <c r="BF2047" s="4"/>
      <c r="BG2047" s="4"/>
      <c r="BH2047" s="4"/>
      <c r="BI2047" s="4"/>
      <c r="BJ2047" s="4"/>
      <c r="BK2047" s="4"/>
      <c r="BL2047" s="4"/>
      <c r="BM2047" s="4"/>
      <c r="BN2047" s="4"/>
      <c r="BO2047" s="4"/>
      <c r="BP2047" s="4"/>
      <c r="BQ2047" s="4"/>
      <c r="BR2047" s="4"/>
      <c r="BS2047" s="4"/>
      <c r="BT2047" s="4"/>
      <c r="BU2047" s="4"/>
    </row>
    <row r="2048" spans="29:73" s="1" customFormat="1" x14ac:dyDescent="0.25">
      <c r="AC2048" s="4"/>
      <c r="AD2048" s="4"/>
      <c r="AE2048" s="4"/>
      <c r="AF2048" s="4"/>
      <c r="AG2048" s="4"/>
      <c r="AH2048" s="4"/>
      <c r="AI2048" s="4"/>
      <c r="AJ2048" s="4"/>
      <c r="AK2048" s="4"/>
      <c r="AL2048" s="4"/>
      <c r="AM2048" s="4"/>
      <c r="AN2048" s="4"/>
      <c r="AO2048" s="4"/>
      <c r="AP2048" s="4"/>
      <c r="AQ2048" s="4"/>
      <c r="AR2048" s="4"/>
      <c r="AS2048" s="4"/>
      <c r="AT2048" s="4"/>
      <c r="AU2048" s="4"/>
      <c r="AV2048" s="4"/>
      <c r="AW2048" s="4"/>
      <c r="AX2048" s="4"/>
      <c r="AY2048" s="4"/>
      <c r="AZ2048" s="4"/>
      <c r="BA2048" s="4"/>
      <c r="BB2048" s="4"/>
      <c r="BC2048" s="4"/>
      <c r="BD2048" s="4"/>
      <c r="BE2048" s="4"/>
      <c r="BF2048" s="4"/>
      <c r="BG2048" s="4"/>
      <c r="BH2048" s="4"/>
      <c r="BI2048" s="4"/>
      <c r="BJ2048" s="4"/>
      <c r="BK2048" s="4"/>
      <c r="BL2048" s="4"/>
      <c r="BM2048" s="4"/>
      <c r="BN2048" s="4"/>
      <c r="BO2048" s="4"/>
      <c r="BP2048" s="4"/>
      <c r="BQ2048" s="4"/>
      <c r="BR2048" s="4"/>
      <c r="BS2048" s="4"/>
      <c r="BT2048" s="4"/>
      <c r="BU2048" s="4"/>
    </row>
    <row r="2049" spans="29:73" s="1" customFormat="1" x14ac:dyDescent="0.25">
      <c r="AC2049" s="4"/>
      <c r="AD2049" s="4"/>
      <c r="AE2049" s="4"/>
      <c r="AF2049" s="4"/>
      <c r="AG2049" s="4"/>
      <c r="AH2049" s="4"/>
      <c r="AI2049" s="4"/>
      <c r="AJ2049" s="4"/>
      <c r="AK2049" s="4"/>
      <c r="AL2049" s="4"/>
      <c r="AM2049" s="4"/>
      <c r="AN2049" s="4"/>
      <c r="AO2049" s="4"/>
      <c r="AP2049" s="4"/>
      <c r="AQ2049" s="4"/>
      <c r="AR2049" s="4"/>
      <c r="AS2049" s="4"/>
      <c r="AT2049" s="4"/>
      <c r="AU2049" s="4"/>
      <c r="AV2049" s="4"/>
      <c r="AW2049" s="4"/>
      <c r="AX2049" s="4"/>
      <c r="AY2049" s="4"/>
      <c r="AZ2049" s="4"/>
      <c r="BA2049" s="4"/>
      <c r="BB2049" s="4"/>
      <c r="BC2049" s="4"/>
      <c r="BD2049" s="4"/>
      <c r="BE2049" s="4"/>
      <c r="BF2049" s="4"/>
      <c r="BG2049" s="4"/>
      <c r="BH2049" s="4"/>
      <c r="BI2049" s="4"/>
      <c r="BJ2049" s="4"/>
      <c r="BK2049" s="4"/>
      <c r="BL2049" s="4"/>
      <c r="BM2049" s="4"/>
      <c r="BN2049" s="4"/>
      <c r="BO2049" s="4"/>
      <c r="BP2049" s="4"/>
      <c r="BQ2049" s="4"/>
      <c r="BR2049" s="4"/>
      <c r="BS2049" s="4"/>
      <c r="BT2049" s="4"/>
      <c r="BU2049" s="4"/>
    </row>
    <row r="2050" spans="29:73" s="1" customFormat="1" x14ac:dyDescent="0.25">
      <c r="AC2050" s="4"/>
      <c r="AD2050" s="4"/>
      <c r="AE2050" s="4"/>
      <c r="AF2050" s="4"/>
      <c r="AG2050" s="4"/>
      <c r="AH2050" s="4"/>
      <c r="AI2050" s="4"/>
      <c r="AJ2050" s="4"/>
      <c r="AK2050" s="4"/>
      <c r="AL2050" s="4"/>
      <c r="AM2050" s="4"/>
      <c r="AN2050" s="4"/>
      <c r="AO2050" s="4"/>
      <c r="AP2050" s="4"/>
      <c r="AQ2050" s="4"/>
      <c r="AR2050" s="4"/>
      <c r="AS2050" s="4"/>
      <c r="AT2050" s="4"/>
      <c r="AU2050" s="4"/>
      <c r="AV2050" s="4"/>
      <c r="AW2050" s="4"/>
      <c r="AX2050" s="4"/>
      <c r="AY2050" s="4"/>
      <c r="AZ2050" s="4"/>
      <c r="BA2050" s="4"/>
      <c r="BB2050" s="4"/>
      <c r="BC2050" s="4"/>
      <c r="BD2050" s="4"/>
      <c r="BE2050" s="4"/>
      <c r="BF2050" s="4"/>
      <c r="BG2050" s="4"/>
      <c r="BH2050" s="4"/>
      <c r="BI2050" s="4"/>
      <c r="BJ2050" s="4"/>
      <c r="BK2050" s="4"/>
      <c r="BL2050" s="4"/>
      <c r="BM2050" s="4"/>
      <c r="BN2050" s="4"/>
      <c r="BO2050" s="4"/>
      <c r="BP2050" s="4"/>
      <c r="BQ2050" s="4"/>
      <c r="BR2050" s="4"/>
      <c r="BS2050" s="4"/>
      <c r="BT2050" s="4"/>
      <c r="BU2050" s="4"/>
    </row>
    <row r="2051" spans="29:73" s="1" customFormat="1" x14ac:dyDescent="0.25">
      <c r="AC2051" s="4"/>
      <c r="AD2051" s="4"/>
      <c r="AE2051" s="4"/>
      <c r="AF2051" s="4"/>
      <c r="AG2051" s="4"/>
      <c r="AH2051" s="4"/>
      <c r="AI2051" s="4"/>
      <c r="AJ2051" s="4"/>
      <c r="AK2051" s="4"/>
      <c r="AL2051" s="4"/>
      <c r="AM2051" s="4"/>
      <c r="AN2051" s="4"/>
      <c r="AO2051" s="4"/>
      <c r="AP2051" s="4"/>
      <c r="AQ2051" s="4"/>
      <c r="AR2051" s="4"/>
      <c r="AS2051" s="4"/>
      <c r="AT2051" s="4"/>
      <c r="AU2051" s="4"/>
      <c r="AV2051" s="4"/>
      <c r="AW2051" s="4"/>
      <c r="AX2051" s="4"/>
      <c r="AY2051" s="4"/>
      <c r="AZ2051" s="4"/>
      <c r="BA2051" s="4"/>
      <c r="BB2051" s="4"/>
      <c r="BC2051" s="4"/>
      <c r="BD2051" s="4"/>
      <c r="BE2051" s="4"/>
      <c r="BF2051" s="4"/>
      <c r="BG2051" s="4"/>
      <c r="BH2051" s="4"/>
      <c r="BI2051" s="4"/>
      <c r="BJ2051" s="4"/>
      <c r="BK2051" s="4"/>
      <c r="BL2051" s="4"/>
      <c r="BM2051" s="4"/>
      <c r="BN2051" s="4"/>
      <c r="BO2051" s="4"/>
      <c r="BP2051" s="4"/>
      <c r="BQ2051" s="4"/>
      <c r="BR2051" s="4"/>
      <c r="BS2051" s="4"/>
      <c r="BT2051" s="4"/>
      <c r="BU2051" s="4"/>
    </row>
    <row r="2052" spans="29:73" s="1" customFormat="1" x14ac:dyDescent="0.25">
      <c r="AC2052" s="4"/>
      <c r="AD2052" s="4"/>
      <c r="AE2052" s="4"/>
      <c r="AF2052" s="4"/>
      <c r="AG2052" s="4"/>
      <c r="AH2052" s="4"/>
      <c r="AI2052" s="4"/>
      <c r="AJ2052" s="4"/>
      <c r="AK2052" s="4"/>
      <c r="AL2052" s="4"/>
      <c r="AM2052" s="4"/>
      <c r="AN2052" s="4"/>
      <c r="AO2052" s="4"/>
      <c r="AP2052" s="4"/>
      <c r="AQ2052" s="4"/>
      <c r="AR2052" s="4"/>
      <c r="AS2052" s="4"/>
      <c r="AT2052" s="4"/>
      <c r="AU2052" s="4"/>
      <c r="AV2052" s="4"/>
      <c r="AW2052" s="4"/>
      <c r="AX2052" s="4"/>
      <c r="AY2052" s="4"/>
      <c r="AZ2052" s="4"/>
      <c r="BA2052" s="4"/>
      <c r="BB2052" s="4"/>
      <c r="BC2052" s="4"/>
      <c r="BD2052" s="4"/>
      <c r="BE2052" s="4"/>
      <c r="BF2052" s="4"/>
      <c r="BG2052" s="4"/>
      <c r="BH2052" s="4"/>
      <c r="BI2052" s="4"/>
      <c r="BJ2052" s="4"/>
      <c r="BK2052" s="4"/>
      <c r="BL2052" s="4"/>
      <c r="BM2052" s="4"/>
      <c r="BN2052" s="4"/>
      <c r="BO2052" s="4"/>
      <c r="BP2052" s="4"/>
      <c r="BQ2052" s="4"/>
      <c r="BR2052" s="4"/>
      <c r="BS2052" s="4"/>
      <c r="BT2052" s="4"/>
      <c r="BU2052" s="4"/>
    </row>
    <row r="2053" spans="29:73" s="1" customFormat="1" x14ac:dyDescent="0.25">
      <c r="AC2053" s="4"/>
      <c r="AD2053" s="4"/>
      <c r="AE2053" s="4"/>
      <c r="AF2053" s="4"/>
      <c r="AG2053" s="4"/>
      <c r="AH2053" s="4"/>
      <c r="AI2053" s="4"/>
      <c r="AJ2053" s="4"/>
      <c r="AK2053" s="4"/>
      <c r="AL2053" s="4"/>
      <c r="AM2053" s="4"/>
      <c r="AN2053" s="4"/>
      <c r="AO2053" s="4"/>
      <c r="AP2053" s="4"/>
      <c r="AQ2053" s="4"/>
      <c r="AR2053" s="4"/>
      <c r="AS2053" s="4"/>
      <c r="AT2053" s="4"/>
      <c r="AU2053" s="4"/>
      <c r="AV2053" s="4"/>
      <c r="AW2053" s="4"/>
      <c r="AX2053" s="4"/>
      <c r="AY2053" s="4"/>
      <c r="AZ2053" s="4"/>
      <c r="BA2053" s="4"/>
      <c r="BB2053" s="4"/>
      <c r="BC2053" s="4"/>
      <c r="BD2053" s="4"/>
      <c r="BE2053" s="4"/>
      <c r="BF2053" s="4"/>
      <c r="BG2053" s="4"/>
      <c r="BH2053" s="4"/>
      <c r="BI2053" s="4"/>
      <c r="BJ2053" s="4"/>
      <c r="BK2053" s="4"/>
      <c r="BL2053" s="4"/>
      <c r="BM2053" s="4"/>
      <c r="BN2053" s="4"/>
      <c r="BO2053" s="4"/>
      <c r="BP2053" s="4"/>
      <c r="BQ2053" s="4"/>
      <c r="BR2053" s="4"/>
      <c r="BS2053" s="4"/>
      <c r="BT2053" s="4"/>
      <c r="BU2053" s="4"/>
    </row>
    <row r="2054" spans="29:73" s="1" customFormat="1" x14ac:dyDescent="0.25">
      <c r="AC2054" s="4"/>
      <c r="AD2054" s="4"/>
      <c r="AE2054" s="4"/>
      <c r="AF2054" s="4"/>
      <c r="AG2054" s="4"/>
      <c r="AH2054" s="4"/>
      <c r="AI2054" s="4"/>
      <c r="AJ2054" s="4"/>
      <c r="AK2054" s="4"/>
      <c r="AL2054" s="4"/>
      <c r="AM2054" s="4"/>
      <c r="AN2054" s="4"/>
      <c r="AO2054" s="4"/>
      <c r="AP2054" s="4"/>
      <c r="AQ2054" s="4"/>
      <c r="AR2054" s="4"/>
      <c r="AS2054" s="4"/>
      <c r="AT2054" s="4"/>
      <c r="AU2054" s="4"/>
      <c r="AV2054" s="4"/>
      <c r="AW2054" s="4"/>
      <c r="AX2054" s="4"/>
      <c r="AY2054" s="4"/>
      <c r="AZ2054" s="4"/>
      <c r="BA2054" s="4"/>
      <c r="BB2054" s="4"/>
      <c r="BC2054" s="4"/>
      <c r="BD2054" s="4"/>
      <c r="BE2054" s="4"/>
      <c r="BF2054" s="4"/>
      <c r="BG2054" s="4"/>
      <c r="BH2054" s="4"/>
      <c r="BI2054" s="4"/>
      <c r="BJ2054" s="4"/>
      <c r="BK2054" s="4"/>
      <c r="BL2054" s="4"/>
      <c r="BM2054" s="4"/>
      <c r="BN2054" s="4"/>
      <c r="BO2054" s="4"/>
      <c r="BP2054" s="4"/>
      <c r="BQ2054" s="4"/>
      <c r="BR2054" s="4"/>
      <c r="BS2054" s="4"/>
      <c r="BT2054" s="4"/>
      <c r="BU2054" s="4"/>
    </row>
    <row r="2055" spans="29:73" s="1" customFormat="1" x14ac:dyDescent="0.25">
      <c r="AC2055" s="4"/>
      <c r="AD2055" s="4"/>
      <c r="AE2055" s="4"/>
      <c r="AF2055" s="4"/>
      <c r="AG2055" s="4"/>
      <c r="AH2055" s="4"/>
      <c r="AI2055" s="4"/>
      <c r="AJ2055" s="4"/>
      <c r="AK2055" s="4"/>
      <c r="AL2055" s="4"/>
      <c r="AM2055" s="4"/>
      <c r="AN2055" s="4"/>
      <c r="AO2055" s="4"/>
      <c r="AP2055" s="4"/>
      <c r="AQ2055" s="4"/>
      <c r="AR2055" s="4"/>
      <c r="AS2055" s="4"/>
      <c r="AT2055" s="4"/>
      <c r="AU2055" s="4"/>
      <c r="AV2055" s="4"/>
      <c r="AW2055" s="4"/>
      <c r="AX2055" s="4"/>
      <c r="AY2055" s="4"/>
      <c r="AZ2055" s="4"/>
      <c r="BA2055" s="4"/>
      <c r="BB2055" s="4"/>
      <c r="BC2055" s="4"/>
      <c r="BD2055" s="4"/>
      <c r="BE2055" s="4"/>
      <c r="BF2055" s="4"/>
      <c r="BG2055" s="4"/>
      <c r="BH2055" s="4"/>
      <c r="BI2055" s="4"/>
      <c r="BJ2055" s="4"/>
      <c r="BK2055" s="4"/>
      <c r="BL2055" s="4"/>
      <c r="BM2055" s="4"/>
      <c r="BN2055" s="4"/>
      <c r="BO2055" s="4"/>
      <c r="BP2055" s="4"/>
      <c r="BQ2055" s="4"/>
      <c r="BR2055" s="4"/>
      <c r="BS2055" s="4"/>
      <c r="BT2055" s="4"/>
      <c r="BU2055" s="4"/>
    </row>
    <row r="2056" spans="29:73" s="1" customFormat="1" x14ac:dyDescent="0.25">
      <c r="AC2056" s="4"/>
      <c r="AD2056" s="4"/>
      <c r="AE2056" s="4"/>
      <c r="AF2056" s="4"/>
      <c r="AG2056" s="4"/>
      <c r="AH2056" s="4"/>
      <c r="AI2056" s="4"/>
      <c r="AJ2056" s="4"/>
      <c r="AK2056" s="4"/>
      <c r="AL2056" s="4"/>
      <c r="AM2056" s="4"/>
      <c r="AN2056" s="4"/>
      <c r="AO2056" s="4"/>
      <c r="AP2056" s="4"/>
      <c r="AQ2056" s="4"/>
      <c r="AR2056" s="4"/>
      <c r="AS2056" s="4"/>
      <c r="AT2056" s="4"/>
      <c r="AU2056" s="4"/>
      <c r="AV2056" s="4"/>
      <c r="AW2056" s="4"/>
      <c r="AX2056" s="4"/>
      <c r="AY2056" s="4"/>
      <c r="AZ2056" s="4"/>
      <c r="BA2056" s="4"/>
      <c r="BB2056" s="4"/>
      <c r="BC2056" s="4"/>
      <c r="BD2056" s="4"/>
      <c r="BE2056" s="4"/>
      <c r="BF2056" s="4"/>
      <c r="BG2056" s="4"/>
      <c r="BH2056" s="4"/>
      <c r="BI2056" s="4"/>
      <c r="BJ2056" s="4"/>
      <c r="BK2056" s="4"/>
      <c r="BL2056" s="4"/>
      <c r="BM2056" s="4"/>
      <c r="BN2056" s="4"/>
      <c r="BO2056" s="4"/>
      <c r="BP2056" s="4"/>
      <c r="BQ2056" s="4"/>
      <c r="BR2056" s="4"/>
      <c r="BS2056" s="4"/>
      <c r="BT2056" s="4"/>
      <c r="BU2056" s="4"/>
    </row>
    <row r="2057" spans="29:73" s="1" customFormat="1" x14ac:dyDescent="0.25">
      <c r="AC2057" s="4"/>
      <c r="AD2057" s="4"/>
      <c r="AE2057" s="4"/>
      <c r="AF2057" s="4"/>
      <c r="AG2057" s="4"/>
      <c r="AH2057" s="4"/>
      <c r="AI2057" s="4"/>
      <c r="AJ2057" s="4"/>
      <c r="AK2057" s="4"/>
      <c r="AL2057" s="4"/>
      <c r="AM2057" s="4"/>
      <c r="AN2057" s="4"/>
      <c r="AO2057" s="4"/>
      <c r="AP2057" s="4"/>
      <c r="AQ2057" s="4"/>
      <c r="AR2057" s="4"/>
      <c r="AS2057" s="4"/>
      <c r="AT2057" s="4"/>
      <c r="AU2057" s="4"/>
      <c r="AV2057" s="4"/>
      <c r="AW2057" s="4"/>
      <c r="AX2057" s="4"/>
      <c r="AY2057" s="4"/>
      <c r="AZ2057" s="4"/>
      <c r="BA2057" s="4"/>
      <c r="BB2057" s="4"/>
      <c r="BC2057" s="4"/>
      <c r="BD2057" s="4"/>
      <c r="BE2057" s="4"/>
      <c r="BF2057" s="4"/>
      <c r="BG2057" s="4"/>
      <c r="BH2057" s="4"/>
      <c r="BI2057" s="4"/>
      <c r="BJ2057" s="4"/>
      <c r="BK2057" s="4"/>
      <c r="BL2057" s="4"/>
      <c r="BM2057" s="4"/>
      <c r="BN2057" s="4"/>
      <c r="BO2057" s="4"/>
      <c r="BP2057" s="4"/>
      <c r="BQ2057" s="4"/>
      <c r="BR2057" s="4"/>
      <c r="BS2057" s="4"/>
      <c r="BT2057" s="4"/>
      <c r="BU2057" s="4"/>
    </row>
    <row r="2058" spans="29:73" s="1" customFormat="1" x14ac:dyDescent="0.25">
      <c r="AC2058" s="4"/>
      <c r="AD2058" s="4"/>
      <c r="AE2058" s="4"/>
      <c r="AF2058" s="4"/>
      <c r="AG2058" s="4"/>
      <c r="AH2058" s="4"/>
      <c r="AI2058" s="4"/>
      <c r="AJ2058" s="4"/>
      <c r="AK2058" s="4"/>
      <c r="AL2058" s="4"/>
      <c r="AM2058" s="4"/>
      <c r="AN2058" s="4"/>
      <c r="AO2058" s="4"/>
      <c r="AP2058" s="4"/>
      <c r="AQ2058" s="4"/>
      <c r="AR2058" s="4"/>
      <c r="AS2058" s="4"/>
      <c r="AT2058" s="4"/>
      <c r="AU2058" s="4"/>
      <c r="AV2058" s="4"/>
      <c r="AW2058" s="4"/>
      <c r="AX2058" s="4"/>
      <c r="AY2058" s="4"/>
      <c r="AZ2058" s="4"/>
      <c r="BA2058" s="4"/>
      <c r="BB2058" s="4"/>
      <c r="BC2058" s="4"/>
      <c r="BD2058" s="4"/>
      <c r="BE2058" s="4"/>
      <c r="BF2058" s="4"/>
      <c r="BG2058" s="4"/>
      <c r="BH2058" s="4"/>
      <c r="BI2058" s="4"/>
      <c r="BJ2058" s="4"/>
      <c r="BK2058" s="4"/>
      <c r="BL2058" s="4"/>
      <c r="BM2058" s="4"/>
      <c r="BN2058" s="4"/>
      <c r="BO2058" s="4"/>
      <c r="BP2058" s="4"/>
      <c r="BQ2058" s="4"/>
      <c r="BR2058" s="4"/>
      <c r="BS2058" s="4"/>
      <c r="BT2058" s="4"/>
      <c r="BU2058" s="4"/>
    </row>
    <row r="2059" spans="29:73" s="1" customFormat="1" x14ac:dyDescent="0.25">
      <c r="AC2059" s="4"/>
      <c r="AD2059" s="4"/>
      <c r="AE2059" s="4"/>
      <c r="AF2059" s="4"/>
      <c r="AG2059" s="4"/>
      <c r="AH2059" s="4"/>
      <c r="AI2059" s="4"/>
      <c r="AJ2059" s="4"/>
      <c r="AK2059" s="4"/>
      <c r="AL2059" s="4"/>
      <c r="AM2059" s="4"/>
      <c r="AN2059" s="4"/>
      <c r="AO2059" s="4"/>
      <c r="AP2059" s="4"/>
      <c r="AQ2059" s="4"/>
      <c r="AR2059" s="4"/>
      <c r="AS2059" s="4"/>
      <c r="AT2059" s="4"/>
      <c r="AU2059" s="4"/>
      <c r="AV2059" s="4"/>
      <c r="AW2059" s="4"/>
      <c r="AX2059" s="4"/>
      <c r="AY2059" s="4"/>
      <c r="AZ2059" s="4"/>
      <c r="BA2059" s="4"/>
      <c r="BB2059" s="4"/>
      <c r="BC2059" s="4"/>
      <c r="BD2059" s="4"/>
      <c r="BE2059" s="4"/>
      <c r="BF2059" s="4"/>
      <c r="BG2059" s="4"/>
      <c r="BH2059" s="4"/>
      <c r="BI2059" s="4"/>
      <c r="BJ2059" s="4"/>
      <c r="BK2059" s="4"/>
      <c r="BL2059" s="4"/>
      <c r="BM2059" s="4"/>
      <c r="BN2059" s="4"/>
      <c r="BO2059" s="4"/>
      <c r="BP2059" s="4"/>
      <c r="BQ2059" s="4"/>
      <c r="BR2059" s="4"/>
      <c r="BS2059" s="4"/>
      <c r="BT2059" s="4"/>
      <c r="BU2059" s="4"/>
    </row>
    <row r="2060" spans="29:73" s="1" customFormat="1" x14ac:dyDescent="0.25">
      <c r="AC2060" s="4"/>
      <c r="AD2060" s="4"/>
      <c r="AE2060" s="4"/>
      <c r="AF2060" s="4"/>
      <c r="AG2060" s="4"/>
      <c r="AH2060" s="4"/>
      <c r="AI2060" s="4"/>
      <c r="AJ2060" s="4"/>
      <c r="AK2060" s="4"/>
      <c r="AL2060" s="4"/>
      <c r="AM2060" s="4"/>
      <c r="AN2060" s="4"/>
      <c r="AO2060" s="4"/>
      <c r="AP2060" s="4"/>
      <c r="AQ2060" s="4"/>
      <c r="AR2060" s="4"/>
      <c r="AS2060" s="4"/>
      <c r="AT2060" s="4"/>
      <c r="AU2060" s="4"/>
      <c r="AV2060" s="4"/>
      <c r="AW2060" s="4"/>
      <c r="AX2060" s="4"/>
      <c r="AY2060" s="4"/>
      <c r="AZ2060" s="4"/>
      <c r="BA2060" s="4"/>
      <c r="BB2060" s="4"/>
      <c r="BC2060" s="4"/>
      <c r="BD2060" s="4"/>
      <c r="BE2060" s="4"/>
      <c r="BF2060" s="4"/>
      <c r="BG2060" s="4"/>
      <c r="BH2060" s="4"/>
      <c r="BI2060" s="4"/>
      <c r="BJ2060" s="4"/>
      <c r="BK2060" s="4"/>
      <c r="BL2060" s="4"/>
      <c r="BM2060" s="4"/>
      <c r="BN2060" s="4"/>
      <c r="BO2060" s="4"/>
      <c r="BP2060" s="4"/>
      <c r="BQ2060" s="4"/>
      <c r="BR2060" s="4"/>
      <c r="BS2060" s="4"/>
      <c r="BT2060" s="4"/>
      <c r="BU2060" s="4"/>
    </row>
    <row r="2061" spans="29:73" s="1" customFormat="1" x14ac:dyDescent="0.25">
      <c r="AC2061" s="4"/>
      <c r="AD2061" s="4"/>
      <c r="AE2061" s="4"/>
      <c r="AF2061" s="4"/>
      <c r="AG2061" s="4"/>
      <c r="AH2061" s="4"/>
      <c r="AI2061" s="4"/>
      <c r="AJ2061" s="4"/>
      <c r="AK2061" s="4"/>
      <c r="AL2061" s="4"/>
      <c r="AM2061" s="4"/>
      <c r="AN2061" s="4"/>
      <c r="AO2061" s="4"/>
      <c r="AP2061" s="4"/>
      <c r="AQ2061" s="4"/>
      <c r="AR2061" s="4"/>
      <c r="AS2061" s="4"/>
      <c r="AT2061" s="4"/>
      <c r="AU2061" s="4"/>
      <c r="AV2061" s="4"/>
      <c r="AW2061" s="4"/>
      <c r="AX2061" s="4"/>
      <c r="AY2061" s="4"/>
      <c r="AZ2061" s="4"/>
      <c r="BA2061" s="4"/>
      <c r="BB2061" s="4"/>
      <c r="BC2061" s="4"/>
      <c r="BD2061" s="4"/>
      <c r="BE2061" s="4"/>
      <c r="BF2061" s="4"/>
      <c r="BG2061" s="4"/>
      <c r="BH2061" s="4"/>
      <c r="BI2061" s="4"/>
      <c r="BJ2061" s="4"/>
      <c r="BK2061" s="4"/>
      <c r="BL2061" s="4"/>
      <c r="BM2061" s="4"/>
      <c r="BN2061" s="4"/>
      <c r="BO2061" s="4"/>
      <c r="BP2061" s="4"/>
      <c r="BQ2061" s="4"/>
      <c r="BR2061" s="4"/>
      <c r="BS2061" s="4"/>
      <c r="BT2061" s="4"/>
      <c r="BU2061" s="4"/>
    </row>
    <row r="2062" spans="29:73" s="1" customFormat="1" x14ac:dyDescent="0.25">
      <c r="AC2062" s="4"/>
      <c r="AD2062" s="4"/>
      <c r="AE2062" s="4"/>
      <c r="AF2062" s="4"/>
      <c r="AG2062" s="4"/>
      <c r="AH2062" s="4"/>
      <c r="AI2062" s="4"/>
      <c r="AJ2062" s="4"/>
      <c r="AK2062" s="4"/>
      <c r="AL2062" s="4"/>
      <c r="AM2062" s="4"/>
      <c r="AN2062" s="4"/>
      <c r="AO2062" s="4"/>
      <c r="AP2062" s="4"/>
      <c r="AQ2062" s="4"/>
      <c r="AR2062" s="4"/>
      <c r="AS2062" s="4"/>
      <c r="AT2062" s="4"/>
      <c r="AU2062" s="4"/>
      <c r="AV2062" s="4"/>
      <c r="AW2062" s="4"/>
      <c r="AX2062" s="4"/>
      <c r="AY2062" s="4"/>
      <c r="AZ2062" s="4"/>
      <c r="BA2062" s="4"/>
      <c r="BB2062" s="4"/>
      <c r="BC2062" s="4"/>
      <c r="BD2062" s="4"/>
      <c r="BE2062" s="4"/>
      <c r="BF2062" s="4"/>
      <c r="BG2062" s="4"/>
      <c r="BH2062" s="4"/>
      <c r="BI2062" s="4"/>
      <c r="BJ2062" s="4"/>
      <c r="BK2062" s="4"/>
      <c r="BL2062" s="4"/>
      <c r="BM2062" s="4"/>
      <c r="BN2062" s="4"/>
      <c r="BO2062" s="4"/>
      <c r="BP2062" s="4"/>
      <c r="BQ2062" s="4"/>
      <c r="BR2062" s="4"/>
      <c r="BS2062" s="4"/>
      <c r="BT2062" s="4"/>
      <c r="BU2062" s="4"/>
    </row>
    <row r="2063" spans="29:73" s="1" customFormat="1" x14ac:dyDescent="0.25">
      <c r="AC2063" s="4"/>
      <c r="AD2063" s="4"/>
      <c r="AE2063" s="4"/>
      <c r="AF2063" s="4"/>
      <c r="AG2063" s="4"/>
      <c r="AH2063" s="4"/>
      <c r="AI2063" s="4"/>
      <c r="AJ2063" s="4"/>
      <c r="AK2063" s="4"/>
      <c r="AL2063" s="4"/>
      <c r="AM2063" s="4"/>
      <c r="AN2063" s="4"/>
      <c r="AO2063" s="4"/>
      <c r="AP2063" s="4"/>
      <c r="AQ2063" s="4"/>
      <c r="AR2063" s="4"/>
      <c r="AS2063" s="4"/>
      <c r="AT2063" s="4"/>
      <c r="AU2063" s="4"/>
      <c r="AV2063" s="4"/>
      <c r="AW2063" s="4"/>
      <c r="AX2063" s="4"/>
      <c r="AY2063" s="4"/>
      <c r="AZ2063" s="4"/>
      <c r="BA2063" s="4"/>
      <c r="BB2063" s="4"/>
      <c r="BC2063" s="4"/>
      <c r="BD2063" s="4"/>
      <c r="BE2063" s="4"/>
      <c r="BF2063" s="4"/>
      <c r="BG2063" s="4"/>
      <c r="BH2063" s="4"/>
      <c r="BI2063" s="4"/>
      <c r="BJ2063" s="4"/>
      <c r="BK2063" s="4"/>
      <c r="BL2063" s="4"/>
      <c r="BM2063" s="4"/>
      <c r="BN2063" s="4"/>
      <c r="BO2063" s="4"/>
      <c r="BP2063" s="4"/>
      <c r="BQ2063" s="4"/>
      <c r="BR2063" s="4"/>
      <c r="BS2063" s="4"/>
      <c r="BT2063" s="4"/>
      <c r="BU2063" s="4"/>
    </row>
    <row r="2064" spans="29:73" s="1" customFormat="1" x14ac:dyDescent="0.25">
      <c r="AC2064" s="4"/>
      <c r="AD2064" s="4"/>
      <c r="AE2064" s="4"/>
      <c r="AF2064" s="4"/>
      <c r="AG2064" s="4"/>
      <c r="AH2064" s="4"/>
      <c r="AI2064" s="4"/>
      <c r="AJ2064" s="4"/>
      <c r="AK2064" s="4"/>
      <c r="AL2064" s="4"/>
      <c r="AM2064" s="4"/>
      <c r="AN2064" s="4"/>
      <c r="AO2064" s="4"/>
      <c r="AP2064" s="4"/>
      <c r="AQ2064" s="4"/>
      <c r="AR2064" s="4"/>
      <c r="AS2064" s="4"/>
      <c r="AT2064" s="4"/>
      <c r="AU2064" s="4"/>
      <c r="AV2064" s="4"/>
      <c r="AW2064" s="4"/>
      <c r="AX2064" s="4"/>
      <c r="AY2064" s="4"/>
      <c r="AZ2064" s="4"/>
      <c r="BA2064" s="4"/>
      <c r="BB2064" s="4"/>
      <c r="BC2064" s="4"/>
      <c r="BD2064" s="4"/>
      <c r="BE2064" s="4"/>
      <c r="BF2064" s="4"/>
      <c r="BG2064" s="4"/>
      <c r="BH2064" s="4"/>
      <c r="BI2064" s="4"/>
      <c r="BJ2064" s="4"/>
      <c r="BK2064" s="4"/>
      <c r="BL2064" s="4"/>
      <c r="BM2064" s="4"/>
      <c r="BN2064" s="4"/>
      <c r="BO2064" s="4"/>
      <c r="BP2064" s="4"/>
      <c r="BQ2064" s="4"/>
      <c r="BR2064" s="4"/>
      <c r="BS2064" s="4"/>
      <c r="BT2064" s="4"/>
      <c r="BU2064" s="4"/>
    </row>
    <row r="2065" spans="29:73" s="1" customFormat="1" x14ac:dyDescent="0.25">
      <c r="AC2065" s="4"/>
      <c r="AD2065" s="4"/>
      <c r="AE2065" s="4"/>
      <c r="AF2065" s="4"/>
      <c r="AG2065" s="4"/>
      <c r="AH2065" s="4"/>
      <c r="AI2065" s="4"/>
      <c r="AJ2065" s="4"/>
      <c r="AK2065" s="4"/>
      <c r="AL2065" s="4"/>
      <c r="AM2065" s="4"/>
      <c r="AN2065" s="4"/>
      <c r="AO2065" s="4"/>
      <c r="AP2065" s="4"/>
      <c r="AQ2065" s="4"/>
      <c r="AR2065" s="4"/>
      <c r="AS2065" s="4"/>
      <c r="AT2065" s="4"/>
      <c r="AU2065" s="4"/>
      <c r="AV2065" s="4"/>
      <c r="AW2065" s="4"/>
      <c r="AX2065" s="4"/>
      <c r="AY2065" s="4"/>
      <c r="AZ2065" s="4"/>
      <c r="BA2065" s="4"/>
      <c r="BB2065" s="4"/>
      <c r="BC2065" s="4"/>
      <c r="BD2065" s="4"/>
      <c r="BE2065" s="4"/>
      <c r="BF2065" s="4"/>
      <c r="BG2065" s="4"/>
      <c r="BH2065" s="4"/>
      <c r="BI2065" s="4"/>
      <c r="BJ2065" s="4"/>
      <c r="BK2065" s="4"/>
      <c r="BL2065" s="4"/>
      <c r="BM2065" s="4"/>
      <c r="BN2065" s="4"/>
      <c r="BO2065" s="4"/>
      <c r="BP2065" s="4"/>
      <c r="BQ2065" s="4"/>
      <c r="BR2065" s="4"/>
      <c r="BS2065" s="4"/>
      <c r="BT2065" s="4"/>
      <c r="BU2065" s="4"/>
    </row>
    <row r="2066" spans="29:73" s="1" customFormat="1" x14ac:dyDescent="0.25">
      <c r="AC2066" s="4"/>
      <c r="AD2066" s="4"/>
      <c r="AE2066" s="4"/>
      <c r="AF2066" s="4"/>
      <c r="AG2066" s="4"/>
      <c r="AH2066" s="4"/>
      <c r="AI2066" s="4"/>
      <c r="AJ2066" s="4"/>
      <c r="AK2066" s="4"/>
      <c r="AL2066" s="4"/>
      <c r="AM2066" s="4"/>
      <c r="AN2066" s="4"/>
      <c r="AO2066" s="4"/>
      <c r="AP2066" s="4"/>
      <c r="AQ2066" s="4"/>
      <c r="AR2066" s="4"/>
      <c r="AS2066" s="4"/>
      <c r="AT2066" s="4"/>
      <c r="AU2066" s="4"/>
      <c r="AV2066" s="4"/>
      <c r="AW2066" s="4"/>
      <c r="AX2066" s="4"/>
      <c r="AY2066" s="4"/>
      <c r="AZ2066" s="4"/>
      <c r="BA2066" s="4"/>
      <c r="BB2066" s="4"/>
      <c r="BC2066" s="4"/>
      <c r="BD2066" s="4"/>
      <c r="BE2066" s="4"/>
      <c r="BF2066" s="4"/>
      <c r="BG2066" s="4"/>
      <c r="BH2066" s="4"/>
      <c r="BI2066" s="4"/>
      <c r="BJ2066" s="4"/>
      <c r="BK2066" s="4"/>
      <c r="BL2066" s="4"/>
      <c r="BM2066" s="4"/>
      <c r="BN2066" s="4"/>
      <c r="BO2066" s="4"/>
      <c r="BP2066" s="4"/>
      <c r="BQ2066" s="4"/>
      <c r="BR2066" s="4"/>
      <c r="BS2066" s="4"/>
      <c r="BT2066" s="4"/>
      <c r="BU2066" s="4"/>
    </row>
    <row r="2067" spans="29:73" s="1" customFormat="1" x14ac:dyDescent="0.25">
      <c r="AC2067" s="4"/>
      <c r="AD2067" s="4"/>
      <c r="AE2067" s="4"/>
      <c r="AF2067" s="4"/>
      <c r="AG2067" s="4"/>
      <c r="AH2067" s="4"/>
      <c r="AI2067" s="4"/>
      <c r="AJ2067" s="4"/>
      <c r="AK2067" s="4"/>
      <c r="AL2067" s="4"/>
      <c r="AM2067" s="4"/>
      <c r="AN2067" s="4"/>
      <c r="AO2067" s="4"/>
      <c r="AP2067" s="4"/>
      <c r="AQ2067" s="4"/>
      <c r="AR2067" s="4"/>
      <c r="AS2067" s="4"/>
      <c r="AT2067" s="4"/>
      <c r="AU2067" s="4"/>
      <c r="AV2067" s="4"/>
      <c r="AW2067" s="4"/>
      <c r="AX2067" s="4"/>
      <c r="AY2067" s="4"/>
      <c r="AZ2067" s="4"/>
      <c r="BA2067" s="4"/>
      <c r="BB2067" s="4"/>
      <c r="BC2067" s="4"/>
      <c r="BD2067" s="4"/>
      <c r="BE2067" s="4"/>
      <c r="BF2067" s="4"/>
      <c r="BG2067" s="4"/>
      <c r="BH2067" s="4"/>
      <c r="BI2067" s="4"/>
      <c r="BJ2067" s="4"/>
      <c r="BK2067" s="4"/>
      <c r="BL2067" s="4"/>
      <c r="BM2067" s="4"/>
      <c r="BN2067" s="4"/>
      <c r="BO2067" s="4"/>
      <c r="BP2067" s="4"/>
      <c r="BQ2067" s="4"/>
      <c r="BR2067" s="4"/>
      <c r="BS2067" s="4"/>
      <c r="BT2067" s="4"/>
      <c r="BU2067" s="4"/>
    </row>
    <row r="2068" spans="29:73" s="1" customFormat="1" x14ac:dyDescent="0.25">
      <c r="AC2068" s="4"/>
      <c r="AD2068" s="4"/>
      <c r="AE2068" s="4"/>
      <c r="AF2068" s="4"/>
      <c r="AG2068" s="4"/>
      <c r="AH2068" s="4"/>
      <c r="AI2068" s="4"/>
      <c r="AJ2068" s="4"/>
      <c r="AK2068" s="4"/>
      <c r="AL2068" s="4"/>
      <c r="AM2068" s="4"/>
      <c r="AN2068" s="4"/>
      <c r="AO2068" s="4"/>
      <c r="AP2068" s="4"/>
      <c r="AQ2068" s="4"/>
      <c r="AR2068" s="4"/>
      <c r="AS2068" s="4"/>
      <c r="AT2068" s="4"/>
      <c r="AU2068" s="4"/>
      <c r="AV2068" s="4"/>
      <c r="AW2068" s="4"/>
      <c r="AX2068" s="4"/>
      <c r="AY2068" s="4"/>
      <c r="AZ2068" s="4"/>
      <c r="BA2068" s="4"/>
      <c r="BB2068" s="4"/>
      <c r="BC2068" s="4"/>
      <c r="BD2068" s="4"/>
      <c r="BE2068" s="4"/>
      <c r="BF2068" s="4"/>
      <c r="BG2068" s="4"/>
      <c r="BH2068" s="4"/>
      <c r="BI2068" s="4"/>
      <c r="BJ2068" s="4"/>
      <c r="BK2068" s="4"/>
      <c r="BL2068" s="4"/>
      <c r="BM2068" s="4"/>
      <c r="BN2068" s="4"/>
      <c r="BO2068" s="4"/>
      <c r="BP2068" s="4"/>
      <c r="BQ2068" s="4"/>
      <c r="BR2068" s="4"/>
      <c r="BS2068" s="4"/>
      <c r="BT2068" s="4"/>
      <c r="BU2068" s="4"/>
    </row>
    <row r="2069" spans="29:73" s="1" customFormat="1" x14ac:dyDescent="0.25">
      <c r="AC2069" s="4"/>
      <c r="AD2069" s="4"/>
      <c r="AE2069" s="4"/>
      <c r="AF2069" s="4"/>
      <c r="AG2069" s="4"/>
      <c r="AH2069" s="4"/>
      <c r="AI2069" s="4"/>
      <c r="AJ2069" s="4"/>
      <c r="AK2069" s="4"/>
      <c r="AL2069" s="4"/>
      <c r="AM2069" s="4"/>
      <c r="AN2069" s="4"/>
      <c r="AO2069" s="4"/>
      <c r="AP2069" s="4"/>
      <c r="AQ2069" s="4"/>
      <c r="AR2069" s="4"/>
      <c r="AS2069" s="4"/>
      <c r="AT2069" s="4"/>
      <c r="AU2069" s="4"/>
      <c r="AV2069" s="4"/>
      <c r="AW2069" s="4"/>
      <c r="AX2069" s="4"/>
      <c r="AY2069" s="4"/>
      <c r="AZ2069" s="4"/>
      <c r="BA2069" s="4"/>
      <c r="BB2069" s="4"/>
      <c r="BC2069" s="4"/>
      <c r="BD2069" s="4"/>
      <c r="BE2069" s="4"/>
      <c r="BF2069" s="4"/>
      <c r="BG2069" s="4"/>
      <c r="BH2069" s="4"/>
      <c r="BI2069" s="4"/>
      <c r="BJ2069" s="4"/>
      <c r="BK2069" s="4"/>
      <c r="BL2069" s="4"/>
      <c r="BM2069" s="4"/>
      <c r="BN2069" s="4"/>
      <c r="BO2069" s="4"/>
      <c r="BP2069" s="4"/>
      <c r="BQ2069" s="4"/>
      <c r="BR2069" s="4"/>
      <c r="BS2069" s="4"/>
      <c r="BT2069" s="4"/>
      <c r="BU2069" s="4"/>
    </row>
    <row r="2070" spans="29:73" s="1" customFormat="1" x14ac:dyDescent="0.25">
      <c r="AC2070" s="4"/>
      <c r="AD2070" s="4"/>
      <c r="AE2070" s="4"/>
      <c r="AF2070" s="4"/>
      <c r="AG2070" s="4"/>
      <c r="AH2070" s="4"/>
      <c r="AI2070" s="4"/>
      <c r="AJ2070" s="4"/>
      <c r="AK2070" s="4"/>
      <c r="AL2070" s="4"/>
      <c r="AM2070" s="4"/>
      <c r="AN2070" s="4"/>
      <c r="AO2070" s="4"/>
      <c r="AP2070" s="4"/>
      <c r="AQ2070" s="4"/>
      <c r="AR2070" s="4"/>
      <c r="AS2070" s="4"/>
      <c r="AT2070" s="4"/>
      <c r="AU2070" s="4"/>
      <c r="AV2070" s="4"/>
      <c r="AW2070" s="4"/>
      <c r="AX2070" s="4"/>
      <c r="AY2070" s="4"/>
      <c r="AZ2070" s="4"/>
      <c r="BA2070" s="4"/>
      <c r="BB2070" s="4"/>
      <c r="BC2070" s="4"/>
      <c r="BD2070" s="4"/>
      <c r="BE2070" s="4"/>
      <c r="BF2070" s="4"/>
      <c r="BG2070" s="4"/>
      <c r="BH2070" s="4"/>
      <c r="BI2070" s="4"/>
      <c r="BJ2070" s="4"/>
      <c r="BK2070" s="4"/>
      <c r="BL2070" s="4"/>
      <c r="BM2070" s="4"/>
      <c r="BN2070" s="4"/>
      <c r="BO2070" s="4"/>
      <c r="BP2070" s="4"/>
      <c r="BQ2070" s="4"/>
      <c r="BR2070" s="4"/>
      <c r="BS2070" s="4"/>
      <c r="BT2070" s="4"/>
      <c r="BU2070" s="4"/>
    </row>
    <row r="2071" spans="29:73" s="1" customFormat="1" x14ac:dyDescent="0.25">
      <c r="AC2071" s="4"/>
      <c r="AD2071" s="4"/>
      <c r="AE2071" s="4"/>
      <c r="AF2071" s="4"/>
      <c r="AG2071" s="4"/>
      <c r="AH2071" s="4"/>
      <c r="AI2071" s="4"/>
      <c r="AJ2071" s="4"/>
      <c r="AK2071" s="4"/>
      <c r="AL2071" s="4"/>
      <c r="AM2071" s="4"/>
      <c r="AN2071" s="4"/>
      <c r="AO2071" s="4"/>
      <c r="AP2071" s="4"/>
      <c r="AQ2071" s="4"/>
      <c r="AR2071" s="4"/>
      <c r="AS2071" s="4"/>
      <c r="AT2071" s="4"/>
      <c r="AU2071" s="4"/>
      <c r="AV2071" s="4"/>
      <c r="AW2071" s="4"/>
      <c r="AX2071" s="4"/>
      <c r="AY2071" s="4"/>
      <c r="AZ2071" s="4"/>
      <c r="BA2071" s="4"/>
      <c r="BB2071" s="4"/>
      <c r="BC2071" s="4"/>
      <c r="BD2071" s="4"/>
      <c r="BE2071" s="4"/>
      <c r="BF2071" s="4"/>
      <c r="BG2071" s="4"/>
      <c r="BH2071" s="4"/>
      <c r="BI2071" s="4"/>
      <c r="BJ2071" s="4"/>
      <c r="BK2071" s="4"/>
      <c r="BL2071" s="4"/>
      <c r="BM2071" s="4"/>
      <c r="BN2071" s="4"/>
      <c r="BO2071" s="4"/>
      <c r="BP2071" s="4"/>
      <c r="BQ2071" s="4"/>
      <c r="BR2071" s="4"/>
      <c r="BS2071" s="4"/>
      <c r="BT2071" s="4"/>
      <c r="BU2071" s="4"/>
    </row>
    <row r="2072" spans="29:73" s="1" customFormat="1" x14ac:dyDescent="0.25">
      <c r="AC2072" s="4"/>
      <c r="AD2072" s="4"/>
      <c r="AE2072" s="4"/>
      <c r="AF2072" s="4"/>
      <c r="AG2072" s="4"/>
      <c r="AH2072" s="4"/>
      <c r="AI2072" s="4"/>
      <c r="AJ2072" s="4"/>
      <c r="AK2072" s="4"/>
      <c r="AL2072" s="4"/>
      <c r="AM2072" s="4"/>
      <c r="AN2072" s="4"/>
      <c r="AO2072" s="4"/>
      <c r="AP2072" s="4"/>
      <c r="AQ2072" s="4"/>
      <c r="AR2072" s="4"/>
      <c r="AS2072" s="4"/>
      <c r="AT2072" s="4"/>
      <c r="AU2072" s="4"/>
      <c r="AV2072" s="4"/>
      <c r="AW2072" s="4"/>
      <c r="AX2072" s="4"/>
      <c r="AY2072" s="4"/>
      <c r="AZ2072" s="4"/>
      <c r="BA2072" s="4"/>
      <c r="BB2072" s="4"/>
      <c r="BC2072" s="4"/>
      <c r="BD2072" s="4"/>
      <c r="BE2072" s="4"/>
      <c r="BF2072" s="4"/>
      <c r="BG2072" s="4"/>
      <c r="BH2072" s="4"/>
      <c r="BI2072" s="4"/>
      <c r="BJ2072" s="4"/>
      <c r="BK2072" s="4"/>
      <c r="BL2072" s="4"/>
      <c r="BM2072" s="4"/>
      <c r="BN2072" s="4"/>
      <c r="BO2072" s="4"/>
      <c r="BP2072" s="4"/>
      <c r="BQ2072" s="4"/>
      <c r="BR2072" s="4"/>
      <c r="BS2072" s="4"/>
      <c r="BT2072" s="4"/>
      <c r="BU2072" s="4"/>
    </row>
    <row r="2073" spans="29:73" s="1" customFormat="1" x14ac:dyDescent="0.25">
      <c r="AC2073" s="4"/>
      <c r="AD2073" s="4"/>
      <c r="AE2073" s="4"/>
      <c r="AF2073" s="4"/>
      <c r="AG2073" s="4"/>
      <c r="AH2073" s="4"/>
      <c r="AI2073" s="4"/>
      <c r="AJ2073" s="4"/>
      <c r="AK2073" s="4"/>
      <c r="AL2073" s="4"/>
      <c r="AM2073" s="4"/>
      <c r="AN2073" s="4"/>
      <c r="AO2073" s="4"/>
      <c r="AP2073" s="4"/>
      <c r="AQ2073" s="4"/>
      <c r="AR2073" s="4"/>
      <c r="AS2073" s="4"/>
      <c r="AT2073" s="4"/>
      <c r="AU2073" s="4"/>
      <c r="AV2073" s="4"/>
      <c r="AW2073" s="4"/>
      <c r="AX2073" s="4"/>
      <c r="AY2073" s="4"/>
      <c r="AZ2073" s="4"/>
      <c r="BA2073" s="4"/>
      <c r="BB2073" s="4"/>
      <c r="BC2073" s="4"/>
      <c r="BD2073" s="4"/>
      <c r="BE2073" s="4"/>
      <c r="BF2073" s="4"/>
      <c r="BG2073" s="4"/>
      <c r="BH2073" s="4"/>
      <c r="BI2073" s="4"/>
      <c r="BJ2073" s="4"/>
      <c r="BK2073" s="4"/>
      <c r="BL2073" s="4"/>
      <c r="BM2073" s="4"/>
      <c r="BN2073" s="4"/>
      <c r="BO2073" s="4"/>
      <c r="BP2073" s="4"/>
      <c r="BQ2073" s="4"/>
      <c r="BR2073" s="4"/>
      <c r="BS2073" s="4"/>
      <c r="BT2073" s="4"/>
      <c r="BU2073" s="4"/>
    </row>
    <row r="2074" spans="29:73" s="1" customFormat="1" x14ac:dyDescent="0.25">
      <c r="AC2074" s="4"/>
      <c r="AD2074" s="4"/>
      <c r="AE2074" s="4"/>
      <c r="AF2074" s="4"/>
      <c r="AG2074" s="4"/>
      <c r="AH2074" s="4"/>
      <c r="AI2074" s="4"/>
      <c r="AJ2074" s="4"/>
      <c r="AK2074" s="4"/>
      <c r="AL2074" s="4"/>
      <c r="AM2074" s="4"/>
      <c r="AN2074" s="4"/>
      <c r="AO2074" s="4"/>
      <c r="AP2074" s="4"/>
      <c r="AQ2074" s="4"/>
      <c r="AR2074" s="4"/>
      <c r="AS2074" s="4"/>
      <c r="AT2074" s="4"/>
      <c r="AU2074" s="4"/>
      <c r="AV2074" s="4"/>
      <c r="AW2074" s="4"/>
      <c r="AX2074" s="4"/>
      <c r="AY2074" s="4"/>
      <c r="AZ2074" s="4"/>
      <c r="BA2074" s="4"/>
      <c r="BB2074" s="4"/>
      <c r="BC2074" s="4"/>
      <c r="BD2074" s="4"/>
      <c r="BE2074" s="4"/>
      <c r="BF2074" s="4"/>
      <c r="BG2074" s="4"/>
      <c r="BH2074" s="4"/>
      <c r="BI2074" s="4"/>
      <c r="BJ2074" s="4"/>
      <c r="BK2074" s="4"/>
      <c r="BL2074" s="4"/>
      <c r="BM2074" s="4"/>
      <c r="BN2074" s="4"/>
      <c r="BO2074" s="4"/>
      <c r="BP2074" s="4"/>
      <c r="BQ2074" s="4"/>
      <c r="BR2074" s="4"/>
      <c r="BS2074" s="4"/>
      <c r="BT2074" s="4"/>
      <c r="BU2074" s="4"/>
    </row>
    <row r="2075" spans="29:73" s="1" customFormat="1" x14ac:dyDescent="0.25">
      <c r="AC2075" s="4"/>
      <c r="AD2075" s="4"/>
      <c r="AE2075" s="4"/>
      <c r="AF2075" s="4"/>
      <c r="AG2075" s="4"/>
      <c r="AH2075" s="4"/>
      <c r="AI2075" s="4"/>
      <c r="AJ2075" s="4"/>
      <c r="AK2075" s="4"/>
      <c r="AL2075" s="4"/>
      <c r="AM2075" s="4"/>
      <c r="AN2075" s="4"/>
      <c r="AO2075" s="4"/>
      <c r="AP2075" s="4"/>
      <c r="AQ2075" s="4"/>
      <c r="AR2075" s="4"/>
      <c r="AS2075" s="4"/>
      <c r="AT2075" s="4"/>
      <c r="AU2075" s="4"/>
      <c r="AV2075" s="4"/>
      <c r="AW2075" s="4"/>
      <c r="AX2075" s="4"/>
      <c r="AY2075" s="4"/>
      <c r="AZ2075" s="4"/>
      <c r="BA2075" s="4"/>
      <c r="BB2075" s="4"/>
      <c r="BC2075" s="4"/>
      <c r="BD2075" s="4"/>
      <c r="BE2075" s="4"/>
      <c r="BF2075" s="4"/>
      <c r="BG2075" s="4"/>
      <c r="BH2075" s="4"/>
      <c r="BI2075" s="4"/>
      <c r="BJ2075" s="4"/>
      <c r="BK2075" s="4"/>
      <c r="BL2075" s="4"/>
      <c r="BM2075" s="4"/>
      <c r="BN2075" s="4"/>
      <c r="BO2075" s="4"/>
      <c r="BP2075" s="4"/>
      <c r="BQ2075" s="4"/>
      <c r="BR2075" s="4"/>
      <c r="BS2075" s="4"/>
      <c r="BT2075" s="4"/>
      <c r="BU2075" s="4"/>
    </row>
    <row r="2076" spans="29:73" s="1" customFormat="1" x14ac:dyDescent="0.25">
      <c r="AC2076" s="4"/>
      <c r="AD2076" s="4"/>
      <c r="AE2076" s="4"/>
      <c r="AF2076" s="4"/>
      <c r="AG2076" s="4"/>
      <c r="AH2076" s="4"/>
      <c r="AI2076" s="4"/>
      <c r="AJ2076" s="4"/>
      <c r="AK2076" s="4"/>
      <c r="AL2076" s="4"/>
      <c r="AM2076" s="4"/>
      <c r="AN2076" s="4"/>
      <c r="AO2076" s="4"/>
      <c r="AP2076" s="4"/>
      <c r="AQ2076" s="4"/>
      <c r="AR2076" s="4"/>
      <c r="AS2076" s="4"/>
      <c r="AT2076" s="4"/>
      <c r="AU2076" s="4"/>
      <c r="AV2076" s="4"/>
      <c r="AW2076" s="4"/>
      <c r="AX2076" s="4"/>
      <c r="AY2076" s="4"/>
      <c r="AZ2076" s="4"/>
      <c r="BA2076" s="4"/>
      <c r="BB2076" s="4"/>
      <c r="BC2076" s="4"/>
      <c r="BD2076" s="4"/>
      <c r="BE2076" s="4"/>
      <c r="BF2076" s="4"/>
      <c r="BG2076" s="4"/>
      <c r="BH2076" s="4"/>
      <c r="BI2076" s="4"/>
      <c r="BJ2076" s="4"/>
      <c r="BK2076" s="4"/>
      <c r="BL2076" s="4"/>
      <c r="BM2076" s="4"/>
      <c r="BN2076" s="4"/>
      <c r="BO2076" s="4"/>
      <c r="BP2076" s="4"/>
      <c r="BQ2076" s="4"/>
      <c r="BR2076" s="4"/>
      <c r="BS2076" s="4"/>
      <c r="BT2076" s="4"/>
      <c r="BU2076" s="4"/>
    </row>
    <row r="2077" spans="29:73" s="1" customFormat="1" x14ac:dyDescent="0.25">
      <c r="AC2077" s="4"/>
      <c r="AD2077" s="4"/>
      <c r="AE2077" s="4"/>
      <c r="AF2077" s="4"/>
      <c r="AG2077" s="4"/>
      <c r="AH2077" s="4"/>
      <c r="AI2077" s="4"/>
      <c r="AJ2077" s="4"/>
      <c r="AK2077" s="4"/>
      <c r="AL2077" s="4"/>
      <c r="AM2077" s="4"/>
      <c r="AN2077" s="4"/>
      <c r="AO2077" s="4"/>
      <c r="AP2077" s="4"/>
      <c r="AQ2077" s="4"/>
      <c r="AR2077" s="4"/>
      <c r="AS2077" s="4"/>
      <c r="AT2077" s="4"/>
      <c r="AU2077" s="4"/>
      <c r="AV2077" s="4"/>
      <c r="AW2077" s="4"/>
      <c r="AX2077" s="4"/>
      <c r="AY2077" s="4"/>
      <c r="AZ2077" s="4"/>
      <c r="BA2077" s="4"/>
      <c r="BB2077" s="4"/>
      <c r="BC2077" s="4"/>
      <c r="BD2077" s="4"/>
      <c r="BE2077" s="4"/>
      <c r="BF2077" s="4"/>
      <c r="BG2077" s="4"/>
      <c r="BH2077" s="4"/>
      <c r="BI2077" s="4"/>
      <c r="BJ2077" s="4"/>
      <c r="BK2077" s="4"/>
      <c r="BL2077" s="4"/>
      <c r="BM2077" s="4"/>
      <c r="BN2077" s="4"/>
      <c r="BO2077" s="4"/>
      <c r="BP2077" s="4"/>
      <c r="BQ2077" s="4"/>
      <c r="BR2077" s="4"/>
      <c r="BS2077" s="4"/>
      <c r="BT2077" s="4"/>
      <c r="BU2077" s="4"/>
    </row>
    <row r="2078" spans="29:73" s="1" customFormat="1" x14ac:dyDescent="0.25">
      <c r="AC2078" s="4"/>
      <c r="AD2078" s="4"/>
      <c r="AE2078" s="4"/>
      <c r="AF2078" s="4"/>
      <c r="AG2078" s="4"/>
      <c r="AH2078" s="4"/>
      <c r="AI2078" s="4"/>
      <c r="AJ2078" s="4"/>
      <c r="AK2078" s="4"/>
      <c r="AL2078" s="4"/>
      <c r="AM2078" s="4"/>
      <c r="AN2078" s="4"/>
      <c r="AO2078" s="4"/>
      <c r="AP2078" s="4"/>
      <c r="AQ2078" s="4"/>
      <c r="AR2078" s="4"/>
      <c r="AS2078" s="4"/>
      <c r="AT2078" s="4"/>
      <c r="AU2078" s="4"/>
      <c r="AV2078" s="4"/>
      <c r="AW2078" s="4"/>
      <c r="AX2078" s="4"/>
      <c r="AY2078" s="4"/>
      <c r="AZ2078" s="4"/>
      <c r="BA2078" s="4"/>
      <c r="BB2078" s="4"/>
      <c r="BC2078" s="4"/>
      <c r="BD2078" s="4"/>
      <c r="BE2078" s="4"/>
      <c r="BF2078" s="4"/>
      <c r="BG2078" s="4"/>
      <c r="BH2078" s="4"/>
      <c r="BI2078" s="4"/>
      <c r="BJ2078" s="4"/>
      <c r="BK2078" s="4"/>
      <c r="BL2078" s="4"/>
      <c r="BM2078" s="4"/>
      <c r="BN2078" s="4"/>
      <c r="BO2078" s="4"/>
      <c r="BP2078" s="4"/>
      <c r="BQ2078" s="4"/>
      <c r="BR2078" s="4"/>
      <c r="BS2078" s="4"/>
      <c r="BT2078" s="4"/>
      <c r="BU2078" s="4"/>
    </row>
    <row r="2079" spans="29:73" s="1" customFormat="1" x14ac:dyDescent="0.25">
      <c r="AC2079" s="4"/>
      <c r="AD2079" s="4"/>
      <c r="AE2079" s="4"/>
      <c r="AF2079" s="4"/>
      <c r="AG2079" s="4"/>
      <c r="AH2079" s="4"/>
      <c r="AI2079" s="4"/>
      <c r="AJ2079" s="4"/>
      <c r="AK2079" s="4"/>
      <c r="AL2079" s="4"/>
      <c r="AM2079" s="4"/>
      <c r="AN2079" s="4"/>
      <c r="AO2079" s="4"/>
      <c r="AP2079" s="4"/>
      <c r="AQ2079" s="4"/>
      <c r="AR2079" s="4"/>
      <c r="AS2079" s="4"/>
      <c r="AT2079" s="4"/>
      <c r="AU2079" s="4"/>
      <c r="AV2079" s="4"/>
      <c r="AW2079" s="4"/>
      <c r="AX2079" s="4"/>
      <c r="AY2079" s="4"/>
      <c r="AZ2079" s="4"/>
      <c r="BA2079" s="4"/>
      <c r="BB2079" s="4"/>
      <c r="BC2079" s="4"/>
      <c r="BD2079" s="4"/>
      <c r="BE2079" s="4"/>
      <c r="BF2079" s="4"/>
      <c r="BG2079" s="4"/>
      <c r="BH2079" s="4"/>
      <c r="BI2079" s="4"/>
      <c r="BJ2079" s="4"/>
      <c r="BK2079" s="4"/>
      <c r="BL2079" s="4"/>
      <c r="BM2079" s="4"/>
      <c r="BN2079" s="4"/>
      <c r="BO2079" s="4"/>
      <c r="BP2079" s="4"/>
      <c r="BQ2079" s="4"/>
      <c r="BR2079" s="4"/>
      <c r="BS2079" s="4"/>
      <c r="BT2079" s="4"/>
      <c r="BU2079" s="4"/>
    </row>
    <row r="2080" spans="29:73" s="1" customFormat="1" x14ac:dyDescent="0.25">
      <c r="AC2080" s="4"/>
      <c r="AD2080" s="4"/>
      <c r="AE2080" s="4"/>
      <c r="AF2080" s="4"/>
      <c r="AG2080" s="4"/>
      <c r="AH2080" s="4"/>
      <c r="AI2080" s="4"/>
      <c r="AJ2080" s="4"/>
      <c r="AK2080" s="4"/>
      <c r="AL2080" s="4"/>
      <c r="AM2080" s="4"/>
      <c r="AN2080" s="4"/>
      <c r="AO2080" s="4"/>
      <c r="AP2080" s="4"/>
      <c r="AQ2080" s="4"/>
      <c r="AR2080" s="4"/>
      <c r="AS2080" s="4"/>
      <c r="AT2080" s="4"/>
      <c r="AU2080" s="4"/>
      <c r="AV2080" s="4"/>
      <c r="AW2080" s="4"/>
      <c r="AX2080" s="4"/>
      <c r="AY2080" s="4"/>
      <c r="AZ2080" s="4"/>
      <c r="BA2080" s="4"/>
      <c r="BB2080" s="4"/>
      <c r="BC2080" s="4"/>
      <c r="BD2080" s="4"/>
      <c r="BE2080" s="4"/>
      <c r="BF2080" s="4"/>
      <c r="BG2080" s="4"/>
      <c r="BH2080" s="4"/>
      <c r="BI2080" s="4"/>
      <c r="BJ2080" s="4"/>
      <c r="BK2080" s="4"/>
      <c r="BL2080" s="4"/>
      <c r="BM2080" s="4"/>
      <c r="BN2080" s="4"/>
      <c r="BO2080" s="4"/>
      <c r="BP2080" s="4"/>
      <c r="BQ2080" s="4"/>
      <c r="BR2080" s="4"/>
      <c r="BS2080" s="4"/>
      <c r="BT2080" s="4"/>
      <c r="BU2080" s="4"/>
    </row>
    <row r="2081" spans="29:73" s="1" customFormat="1" x14ac:dyDescent="0.25">
      <c r="AC2081" s="4"/>
      <c r="AD2081" s="4"/>
      <c r="AE2081" s="4"/>
      <c r="AF2081" s="4"/>
      <c r="AG2081" s="4"/>
      <c r="AH2081" s="4"/>
      <c r="AI2081" s="4"/>
      <c r="AJ2081" s="4"/>
      <c r="AK2081" s="4"/>
      <c r="AL2081" s="4"/>
      <c r="AM2081" s="4"/>
      <c r="AN2081" s="4"/>
      <c r="AO2081" s="4"/>
      <c r="AP2081" s="4"/>
      <c r="AQ2081" s="4"/>
      <c r="AR2081" s="4"/>
      <c r="AS2081" s="4"/>
      <c r="AT2081" s="4"/>
      <c r="AU2081" s="4"/>
      <c r="AV2081" s="4"/>
      <c r="AW2081" s="4"/>
      <c r="AX2081" s="4"/>
      <c r="AY2081" s="4"/>
      <c r="AZ2081" s="4"/>
      <c r="BA2081" s="4"/>
      <c r="BB2081" s="4"/>
      <c r="BC2081" s="4"/>
      <c r="BD2081" s="4"/>
      <c r="BE2081" s="4"/>
      <c r="BF2081" s="4"/>
      <c r="BG2081" s="4"/>
      <c r="BH2081" s="4"/>
      <c r="BI2081" s="4"/>
      <c r="BJ2081" s="4"/>
      <c r="BK2081" s="4"/>
      <c r="BL2081" s="4"/>
      <c r="BM2081" s="4"/>
      <c r="BN2081" s="4"/>
      <c r="BO2081" s="4"/>
      <c r="BP2081" s="4"/>
      <c r="BQ2081" s="4"/>
      <c r="BR2081" s="4"/>
      <c r="BS2081" s="4"/>
      <c r="BT2081" s="4"/>
      <c r="BU2081" s="4"/>
    </row>
    <row r="2082" spans="29:73" s="1" customFormat="1" x14ac:dyDescent="0.25">
      <c r="AC2082" s="4"/>
      <c r="AD2082" s="4"/>
      <c r="AE2082" s="4"/>
      <c r="AF2082" s="4"/>
      <c r="AG2082" s="4"/>
      <c r="AH2082" s="4"/>
      <c r="AI2082" s="4"/>
      <c r="AJ2082" s="4"/>
      <c r="AK2082" s="4"/>
      <c r="AL2082" s="4"/>
      <c r="AM2082" s="4"/>
      <c r="AN2082" s="4"/>
      <c r="AO2082" s="4"/>
      <c r="AP2082" s="4"/>
      <c r="AQ2082" s="4"/>
      <c r="AR2082" s="4"/>
      <c r="AS2082" s="4"/>
      <c r="AT2082" s="4"/>
      <c r="AU2082" s="4"/>
      <c r="AV2082" s="4"/>
      <c r="AW2082" s="4"/>
      <c r="AX2082" s="4"/>
      <c r="AY2082" s="4"/>
      <c r="AZ2082" s="4"/>
      <c r="BA2082" s="4"/>
      <c r="BB2082" s="4"/>
      <c r="BC2082" s="4"/>
      <c r="BD2082" s="4"/>
      <c r="BE2082" s="4"/>
      <c r="BF2082" s="4"/>
      <c r="BG2082" s="4"/>
      <c r="BH2082" s="4"/>
      <c r="BI2082" s="4"/>
      <c r="BJ2082" s="4"/>
      <c r="BK2082" s="4"/>
      <c r="BL2082" s="4"/>
      <c r="BM2082" s="4"/>
      <c r="BN2082" s="4"/>
      <c r="BO2082" s="4"/>
      <c r="BP2082" s="4"/>
      <c r="BQ2082" s="4"/>
      <c r="BR2082" s="4"/>
      <c r="BS2082" s="4"/>
      <c r="BT2082" s="4"/>
      <c r="BU2082" s="4"/>
    </row>
    <row r="2083" spans="29:73" s="1" customFormat="1" x14ac:dyDescent="0.25">
      <c r="AC2083" s="4"/>
      <c r="AD2083" s="4"/>
      <c r="AE2083" s="4"/>
      <c r="AF2083" s="4"/>
      <c r="AG2083" s="4"/>
      <c r="AH2083" s="4"/>
      <c r="AI2083" s="4"/>
      <c r="AJ2083" s="4"/>
      <c r="AK2083" s="4"/>
      <c r="AL2083" s="4"/>
      <c r="AM2083" s="4"/>
      <c r="AN2083" s="4"/>
      <c r="AO2083" s="4"/>
      <c r="AP2083" s="4"/>
      <c r="AQ2083" s="4"/>
      <c r="AR2083" s="4"/>
      <c r="AS2083" s="4"/>
      <c r="AT2083" s="4"/>
      <c r="AU2083" s="4"/>
      <c r="AV2083" s="4"/>
      <c r="AW2083" s="4"/>
      <c r="AX2083" s="4"/>
      <c r="AY2083" s="4"/>
      <c r="AZ2083" s="4"/>
      <c r="BA2083" s="4"/>
      <c r="BB2083" s="4"/>
      <c r="BC2083" s="4"/>
      <c r="BD2083" s="4"/>
      <c r="BE2083" s="4"/>
      <c r="BF2083" s="4"/>
      <c r="BG2083" s="4"/>
      <c r="BH2083" s="4"/>
      <c r="BI2083" s="4"/>
      <c r="BJ2083" s="4"/>
      <c r="BK2083" s="4"/>
      <c r="BL2083" s="4"/>
      <c r="BM2083" s="4"/>
      <c r="BN2083" s="4"/>
      <c r="BO2083" s="4"/>
      <c r="BP2083" s="4"/>
      <c r="BQ2083" s="4"/>
      <c r="BR2083" s="4"/>
      <c r="BS2083" s="4"/>
      <c r="BT2083" s="4"/>
      <c r="BU2083" s="4"/>
    </row>
    <row r="2084" spans="29:73" s="1" customFormat="1" x14ac:dyDescent="0.25">
      <c r="AC2084" s="4"/>
      <c r="AD2084" s="4"/>
      <c r="AE2084" s="4"/>
      <c r="AF2084" s="4"/>
      <c r="AG2084" s="4"/>
      <c r="AH2084" s="4"/>
      <c r="AI2084" s="4"/>
      <c r="AJ2084" s="4"/>
      <c r="AK2084" s="4"/>
      <c r="AL2084" s="4"/>
      <c r="AM2084" s="4"/>
      <c r="AN2084" s="4"/>
      <c r="AO2084" s="4"/>
      <c r="AP2084" s="4"/>
      <c r="AQ2084" s="4"/>
      <c r="AR2084" s="4"/>
      <c r="AS2084" s="4"/>
      <c r="AT2084" s="4"/>
      <c r="AU2084" s="4"/>
      <c r="AV2084" s="4"/>
      <c r="AW2084" s="4"/>
      <c r="AX2084" s="4"/>
      <c r="AY2084" s="4"/>
      <c r="AZ2084" s="4"/>
      <c r="BA2084" s="4"/>
      <c r="BB2084" s="4"/>
      <c r="BC2084" s="4"/>
      <c r="BD2084" s="4"/>
      <c r="BE2084" s="4"/>
      <c r="BF2084" s="4"/>
      <c r="BG2084" s="4"/>
      <c r="BH2084" s="4"/>
      <c r="BI2084" s="4"/>
      <c r="BJ2084" s="4"/>
      <c r="BK2084" s="4"/>
      <c r="BL2084" s="4"/>
      <c r="BM2084" s="4"/>
      <c r="BN2084" s="4"/>
      <c r="BO2084" s="4"/>
      <c r="BP2084" s="4"/>
      <c r="BQ2084" s="4"/>
      <c r="BR2084" s="4"/>
      <c r="BS2084" s="4"/>
      <c r="BT2084" s="4"/>
      <c r="BU2084" s="4"/>
    </row>
    <row r="2085" spans="29:73" s="1" customFormat="1" x14ac:dyDescent="0.25">
      <c r="AC2085" s="4"/>
      <c r="AD2085" s="4"/>
      <c r="AE2085" s="4"/>
      <c r="AF2085" s="4"/>
      <c r="AG2085" s="4"/>
      <c r="AH2085" s="4"/>
      <c r="AI2085" s="4"/>
      <c r="AJ2085" s="4"/>
      <c r="AK2085" s="4"/>
      <c r="AL2085" s="4"/>
      <c r="AM2085" s="4"/>
      <c r="AN2085" s="4"/>
      <c r="AO2085" s="4"/>
      <c r="AP2085" s="4"/>
      <c r="AQ2085" s="4"/>
      <c r="AR2085" s="4"/>
      <c r="AS2085" s="4"/>
      <c r="AT2085" s="4"/>
      <c r="AU2085" s="4"/>
      <c r="AV2085" s="4"/>
      <c r="AW2085" s="4"/>
      <c r="AX2085" s="4"/>
      <c r="AY2085" s="4"/>
      <c r="AZ2085" s="4"/>
      <c r="BA2085" s="4"/>
      <c r="BB2085" s="4"/>
      <c r="BC2085" s="4"/>
      <c r="BD2085" s="4"/>
      <c r="BE2085" s="4"/>
      <c r="BF2085" s="4"/>
      <c r="BG2085" s="4"/>
      <c r="BH2085" s="4"/>
      <c r="BI2085" s="4"/>
      <c r="BJ2085" s="4"/>
      <c r="BK2085" s="4"/>
      <c r="BL2085" s="4"/>
      <c r="BM2085" s="4"/>
      <c r="BN2085" s="4"/>
      <c r="BO2085" s="4"/>
      <c r="BP2085" s="4"/>
      <c r="BQ2085" s="4"/>
      <c r="BR2085" s="4"/>
      <c r="BS2085" s="4"/>
      <c r="BT2085" s="4"/>
      <c r="BU2085" s="4"/>
    </row>
    <row r="2086" spans="29:73" s="1" customFormat="1" x14ac:dyDescent="0.25">
      <c r="AC2086" s="4"/>
      <c r="AD2086" s="4"/>
      <c r="AE2086" s="4"/>
      <c r="AF2086" s="4"/>
      <c r="AG2086" s="4"/>
      <c r="AH2086" s="4"/>
      <c r="AI2086" s="4"/>
      <c r="AJ2086" s="4"/>
      <c r="AK2086" s="4"/>
      <c r="AL2086" s="4"/>
      <c r="AM2086" s="4"/>
      <c r="AN2086" s="4"/>
      <c r="AO2086" s="4"/>
      <c r="AP2086" s="4"/>
      <c r="AQ2086" s="4"/>
      <c r="AR2086" s="4"/>
      <c r="AS2086" s="4"/>
      <c r="AT2086" s="4"/>
      <c r="AU2086" s="4"/>
      <c r="AV2086" s="4"/>
      <c r="AW2086" s="4"/>
      <c r="AX2086" s="4"/>
      <c r="AY2086" s="4"/>
      <c r="AZ2086" s="4"/>
      <c r="BA2086" s="4"/>
      <c r="BB2086" s="4"/>
      <c r="BC2086" s="4"/>
      <c r="BD2086" s="4"/>
      <c r="BE2086" s="4"/>
      <c r="BF2086" s="4"/>
      <c r="BG2086" s="4"/>
      <c r="BH2086" s="4"/>
      <c r="BI2086" s="4"/>
      <c r="BJ2086" s="4"/>
      <c r="BK2086" s="4"/>
      <c r="BL2086" s="4"/>
      <c r="BM2086" s="4"/>
      <c r="BN2086" s="4"/>
      <c r="BO2086" s="4"/>
      <c r="BP2086" s="4"/>
      <c r="BQ2086" s="4"/>
      <c r="BR2086" s="4"/>
      <c r="BS2086" s="4"/>
      <c r="BT2086" s="4"/>
      <c r="BU2086" s="4"/>
    </row>
    <row r="2087" spans="29:73" s="1" customFormat="1" x14ac:dyDescent="0.25">
      <c r="AC2087" s="4"/>
      <c r="AD2087" s="4"/>
      <c r="AE2087" s="4"/>
      <c r="AF2087" s="4"/>
      <c r="AG2087" s="4"/>
      <c r="AH2087" s="4"/>
      <c r="AI2087" s="4"/>
      <c r="AJ2087" s="4"/>
      <c r="AK2087" s="4"/>
      <c r="AL2087" s="4"/>
      <c r="AM2087" s="4"/>
      <c r="AN2087" s="4"/>
      <c r="AO2087" s="4"/>
      <c r="AP2087" s="4"/>
      <c r="AQ2087" s="4"/>
      <c r="AR2087" s="4"/>
      <c r="AS2087" s="4"/>
      <c r="AT2087" s="4"/>
      <c r="AU2087" s="4"/>
      <c r="AV2087" s="4"/>
      <c r="AW2087" s="4"/>
      <c r="AX2087" s="4"/>
      <c r="AY2087" s="4"/>
      <c r="AZ2087" s="4"/>
      <c r="BA2087" s="4"/>
      <c r="BB2087" s="4"/>
      <c r="BC2087" s="4"/>
      <c r="BD2087" s="4"/>
      <c r="BE2087" s="4"/>
      <c r="BF2087" s="4"/>
      <c r="BG2087" s="4"/>
      <c r="BH2087" s="4"/>
      <c r="BI2087" s="4"/>
      <c r="BJ2087" s="4"/>
      <c r="BK2087" s="4"/>
      <c r="BL2087" s="4"/>
      <c r="BM2087" s="4"/>
      <c r="BN2087" s="4"/>
      <c r="BO2087" s="4"/>
      <c r="BP2087" s="4"/>
      <c r="BQ2087" s="4"/>
      <c r="BR2087" s="4"/>
      <c r="BS2087" s="4"/>
      <c r="BT2087" s="4"/>
      <c r="BU2087" s="4"/>
    </row>
    <row r="2088" spans="29:73" s="1" customFormat="1" x14ac:dyDescent="0.25">
      <c r="AC2088" s="4"/>
      <c r="AD2088" s="4"/>
      <c r="AE2088" s="4"/>
      <c r="AF2088" s="4"/>
      <c r="AG2088" s="4"/>
      <c r="AH2088" s="4"/>
      <c r="AI2088" s="4"/>
      <c r="AJ2088" s="4"/>
      <c r="AK2088" s="4"/>
      <c r="AL2088" s="4"/>
      <c r="AM2088" s="4"/>
      <c r="AN2088" s="4"/>
      <c r="AO2088" s="4"/>
      <c r="AP2088" s="4"/>
      <c r="AQ2088" s="4"/>
      <c r="AR2088" s="4"/>
      <c r="AS2088" s="4"/>
      <c r="AT2088" s="4"/>
      <c r="AU2088" s="4"/>
      <c r="AV2088" s="4"/>
      <c r="AW2088" s="4"/>
      <c r="AX2088" s="4"/>
      <c r="AY2088" s="4"/>
      <c r="AZ2088" s="4"/>
      <c r="BA2088" s="4"/>
      <c r="BB2088" s="4"/>
      <c r="BC2088" s="4"/>
      <c r="BD2088" s="4"/>
      <c r="BE2088" s="4"/>
      <c r="BF2088" s="4"/>
      <c r="BG2088" s="4"/>
      <c r="BH2088" s="4"/>
      <c r="BI2088" s="4"/>
      <c r="BJ2088" s="4"/>
      <c r="BK2088" s="4"/>
      <c r="BL2088" s="4"/>
      <c r="BM2088" s="4"/>
      <c r="BN2088" s="4"/>
      <c r="BO2088" s="4"/>
      <c r="BP2088" s="4"/>
      <c r="BQ2088" s="4"/>
      <c r="BR2088" s="4"/>
      <c r="BS2088" s="4"/>
      <c r="BT2088" s="4"/>
      <c r="BU2088" s="4"/>
    </row>
    <row r="2089" spans="29:73" s="1" customFormat="1" x14ac:dyDescent="0.25">
      <c r="AC2089" s="4"/>
      <c r="AD2089" s="4"/>
      <c r="AE2089" s="4"/>
      <c r="AF2089" s="4"/>
      <c r="AG2089" s="4"/>
      <c r="AH2089" s="4"/>
      <c r="AI2089" s="4"/>
      <c r="AJ2089" s="4"/>
      <c r="AK2089" s="4"/>
      <c r="AL2089" s="4"/>
      <c r="AM2089" s="4"/>
      <c r="AN2089" s="4"/>
      <c r="AO2089" s="4"/>
      <c r="AP2089" s="4"/>
      <c r="AQ2089" s="4"/>
      <c r="AR2089" s="4"/>
      <c r="AS2089" s="4"/>
      <c r="AT2089" s="4"/>
      <c r="AU2089" s="4"/>
      <c r="AV2089" s="4"/>
      <c r="AW2089" s="4"/>
      <c r="AX2089" s="4"/>
      <c r="AY2089" s="4"/>
      <c r="AZ2089" s="4"/>
      <c r="BA2089" s="4"/>
      <c r="BB2089" s="4"/>
      <c r="BC2089" s="4"/>
      <c r="BD2089" s="4"/>
      <c r="BE2089" s="4"/>
      <c r="BF2089" s="4"/>
      <c r="BG2089" s="4"/>
      <c r="BH2089" s="4"/>
      <c r="BI2089" s="4"/>
      <c r="BJ2089" s="4"/>
      <c r="BK2089" s="4"/>
      <c r="BL2089" s="4"/>
      <c r="BM2089" s="4"/>
      <c r="BN2089" s="4"/>
      <c r="BO2089" s="4"/>
      <c r="BP2089" s="4"/>
      <c r="BQ2089" s="4"/>
      <c r="BR2089" s="4"/>
      <c r="BS2089" s="4"/>
      <c r="BT2089" s="4"/>
      <c r="BU2089" s="4"/>
    </row>
    <row r="2090" spans="29:73" s="1" customFormat="1" x14ac:dyDescent="0.25">
      <c r="AC2090" s="4"/>
      <c r="AD2090" s="4"/>
      <c r="AE2090" s="4"/>
      <c r="AF2090" s="4"/>
      <c r="AG2090" s="4"/>
      <c r="AH2090" s="4"/>
      <c r="AI2090" s="4"/>
      <c r="AJ2090" s="4"/>
      <c r="AK2090" s="4"/>
      <c r="AL2090" s="4"/>
      <c r="AM2090" s="4"/>
      <c r="AN2090" s="4"/>
      <c r="AO2090" s="4"/>
      <c r="AP2090" s="4"/>
      <c r="AQ2090" s="4"/>
      <c r="AR2090" s="4"/>
      <c r="AS2090" s="4"/>
      <c r="AT2090" s="4"/>
      <c r="AU2090" s="4"/>
      <c r="AV2090" s="4"/>
      <c r="AW2090" s="4"/>
      <c r="AX2090" s="4"/>
      <c r="AY2090" s="4"/>
      <c r="AZ2090" s="4"/>
      <c r="BA2090" s="4"/>
      <c r="BB2090" s="4"/>
      <c r="BC2090" s="4"/>
      <c r="BD2090" s="4"/>
      <c r="BE2090" s="4"/>
      <c r="BF2090" s="4"/>
      <c r="BG2090" s="4"/>
      <c r="BH2090" s="4"/>
      <c r="BI2090" s="4"/>
      <c r="BJ2090" s="4"/>
      <c r="BK2090" s="4"/>
      <c r="BL2090" s="4"/>
      <c r="BM2090" s="4"/>
      <c r="BN2090" s="4"/>
      <c r="BO2090" s="4"/>
      <c r="BP2090" s="4"/>
      <c r="BQ2090" s="4"/>
      <c r="BR2090" s="4"/>
      <c r="BS2090" s="4"/>
      <c r="BT2090" s="4"/>
      <c r="BU2090" s="4"/>
    </row>
    <row r="2091" spans="29:73" s="1" customFormat="1" x14ac:dyDescent="0.25">
      <c r="AC2091" s="4"/>
      <c r="AD2091" s="4"/>
      <c r="AE2091" s="4"/>
      <c r="AF2091" s="4"/>
      <c r="AG2091" s="4"/>
      <c r="AH2091" s="4"/>
      <c r="AI2091" s="4"/>
      <c r="AJ2091" s="4"/>
      <c r="AK2091" s="4"/>
      <c r="AL2091" s="4"/>
      <c r="AM2091" s="4"/>
      <c r="AN2091" s="4"/>
      <c r="AO2091" s="4"/>
      <c r="AP2091" s="4"/>
      <c r="AQ2091" s="4"/>
      <c r="AR2091" s="4"/>
      <c r="AS2091" s="4"/>
      <c r="AT2091" s="4"/>
      <c r="AU2091" s="4"/>
      <c r="AV2091" s="4"/>
      <c r="AW2091" s="4"/>
      <c r="AX2091" s="4"/>
      <c r="AY2091" s="4"/>
      <c r="AZ2091" s="4"/>
      <c r="BA2091" s="4"/>
      <c r="BB2091" s="4"/>
      <c r="BC2091" s="4"/>
      <c r="BD2091" s="4"/>
      <c r="BE2091" s="4"/>
      <c r="BF2091" s="4"/>
      <c r="BG2091" s="4"/>
      <c r="BH2091" s="4"/>
      <c r="BI2091" s="4"/>
      <c r="BJ2091" s="4"/>
      <c r="BK2091" s="4"/>
      <c r="BL2091" s="4"/>
      <c r="BM2091" s="4"/>
      <c r="BN2091" s="4"/>
      <c r="BO2091" s="4"/>
      <c r="BP2091" s="4"/>
      <c r="BQ2091" s="4"/>
      <c r="BR2091" s="4"/>
      <c r="BS2091" s="4"/>
      <c r="BT2091" s="4"/>
      <c r="BU2091" s="4"/>
    </row>
    <row r="2092" spans="29:73" s="1" customFormat="1" x14ac:dyDescent="0.25">
      <c r="AC2092" s="4"/>
      <c r="AD2092" s="4"/>
      <c r="AE2092" s="4"/>
      <c r="AF2092" s="4"/>
      <c r="AG2092" s="4"/>
      <c r="AH2092" s="4"/>
      <c r="AI2092" s="4"/>
      <c r="AJ2092" s="4"/>
      <c r="AK2092" s="4"/>
      <c r="AL2092" s="4"/>
      <c r="AM2092" s="4"/>
      <c r="AN2092" s="4"/>
      <c r="AO2092" s="4"/>
      <c r="AP2092" s="4"/>
      <c r="AQ2092" s="4"/>
      <c r="AR2092" s="4"/>
      <c r="AS2092" s="4"/>
      <c r="AT2092" s="4"/>
      <c r="AU2092" s="4"/>
      <c r="AV2092" s="4"/>
      <c r="AW2092" s="4"/>
      <c r="AX2092" s="4"/>
      <c r="AY2092" s="4"/>
      <c r="AZ2092" s="4"/>
      <c r="BA2092" s="4"/>
      <c r="BB2092" s="4"/>
      <c r="BC2092" s="4"/>
      <c r="BD2092" s="4"/>
      <c r="BE2092" s="4"/>
      <c r="BF2092" s="4"/>
      <c r="BG2092" s="4"/>
      <c r="BH2092" s="4"/>
      <c r="BI2092" s="4"/>
      <c r="BJ2092" s="4"/>
      <c r="BK2092" s="4"/>
      <c r="BL2092" s="4"/>
      <c r="BM2092" s="4"/>
      <c r="BN2092" s="4"/>
      <c r="BO2092" s="4"/>
      <c r="BP2092" s="4"/>
      <c r="BQ2092" s="4"/>
      <c r="BR2092" s="4"/>
      <c r="BS2092" s="4"/>
      <c r="BT2092" s="4"/>
      <c r="BU2092" s="4"/>
    </row>
    <row r="2093" spans="29:73" s="1" customFormat="1" x14ac:dyDescent="0.25">
      <c r="AC2093" s="4"/>
      <c r="AD2093" s="4"/>
      <c r="AE2093" s="4"/>
      <c r="AF2093" s="4"/>
      <c r="AG2093" s="4"/>
      <c r="AH2093" s="4"/>
      <c r="AI2093" s="4"/>
      <c r="AJ2093" s="4"/>
      <c r="AK2093" s="4"/>
      <c r="AL2093" s="4"/>
      <c r="AM2093" s="4"/>
      <c r="AN2093" s="4"/>
      <c r="AO2093" s="4"/>
      <c r="AP2093" s="4"/>
      <c r="AQ2093" s="4"/>
      <c r="AR2093" s="4"/>
      <c r="AS2093" s="4"/>
      <c r="AT2093" s="4"/>
      <c r="AU2093" s="4"/>
      <c r="AV2093" s="4"/>
      <c r="AW2093" s="4"/>
      <c r="AX2093" s="4"/>
      <c r="AY2093" s="4"/>
      <c r="AZ2093" s="4"/>
      <c r="BA2093" s="4"/>
      <c r="BB2093" s="4"/>
      <c r="BC2093" s="4"/>
      <c r="BD2093" s="4"/>
      <c r="BE2093" s="4"/>
      <c r="BF2093" s="4"/>
      <c r="BG2093" s="4"/>
      <c r="BH2093" s="4"/>
      <c r="BI2093" s="4"/>
      <c r="BJ2093" s="4"/>
      <c r="BK2093" s="4"/>
      <c r="BL2093" s="4"/>
      <c r="BM2093" s="4"/>
      <c r="BN2093" s="4"/>
      <c r="BO2093" s="4"/>
      <c r="BP2093" s="4"/>
      <c r="BQ2093" s="4"/>
      <c r="BR2093" s="4"/>
      <c r="BS2093" s="4"/>
      <c r="BT2093" s="4"/>
      <c r="BU2093" s="4"/>
    </row>
    <row r="2094" spans="29:73" s="1" customFormat="1" x14ac:dyDescent="0.25">
      <c r="AC2094" s="4"/>
      <c r="AD2094" s="4"/>
      <c r="AE2094" s="4"/>
      <c r="AF2094" s="4"/>
      <c r="AG2094" s="4"/>
      <c r="AH2094" s="4"/>
      <c r="AI2094" s="4"/>
      <c r="AJ2094" s="4"/>
      <c r="AK2094" s="4"/>
      <c r="AL2094" s="4"/>
      <c r="AM2094" s="4"/>
      <c r="AN2094" s="4"/>
      <c r="AO2094" s="4"/>
      <c r="AP2094" s="4"/>
      <c r="AQ2094" s="4"/>
      <c r="AR2094" s="4"/>
      <c r="AS2094" s="4"/>
      <c r="AT2094" s="4"/>
      <c r="AU2094" s="4"/>
      <c r="AV2094" s="4"/>
      <c r="AW2094" s="4"/>
      <c r="AX2094" s="4"/>
      <c r="AY2094" s="4"/>
      <c r="AZ2094" s="4"/>
      <c r="BA2094" s="4"/>
      <c r="BB2094" s="4"/>
      <c r="BC2094" s="4"/>
      <c r="BD2094" s="4"/>
      <c r="BE2094" s="4"/>
      <c r="BF2094" s="4"/>
      <c r="BG2094" s="4"/>
      <c r="BH2094" s="4"/>
      <c r="BI2094" s="4"/>
      <c r="BJ2094" s="4"/>
      <c r="BK2094" s="4"/>
      <c r="BL2094" s="4"/>
      <c r="BM2094" s="4"/>
      <c r="BN2094" s="4"/>
      <c r="BO2094" s="4"/>
      <c r="BP2094" s="4"/>
      <c r="BQ2094" s="4"/>
      <c r="BR2094" s="4"/>
      <c r="BS2094" s="4"/>
      <c r="BT2094" s="4"/>
      <c r="BU2094" s="4"/>
    </row>
    <row r="2095" spans="29:73" s="1" customFormat="1" x14ac:dyDescent="0.25">
      <c r="AC2095" s="4"/>
      <c r="AD2095" s="4"/>
      <c r="AE2095" s="4"/>
      <c r="AF2095" s="4"/>
      <c r="AG2095" s="4"/>
      <c r="AH2095" s="4"/>
      <c r="AI2095" s="4"/>
      <c r="AJ2095" s="4"/>
      <c r="AK2095" s="4"/>
      <c r="AL2095" s="4"/>
      <c r="AM2095" s="4"/>
      <c r="AN2095" s="4"/>
      <c r="AO2095" s="4"/>
      <c r="AP2095" s="4"/>
      <c r="AQ2095" s="4"/>
      <c r="AR2095" s="4"/>
      <c r="AS2095" s="4"/>
      <c r="AT2095" s="4"/>
      <c r="AU2095" s="4"/>
      <c r="AV2095" s="4"/>
      <c r="AW2095" s="4"/>
      <c r="AX2095" s="4"/>
      <c r="AY2095" s="4"/>
      <c r="AZ2095" s="4"/>
      <c r="BA2095" s="4"/>
      <c r="BB2095" s="4"/>
      <c r="BC2095" s="4"/>
      <c r="BD2095" s="4"/>
      <c r="BE2095" s="4"/>
      <c r="BF2095" s="4"/>
      <c r="BG2095" s="4"/>
      <c r="BH2095" s="4"/>
      <c r="BI2095" s="4"/>
      <c r="BJ2095" s="4"/>
      <c r="BK2095" s="4"/>
      <c r="BL2095" s="4"/>
      <c r="BM2095" s="4"/>
      <c r="BN2095" s="4"/>
      <c r="BO2095" s="4"/>
      <c r="BP2095" s="4"/>
      <c r="BQ2095" s="4"/>
      <c r="BR2095" s="4"/>
      <c r="BS2095" s="4"/>
      <c r="BT2095" s="4"/>
      <c r="BU2095" s="4"/>
    </row>
    <row r="2096" spans="29:73" s="1" customFormat="1" x14ac:dyDescent="0.25">
      <c r="AC2096" s="4"/>
      <c r="AD2096" s="4"/>
      <c r="AE2096" s="4"/>
      <c r="AF2096" s="4"/>
      <c r="AG2096" s="4"/>
      <c r="AH2096" s="4"/>
      <c r="AI2096" s="4"/>
      <c r="AJ2096" s="4"/>
      <c r="AK2096" s="4"/>
      <c r="AL2096" s="4"/>
      <c r="AM2096" s="4"/>
      <c r="AN2096" s="4"/>
      <c r="AO2096" s="4"/>
      <c r="AP2096" s="4"/>
      <c r="AQ2096" s="4"/>
      <c r="AR2096" s="4"/>
      <c r="AS2096" s="4"/>
      <c r="AT2096" s="4"/>
      <c r="AU2096" s="4"/>
      <c r="AV2096" s="4"/>
      <c r="AW2096" s="4"/>
      <c r="AX2096" s="4"/>
      <c r="AY2096" s="4"/>
      <c r="AZ2096" s="4"/>
      <c r="BA2096" s="4"/>
      <c r="BB2096" s="4"/>
      <c r="BC2096" s="4"/>
      <c r="BD2096" s="4"/>
      <c r="BE2096" s="4"/>
      <c r="BF2096" s="4"/>
      <c r="BG2096" s="4"/>
      <c r="BH2096" s="4"/>
      <c r="BI2096" s="4"/>
      <c r="BJ2096" s="4"/>
      <c r="BK2096" s="4"/>
      <c r="BL2096" s="4"/>
      <c r="BM2096" s="4"/>
      <c r="BN2096" s="4"/>
      <c r="BO2096" s="4"/>
      <c r="BP2096" s="4"/>
      <c r="BQ2096" s="4"/>
      <c r="BR2096" s="4"/>
      <c r="BS2096" s="4"/>
      <c r="BT2096" s="4"/>
      <c r="BU2096" s="4"/>
    </row>
    <row r="2097" spans="29:73" s="1" customFormat="1" x14ac:dyDescent="0.25">
      <c r="AC2097" s="4"/>
      <c r="AD2097" s="4"/>
      <c r="AE2097" s="4"/>
      <c r="AF2097" s="4"/>
      <c r="AG2097" s="4"/>
      <c r="AH2097" s="4"/>
      <c r="AI2097" s="4"/>
      <c r="AJ2097" s="4"/>
      <c r="AK2097" s="4"/>
      <c r="AL2097" s="4"/>
      <c r="AM2097" s="4"/>
      <c r="AN2097" s="4"/>
      <c r="AO2097" s="4"/>
      <c r="AP2097" s="4"/>
      <c r="AQ2097" s="4"/>
      <c r="AR2097" s="4"/>
      <c r="AS2097" s="4"/>
      <c r="AT2097" s="4"/>
      <c r="AU2097" s="4"/>
      <c r="AV2097" s="4"/>
      <c r="AW2097" s="4"/>
      <c r="AX2097" s="4"/>
      <c r="AY2097" s="4"/>
      <c r="AZ2097" s="4"/>
      <c r="BA2097" s="4"/>
      <c r="BB2097" s="4"/>
      <c r="BC2097" s="4"/>
      <c r="BD2097" s="4"/>
      <c r="BE2097" s="4"/>
      <c r="BF2097" s="4"/>
      <c r="BG2097" s="4"/>
      <c r="BH2097" s="4"/>
      <c r="BI2097" s="4"/>
      <c r="BJ2097" s="4"/>
      <c r="BK2097" s="4"/>
      <c r="BL2097" s="4"/>
      <c r="BM2097" s="4"/>
      <c r="BN2097" s="4"/>
      <c r="BO2097" s="4"/>
      <c r="BP2097" s="4"/>
      <c r="BQ2097" s="4"/>
      <c r="BR2097" s="4"/>
      <c r="BS2097" s="4"/>
      <c r="BT2097" s="4"/>
      <c r="BU2097" s="4"/>
    </row>
    <row r="2098" spans="29:73" s="1" customFormat="1" x14ac:dyDescent="0.25">
      <c r="AC2098" s="4"/>
      <c r="AD2098" s="4"/>
      <c r="AE2098" s="4"/>
      <c r="AF2098" s="4"/>
      <c r="AG2098" s="4"/>
      <c r="AH2098" s="4"/>
      <c r="AI2098" s="4"/>
      <c r="AJ2098" s="4"/>
      <c r="AK2098" s="4"/>
      <c r="AL2098" s="4"/>
      <c r="AM2098" s="4"/>
      <c r="AN2098" s="4"/>
      <c r="AO2098" s="4"/>
      <c r="AP2098" s="4"/>
      <c r="AQ2098" s="4"/>
      <c r="AR2098" s="4"/>
      <c r="AS2098" s="4"/>
      <c r="AT2098" s="4"/>
      <c r="AU2098" s="4"/>
      <c r="AV2098" s="4"/>
      <c r="AW2098" s="4"/>
      <c r="AX2098" s="4"/>
      <c r="AY2098" s="4"/>
      <c r="AZ2098" s="4"/>
      <c r="BA2098" s="4"/>
      <c r="BB2098" s="4"/>
      <c r="BC2098" s="4"/>
      <c r="BD2098" s="4"/>
      <c r="BE2098" s="4"/>
      <c r="BF2098" s="4"/>
      <c r="BG2098" s="4"/>
      <c r="BH2098" s="4"/>
      <c r="BI2098" s="4"/>
      <c r="BJ2098" s="4"/>
      <c r="BK2098" s="4"/>
      <c r="BL2098" s="4"/>
      <c r="BM2098" s="4"/>
      <c r="BN2098" s="4"/>
      <c r="BO2098" s="4"/>
      <c r="BP2098" s="4"/>
      <c r="BQ2098" s="4"/>
      <c r="BR2098" s="4"/>
      <c r="BS2098" s="4"/>
      <c r="BT2098" s="4"/>
      <c r="BU2098" s="4"/>
    </row>
    <row r="2099" spans="29:73" s="1" customFormat="1" x14ac:dyDescent="0.25">
      <c r="AC2099" s="4"/>
      <c r="AD2099" s="4"/>
      <c r="AE2099" s="4"/>
      <c r="AF2099" s="4"/>
      <c r="AG2099" s="4"/>
      <c r="AH2099" s="4"/>
      <c r="AI2099" s="4"/>
      <c r="AJ2099" s="4"/>
      <c r="AK2099" s="4"/>
      <c r="AL2099" s="4"/>
      <c r="AM2099" s="4"/>
      <c r="AN2099" s="4"/>
      <c r="AO2099" s="4"/>
      <c r="AP2099" s="4"/>
      <c r="AQ2099" s="4"/>
      <c r="AR2099" s="4"/>
      <c r="AS2099" s="4"/>
      <c r="AT2099" s="4"/>
      <c r="AU2099" s="4"/>
      <c r="AV2099" s="4"/>
      <c r="AW2099" s="4"/>
      <c r="AX2099" s="4"/>
      <c r="AY2099" s="4"/>
      <c r="AZ2099" s="4"/>
      <c r="BA2099" s="4"/>
      <c r="BB2099" s="4"/>
      <c r="BC2099" s="4"/>
      <c r="BD2099" s="4"/>
      <c r="BE2099" s="4"/>
      <c r="BF2099" s="4"/>
      <c r="BG2099" s="4"/>
      <c r="BH2099" s="4"/>
      <c r="BI2099" s="4"/>
      <c r="BJ2099" s="4"/>
      <c r="BK2099" s="4"/>
      <c r="BL2099" s="4"/>
      <c r="BM2099" s="4"/>
      <c r="BN2099" s="4"/>
      <c r="BO2099" s="4"/>
      <c r="BP2099" s="4"/>
      <c r="BQ2099" s="4"/>
      <c r="BR2099" s="4"/>
      <c r="BS2099" s="4"/>
      <c r="BT2099" s="4"/>
      <c r="BU2099" s="4"/>
    </row>
    <row r="2100" spans="29:73" s="1" customFormat="1" x14ac:dyDescent="0.25">
      <c r="AC2100" s="4"/>
      <c r="AD2100" s="4"/>
      <c r="AE2100" s="4"/>
      <c r="AF2100" s="4"/>
      <c r="AG2100" s="4"/>
      <c r="AH2100" s="4"/>
      <c r="AI2100" s="4"/>
      <c r="AJ2100" s="4"/>
      <c r="AK2100" s="4"/>
      <c r="AL2100" s="4"/>
      <c r="AM2100" s="4"/>
      <c r="AN2100" s="4"/>
      <c r="AO2100" s="4"/>
      <c r="AP2100" s="4"/>
      <c r="AQ2100" s="4"/>
      <c r="AR2100" s="4"/>
      <c r="AS2100" s="4"/>
      <c r="AT2100" s="4"/>
      <c r="AU2100" s="4"/>
      <c r="AV2100" s="4"/>
      <c r="AW2100" s="4"/>
      <c r="AX2100" s="4"/>
      <c r="AY2100" s="4"/>
      <c r="AZ2100" s="4"/>
      <c r="BA2100" s="4"/>
      <c r="BB2100" s="4"/>
      <c r="BC2100" s="4"/>
      <c r="BD2100" s="4"/>
      <c r="BE2100" s="4"/>
      <c r="BF2100" s="4"/>
      <c r="BG2100" s="4"/>
      <c r="BH2100" s="4"/>
      <c r="BI2100" s="4"/>
      <c r="BJ2100" s="4"/>
      <c r="BK2100" s="4"/>
      <c r="BL2100" s="4"/>
      <c r="BM2100" s="4"/>
      <c r="BN2100" s="4"/>
      <c r="BO2100" s="4"/>
      <c r="BP2100" s="4"/>
      <c r="BQ2100" s="4"/>
      <c r="BR2100" s="4"/>
      <c r="BS2100" s="4"/>
      <c r="BT2100" s="4"/>
      <c r="BU2100" s="4"/>
    </row>
    <row r="2101" spans="29:73" s="1" customFormat="1" x14ac:dyDescent="0.25">
      <c r="AC2101" s="4"/>
      <c r="AD2101" s="4"/>
      <c r="AE2101" s="4"/>
      <c r="AF2101" s="4"/>
      <c r="AG2101" s="4"/>
      <c r="AH2101" s="4"/>
      <c r="AI2101" s="4"/>
      <c r="AJ2101" s="4"/>
      <c r="AK2101" s="4"/>
      <c r="AL2101" s="4"/>
      <c r="AM2101" s="4"/>
      <c r="AN2101" s="4"/>
      <c r="AO2101" s="4"/>
      <c r="AP2101" s="4"/>
      <c r="AQ2101" s="4"/>
      <c r="AR2101" s="4"/>
      <c r="AS2101" s="4"/>
      <c r="AT2101" s="4"/>
      <c r="AU2101" s="4"/>
      <c r="AV2101" s="4"/>
      <c r="AW2101" s="4"/>
      <c r="AX2101" s="4"/>
      <c r="AY2101" s="4"/>
      <c r="AZ2101" s="4"/>
      <c r="BA2101" s="4"/>
      <c r="BB2101" s="4"/>
      <c r="BC2101" s="4"/>
      <c r="BD2101" s="4"/>
      <c r="BE2101" s="4"/>
      <c r="BF2101" s="4"/>
      <c r="BG2101" s="4"/>
      <c r="BH2101" s="4"/>
      <c r="BI2101" s="4"/>
      <c r="BJ2101" s="4"/>
      <c r="BK2101" s="4"/>
      <c r="BL2101" s="4"/>
      <c r="BM2101" s="4"/>
      <c r="BN2101" s="4"/>
      <c r="BO2101" s="4"/>
      <c r="BP2101" s="4"/>
      <c r="BQ2101" s="4"/>
      <c r="BR2101" s="4"/>
      <c r="BS2101" s="4"/>
      <c r="BT2101" s="4"/>
      <c r="BU2101" s="4"/>
    </row>
    <row r="2102" spans="29:73" s="1" customFormat="1" x14ac:dyDescent="0.25">
      <c r="AC2102" s="4"/>
      <c r="AD2102" s="4"/>
      <c r="AE2102" s="4"/>
      <c r="AF2102" s="4"/>
      <c r="AG2102" s="4"/>
      <c r="AH2102" s="4"/>
      <c r="AI2102" s="4"/>
      <c r="AJ2102" s="4"/>
      <c r="AK2102" s="4"/>
      <c r="AL2102" s="4"/>
      <c r="AM2102" s="4"/>
      <c r="AN2102" s="4"/>
      <c r="AO2102" s="4"/>
      <c r="AP2102" s="4"/>
      <c r="AQ2102" s="4"/>
      <c r="AR2102" s="4"/>
      <c r="AS2102" s="4"/>
      <c r="AT2102" s="4"/>
      <c r="AU2102" s="4"/>
      <c r="AV2102" s="4"/>
      <c r="AW2102" s="4"/>
      <c r="AX2102" s="4"/>
      <c r="AY2102" s="4"/>
      <c r="AZ2102" s="4"/>
      <c r="BA2102" s="4"/>
      <c r="BB2102" s="4"/>
      <c r="BC2102" s="4"/>
      <c r="BD2102" s="4"/>
      <c r="BE2102" s="4"/>
      <c r="BF2102" s="4"/>
      <c r="BG2102" s="4"/>
      <c r="BH2102" s="4"/>
      <c r="BI2102" s="4"/>
      <c r="BJ2102" s="4"/>
      <c r="BK2102" s="4"/>
      <c r="BL2102" s="4"/>
      <c r="BM2102" s="4"/>
      <c r="BN2102" s="4"/>
      <c r="BO2102" s="4"/>
      <c r="BP2102" s="4"/>
      <c r="BQ2102" s="4"/>
      <c r="BR2102" s="4"/>
      <c r="BS2102" s="4"/>
      <c r="BT2102" s="4"/>
      <c r="BU2102" s="4"/>
    </row>
    <row r="2103" spans="29:73" s="1" customFormat="1" x14ac:dyDescent="0.25">
      <c r="AC2103" s="4"/>
      <c r="AD2103" s="4"/>
      <c r="AE2103" s="4"/>
      <c r="AF2103" s="4"/>
      <c r="AG2103" s="4"/>
      <c r="AH2103" s="4"/>
      <c r="AI2103" s="4"/>
      <c r="AJ2103" s="4"/>
      <c r="AK2103" s="4"/>
      <c r="AL2103" s="4"/>
      <c r="AM2103" s="4"/>
      <c r="AN2103" s="4"/>
      <c r="AO2103" s="4"/>
      <c r="AP2103" s="4"/>
      <c r="AQ2103" s="4"/>
      <c r="AR2103" s="4"/>
      <c r="AS2103" s="4"/>
      <c r="AT2103" s="4"/>
      <c r="AU2103" s="4"/>
      <c r="AV2103" s="4"/>
      <c r="AW2103" s="4"/>
      <c r="AX2103" s="4"/>
      <c r="AY2103" s="4"/>
      <c r="AZ2103" s="4"/>
      <c r="BA2103" s="4"/>
      <c r="BB2103" s="4"/>
      <c r="BC2103" s="4"/>
      <c r="BD2103" s="4"/>
      <c r="BE2103" s="4"/>
      <c r="BF2103" s="4"/>
      <c r="BG2103" s="4"/>
      <c r="BH2103" s="4"/>
      <c r="BI2103" s="4"/>
      <c r="BJ2103" s="4"/>
      <c r="BK2103" s="4"/>
      <c r="BL2103" s="4"/>
      <c r="BM2103" s="4"/>
      <c r="BN2103" s="4"/>
      <c r="BO2103" s="4"/>
      <c r="BP2103" s="4"/>
      <c r="BQ2103" s="4"/>
      <c r="BR2103" s="4"/>
      <c r="BS2103" s="4"/>
      <c r="BT2103" s="4"/>
      <c r="BU2103" s="4"/>
    </row>
    <row r="2104" spans="29:73" s="1" customFormat="1" x14ac:dyDescent="0.25">
      <c r="AC2104" s="4"/>
      <c r="AD2104" s="4"/>
      <c r="AE2104" s="4"/>
      <c r="AF2104" s="4"/>
      <c r="AG2104" s="4"/>
      <c r="AH2104" s="4"/>
      <c r="AI2104" s="4"/>
      <c r="AJ2104" s="4"/>
      <c r="AK2104" s="4"/>
      <c r="AL2104" s="4"/>
      <c r="AM2104" s="4"/>
      <c r="AN2104" s="4"/>
      <c r="AO2104" s="4"/>
      <c r="AP2104" s="4"/>
      <c r="AQ2104" s="4"/>
      <c r="AR2104" s="4"/>
      <c r="AS2104" s="4"/>
      <c r="AT2104" s="4"/>
      <c r="AU2104" s="4"/>
      <c r="AV2104" s="4"/>
      <c r="AW2104" s="4"/>
      <c r="AX2104" s="4"/>
      <c r="AY2104" s="4"/>
      <c r="AZ2104" s="4"/>
      <c r="BA2104" s="4"/>
      <c r="BB2104" s="4"/>
      <c r="BC2104" s="4"/>
      <c r="BD2104" s="4"/>
      <c r="BE2104" s="4"/>
      <c r="BF2104" s="4"/>
      <c r="BG2104" s="4"/>
      <c r="BH2104" s="4"/>
      <c r="BI2104" s="4"/>
      <c r="BJ2104" s="4"/>
      <c r="BK2104" s="4"/>
      <c r="BL2104" s="4"/>
      <c r="BM2104" s="4"/>
      <c r="BN2104" s="4"/>
      <c r="BO2104" s="4"/>
      <c r="BP2104" s="4"/>
      <c r="BQ2104" s="4"/>
      <c r="BR2104" s="4"/>
      <c r="BS2104" s="4"/>
      <c r="BT2104" s="4"/>
      <c r="BU2104" s="4"/>
    </row>
    <row r="2105" spans="29:73" s="1" customFormat="1" x14ac:dyDescent="0.25">
      <c r="AC2105" s="4"/>
      <c r="AD2105" s="4"/>
      <c r="AE2105" s="4"/>
      <c r="AF2105" s="4"/>
      <c r="AG2105" s="4"/>
      <c r="AH2105" s="4"/>
      <c r="AI2105" s="4"/>
      <c r="AJ2105" s="4"/>
      <c r="AK2105" s="4"/>
      <c r="AL2105" s="4"/>
      <c r="AM2105" s="4"/>
      <c r="AN2105" s="4"/>
      <c r="AO2105" s="4"/>
      <c r="AP2105" s="4"/>
      <c r="AQ2105" s="4"/>
      <c r="AR2105" s="4"/>
      <c r="AS2105" s="4"/>
      <c r="AT2105" s="4"/>
      <c r="AU2105" s="4"/>
      <c r="AV2105" s="4"/>
      <c r="AW2105" s="4"/>
      <c r="AX2105" s="4"/>
      <c r="AY2105" s="4"/>
      <c r="AZ2105" s="4"/>
      <c r="BA2105" s="4"/>
      <c r="BB2105" s="4"/>
      <c r="BC2105" s="4"/>
      <c r="BD2105" s="4"/>
      <c r="BE2105" s="4"/>
      <c r="BF2105" s="4"/>
      <c r="BG2105" s="4"/>
      <c r="BH2105" s="4"/>
      <c r="BI2105" s="4"/>
      <c r="BJ2105" s="4"/>
      <c r="BK2105" s="4"/>
      <c r="BL2105" s="4"/>
      <c r="BM2105" s="4"/>
      <c r="BN2105" s="4"/>
      <c r="BO2105" s="4"/>
      <c r="BP2105" s="4"/>
      <c r="BQ2105" s="4"/>
      <c r="BR2105" s="4"/>
      <c r="BS2105" s="4"/>
      <c r="BT2105" s="4"/>
      <c r="BU2105" s="4"/>
    </row>
    <row r="2106" spans="29:73" s="1" customFormat="1" x14ac:dyDescent="0.25">
      <c r="AC2106" s="4"/>
      <c r="AD2106" s="4"/>
      <c r="AE2106" s="4"/>
      <c r="AF2106" s="4"/>
      <c r="AG2106" s="4"/>
      <c r="AH2106" s="4"/>
      <c r="AI2106" s="4"/>
      <c r="AJ2106" s="4"/>
      <c r="AK2106" s="4"/>
      <c r="AL2106" s="4"/>
      <c r="AM2106" s="4"/>
      <c r="AN2106" s="4"/>
      <c r="AO2106" s="4"/>
      <c r="AP2106" s="4"/>
      <c r="AQ2106" s="4"/>
      <c r="AR2106" s="4"/>
      <c r="AS2106" s="4"/>
      <c r="AT2106" s="4"/>
      <c r="AU2106" s="4"/>
      <c r="AV2106" s="4"/>
      <c r="AW2106" s="4"/>
      <c r="AX2106" s="4"/>
      <c r="AY2106" s="4"/>
      <c r="AZ2106" s="4"/>
      <c r="BA2106" s="4"/>
      <c r="BB2106" s="4"/>
      <c r="BC2106" s="4"/>
      <c r="BD2106" s="4"/>
      <c r="BE2106" s="4"/>
      <c r="BF2106" s="4"/>
      <c r="BG2106" s="4"/>
      <c r="BH2106" s="4"/>
      <c r="BI2106" s="4"/>
      <c r="BJ2106" s="4"/>
      <c r="BK2106" s="4"/>
      <c r="BL2106" s="4"/>
      <c r="BM2106" s="4"/>
      <c r="BN2106" s="4"/>
      <c r="BO2106" s="4"/>
      <c r="BP2106" s="4"/>
      <c r="BQ2106" s="4"/>
      <c r="BR2106" s="4"/>
      <c r="BS2106" s="4"/>
      <c r="BT2106" s="4"/>
      <c r="BU2106" s="4"/>
    </row>
    <row r="2107" spans="29:73" s="1" customFormat="1" x14ac:dyDescent="0.25">
      <c r="AC2107" s="4"/>
      <c r="AD2107" s="4"/>
      <c r="AE2107" s="4"/>
      <c r="AF2107" s="4"/>
      <c r="AG2107" s="4"/>
      <c r="AH2107" s="4"/>
      <c r="AI2107" s="4"/>
      <c r="AJ2107" s="4"/>
      <c r="AK2107" s="4"/>
      <c r="AL2107" s="4"/>
      <c r="AM2107" s="4"/>
      <c r="AN2107" s="4"/>
      <c r="AO2107" s="4"/>
      <c r="AP2107" s="4"/>
      <c r="AQ2107" s="4"/>
      <c r="AR2107" s="4"/>
      <c r="AS2107" s="4"/>
      <c r="AT2107" s="4"/>
      <c r="AU2107" s="4"/>
      <c r="AV2107" s="4"/>
      <c r="AW2107" s="4"/>
      <c r="AX2107" s="4"/>
      <c r="AY2107" s="4"/>
      <c r="AZ2107" s="4"/>
      <c r="BA2107" s="4"/>
      <c r="BB2107" s="4"/>
      <c r="BC2107" s="4"/>
      <c r="BD2107" s="4"/>
      <c r="BE2107" s="4"/>
      <c r="BF2107" s="4"/>
      <c r="BG2107" s="4"/>
      <c r="BH2107" s="4"/>
      <c r="BI2107" s="4"/>
      <c r="BJ2107" s="4"/>
      <c r="BK2107" s="4"/>
      <c r="BL2107" s="4"/>
      <c r="BM2107" s="4"/>
      <c r="BN2107" s="4"/>
      <c r="BO2107" s="4"/>
      <c r="BP2107" s="4"/>
      <c r="BQ2107" s="4"/>
      <c r="BR2107" s="4"/>
      <c r="BS2107" s="4"/>
      <c r="BT2107" s="4"/>
      <c r="BU2107" s="4"/>
    </row>
    <row r="2108" spans="29:73" s="1" customFormat="1" x14ac:dyDescent="0.25">
      <c r="AC2108" s="4"/>
      <c r="AD2108" s="4"/>
      <c r="AE2108" s="4"/>
      <c r="AF2108" s="4"/>
      <c r="AG2108" s="4"/>
      <c r="AH2108" s="4"/>
      <c r="AI2108" s="4"/>
      <c r="AJ2108" s="4"/>
      <c r="AK2108" s="4"/>
      <c r="AL2108" s="4"/>
      <c r="AM2108" s="4"/>
      <c r="AN2108" s="4"/>
      <c r="AO2108" s="4"/>
      <c r="AP2108" s="4"/>
      <c r="AQ2108" s="4"/>
      <c r="AR2108" s="4"/>
      <c r="AS2108" s="4"/>
      <c r="AT2108" s="4"/>
      <c r="AU2108" s="4"/>
      <c r="AV2108" s="4"/>
      <c r="AW2108" s="4"/>
      <c r="AX2108" s="4"/>
      <c r="AY2108" s="4"/>
      <c r="AZ2108" s="4"/>
      <c r="BA2108" s="4"/>
      <c r="BB2108" s="4"/>
      <c r="BC2108" s="4"/>
      <c r="BD2108" s="4"/>
      <c r="BE2108" s="4"/>
      <c r="BF2108" s="4"/>
      <c r="BG2108" s="4"/>
      <c r="BH2108" s="4"/>
      <c r="BI2108" s="4"/>
      <c r="BJ2108" s="4"/>
      <c r="BK2108" s="4"/>
      <c r="BL2108" s="4"/>
      <c r="BM2108" s="4"/>
      <c r="BN2108" s="4"/>
      <c r="BO2108" s="4"/>
      <c r="BP2108" s="4"/>
      <c r="BQ2108" s="4"/>
      <c r="BR2108" s="4"/>
      <c r="BS2108" s="4"/>
      <c r="BT2108" s="4"/>
      <c r="BU2108" s="4"/>
    </row>
    <row r="2109" spans="29:73" s="1" customFormat="1" x14ac:dyDescent="0.25">
      <c r="AC2109" s="4"/>
      <c r="AD2109" s="4"/>
      <c r="AE2109" s="4"/>
      <c r="AF2109" s="4"/>
      <c r="AG2109" s="4"/>
      <c r="AH2109" s="4"/>
      <c r="AI2109" s="4"/>
      <c r="AJ2109" s="4"/>
      <c r="AK2109" s="4"/>
      <c r="AL2109" s="4"/>
      <c r="AM2109" s="4"/>
      <c r="AN2109" s="4"/>
      <c r="AO2109" s="4"/>
      <c r="AP2109" s="4"/>
      <c r="AQ2109" s="4"/>
      <c r="AR2109" s="4"/>
      <c r="AS2109" s="4"/>
      <c r="AT2109" s="4"/>
      <c r="AU2109" s="4"/>
      <c r="AV2109" s="4"/>
      <c r="AW2109" s="4"/>
      <c r="AX2109" s="4"/>
      <c r="AY2109" s="4"/>
      <c r="AZ2109" s="4"/>
      <c r="BA2109" s="4"/>
      <c r="BB2109" s="4"/>
      <c r="BC2109" s="4"/>
      <c r="BD2109" s="4"/>
      <c r="BE2109" s="4"/>
      <c r="BF2109" s="4"/>
      <c r="BG2109" s="4"/>
      <c r="BH2109" s="4"/>
      <c r="BI2109" s="4"/>
      <c r="BJ2109" s="4"/>
      <c r="BK2109" s="4"/>
      <c r="BL2109" s="4"/>
      <c r="BM2109" s="4"/>
      <c r="BN2109" s="4"/>
      <c r="BO2109" s="4"/>
      <c r="BP2109" s="4"/>
      <c r="BQ2109" s="4"/>
      <c r="BR2109" s="4"/>
      <c r="BS2109" s="4"/>
      <c r="BT2109" s="4"/>
      <c r="BU2109" s="4"/>
    </row>
    <row r="2110" spans="29:73" s="1" customFormat="1" x14ac:dyDescent="0.25">
      <c r="AC2110" s="4"/>
      <c r="AD2110" s="4"/>
      <c r="AE2110" s="4"/>
      <c r="AF2110" s="4"/>
      <c r="AG2110" s="4"/>
      <c r="AH2110" s="4"/>
      <c r="AI2110" s="4"/>
      <c r="AJ2110" s="4"/>
      <c r="AK2110" s="4"/>
      <c r="AL2110" s="4"/>
      <c r="AM2110" s="4"/>
      <c r="AN2110" s="4"/>
      <c r="AO2110" s="4"/>
      <c r="AP2110" s="4"/>
      <c r="AQ2110" s="4"/>
      <c r="AR2110" s="4"/>
      <c r="AS2110" s="4"/>
      <c r="AT2110" s="4"/>
      <c r="AU2110" s="4"/>
      <c r="AV2110" s="4"/>
      <c r="AW2110" s="4"/>
      <c r="AX2110" s="4"/>
      <c r="AY2110" s="4"/>
      <c r="AZ2110" s="4"/>
      <c r="BA2110" s="4"/>
      <c r="BB2110" s="4"/>
      <c r="BC2110" s="4"/>
      <c r="BD2110" s="4"/>
      <c r="BE2110" s="4"/>
      <c r="BF2110" s="4"/>
      <c r="BG2110" s="4"/>
      <c r="BH2110" s="4"/>
      <c r="BI2110" s="4"/>
      <c r="BJ2110" s="4"/>
      <c r="BK2110" s="4"/>
      <c r="BL2110" s="4"/>
      <c r="BM2110" s="4"/>
      <c r="BN2110" s="4"/>
      <c r="BO2110" s="4"/>
      <c r="BP2110" s="4"/>
      <c r="BQ2110" s="4"/>
      <c r="BR2110" s="4"/>
      <c r="BS2110" s="4"/>
      <c r="BT2110" s="4"/>
      <c r="BU2110" s="4"/>
    </row>
    <row r="2111" spans="29:73" s="1" customFormat="1" x14ac:dyDescent="0.25">
      <c r="AC2111" s="4"/>
      <c r="AD2111" s="4"/>
      <c r="AE2111" s="4"/>
      <c r="AF2111" s="4"/>
      <c r="AG2111" s="4"/>
      <c r="AH2111" s="4"/>
      <c r="AI2111" s="4"/>
      <c r="AJ2111" s="4"/>
      <c r="AK2111" s="4"/>
      <c r="AL2111" s="4"/>
      <c r="AM2111" s="4"/>
      <c r="AN2111" s="4"/>
      <c r="AO2111" s="4"/>
      <c r="AP2111" s="4"/>
      <c r="AQ2111" s="4"/>
      <c r="AR2111" s="4"/>
      <c r="AS2111" s="4"/>
      <c r="AT2111" s="4"/>
      <c r="AU2111" s="4"/>
      <c r="AV2111" s="4"/>
      <c r="AW2111" s="4"/>
      <c r="AX2111" s="4"/>
      <c r="AY2111" s="4"/>
      <c r="AZ2111" s="4"/>
      <c r="BA2111" s="4"/>
      <c r="BB2111" s="4"/>
      <c r="BC2111" s="4"/>
      <c r="BD2111" s="4"/>
      <c r="BE2111" s="4"/>
      <c r="BF2111" s="4"/>
      <c r="BG2111" s="4"/>
      <c r="BH2111" s="4"/>
      <c r="BI2111" s="4"/>
      <c r="BJ2111" s="4"/>
      <c r="BK2111" s="4"/>
      <c r="BL2111" s="4"/>
      <c r="BM2111" s="4"/>
      <c r="BN2111" s="4"/>
      <c r="BO2111" s="4"/>
      <c r="BP2111" s="4"/>
      <c r="BQ2111" s="4"/>
      <c r="BR2111" s="4"/>
      <c r="BS2111" s="4"/>
      <c r="BT2111" s="4"/>
      <c r="BU2111" s="4"/>
    </row>
    <row r="2112" spans="29:73" s="1" customFormat="1" x14ac:dyDescent="0.25">
      <c r="AC2112" s="4"/>
      <c r="AD2112" s="4"/>
      <c r="AE2112" s="4"/>
      <c r="AF2112" s="4"/>
      <c r="AG2112" s="4"/>
      <c r="AH2112" s="4"/>
      <c r="AI2112" s="4"/>
      <c r="AJ2112" s="4"/>
      <c r="AK2112" s="4"/>
      <c r="AL2112" s="4"/>
      <c r="AM2112" s="4"/>
      <c r="AN2112" s="4"/>
      <c r="AO2112" s="4"/>
      <c r="AP2112" s="4"/>
      <c r="AQ2112" s="4"/>
      <c r="AR2112" s="4"/>
      <c r="AS2112" s="4"/>
      <c r="AT2112" s="4"/>
      <c r="AU2112" s="4"/>
      <c r="AV2112" s="4"/>
      <c r="AW2112" s="4"/>
      <c r="AX2112" s="4"/>
      <c r="AY2112" s="4"/>
      <c r="AZ2112" s="4"/>
      <c r="BA2112" s="4"/>
      <c r="BB2112" s="4"/>
      <c r="BC2112" s="4"/>
      <c r="BD2112" s="4"/>
      <c r="BE2112" s="4"/>
      <c r="BF2112" s="4"/>
      <c r="BG2112" s="4"/>
      <c r="BH2112" s="4"/>
      <c r="BI2112" s="4"/>
      <c r="BJ2112" s="4"/>
      <c r="BK2112" s="4"/>
      <c r="BL2112" s="4"/>
      <c r="BM2112" s="4"/>
      <c r="BN2112" s="4"/>
      <c r="BO2112" s="4"/>
      <c r="BP2112" s="4"/>
      <c r="BQ2112" s="4"/>
      <c r="BR2112" s="4"/>
      <c r="BS2112" s="4"/>
      <c r="BT2112" s="4"/>
      <c r="BU2112" s="4"/>
    </row>
    <row r="2113" spans="29:73" s="1" customFormat="1" x14ac:dyDescent="0.25">
      <c r="AC2113" s="4"/>
      <c r="AD2113" s="4"/>
      <c r="AE2113" s="4"/>
      <c r="AF2113" s="4"/>
      <c r="AG2113" s="4"/>
      <c r="AH2113" s="4"/>
      <c r="AI2113" s="4"/>
      <c r="AJ2113" s="4"/>
      <c r="AK2113" s="4"/>
      <c r="AL2113" s="4"/>
      <c r="AM2113" s="4"/>
      <c r="AN2113" s="4"/>
      <c r="AO2113" s="4"/>
      <c r="AP2113" s="4"/>
      <c r="AQ2113" s="4"/>
      <c r="AR2113" s="4"/>
      <c r="AS2113" s="4"/>
      <c r="AT2113" s="4"/>
      <c r="AU2113" s="4"/>
      <c r="AV2113" s="4"/>
      <c r="AW2113" s="4"/>
      <c r="AX2113" s="4"/>
      <c r="AY2113" s="4"/>
      <c r="AZ2113" s="4"/>
      <c r="BA2113" s="4"/>
      <c r="BB2113" s="4"/>
      <c r="BC2113" s="4"/>
      <c r="BD2113" s="4"/>
      <c r="BE2113" s="4"/>
      <c r="BF2113" s="4"/>
      <c r="BG2113" s="4"/>
      <c r="BH2113" s="4"/>
      <c r="BI2113" s="4"/>
      <c r="BJ2113" s="4"/>
      <c r="BK2113" s="4"/>
      <c r="BL2113" s="4"/>
      <c r="BM2113" s="4"/>
      <c r="BN2113" s="4"/>
      <c r="BO2113" s="4"/>
      <c r="BP2113" s="4"/>
      <c r="BQ2113" s="4"/>
      <c r="BR2113" s="4"/>
      <c r="BS2113" s="4"/>
      <c r="BT2113" s="4"/>
      <c r="BU2113" s="4"/>
    </row>
    <row r="2114" spans="29:73" s="1" customFormat="1" x14ac:dyDescent="0.25">
      <c r="AC2114" s="4"/>
      <c r="AD2114" s="4"/>
      <c r="AE2114" s="4"/>
      <c r="AF2114" s="4"/>
      <c r="AG2114" s="4"/>
      <c r="AH2114" s="4"/>
      <c r="AI2114" s="4"/>
      <c r="AJ2114" s="4"/>
      <c r="AK2114" s="4"/>
      <c r="AL2114" s="4"/>
      <c r="AM2114" s="4"/>
      <c r="AN2114" s="4"/>
      <c r="AO2114" s="4"/>
      <c r="AP2114" s="4"/>
      <c r="AQ2114" s="4"/>
      <c r="AR2114" s="4"/>
      <c r="AS2114" s="4"/>
      <c r="AT2114" s="4"/>
      <c r="AU2114" s="4"/>
      <c r="AV2114" s="4"/>
      <c r="AW2114" s="4"/>
      <c r="AX2114" s="4"/>
      <c r="AY2114" s="4"/>
      <c r="AZ2114" s="4"/>
      <c r="BA2114" s="4"/>
      <c r="BB2114" s="4"/>
      <c r="BC2114" s="4"/>
      <c r="BD2114" s="4"/>
      <c r="BE2114" s="4"/>
      <c r="BF2114" s="4"/>
      <c r="BG2114" s="4"/>
      <c r="BH2114" s="4"/>
      <c r="BI2114" s="4"/>
      <c r="BJ2114" s="4"/>
      <c r="BK2114" s="4"/>
      <c r="BL2114" s="4"/>
      <c r="BM2114" s="4"/>
      <c r="BN2114" s="4"/>
      <c r="BO2114" s="4"/>
      <c r="BP2114" s="4"/>
      <c r="BQ2114" s="4"/>
      <c r="BR2114" s="4"/>
      <c r="BS2114" s="4"/>
      <c r="BT2114" s="4"/>
      <c r="BU2114" s="4"/>
    </row>
    <row r="2115" spans="29:73" s="1" customFormat="1" x14ac:dyDescent="0.25">
      <c r="AC2115" s="4"/>
      <c r="AD2115" s="4"/>
      <c r="AE2115" s="4"/>
      <c r="AF2115" s="4"/>
      <c r="AG2115" s="4"/>
      <c r="AH2115" s="4"/>
      <c r="AI2115" s="4"/>
      <c r="AJ2115" s="4"/>
      <c r="AK2115" s="4"/>
      <c r="AL2115" s="4"/>
      <c r="AM2115" s="4"/>
      <c r="AN2115" s="4"/>
      <c r="AO2115" s="4"/>
      <c r="AP2115" s="4"/>
      <c r="AQ2115" s="4"/>
      <c r="AR2115" s="4"/>
      <c r="AS2115" s="4"/>
      <c r="AT2115" s="4"/>
      <c r="AU2115" s="4"/>
      <c r="AV2115" s="4"/>
      <c r="AW2115" s="4"/>
      <c r="AX2115" s="4"/>
      <c r="AY2115" s="4"/>
      <c r="AZ2115" s="4"/>
      <c r="BA2115" s="4"/>
      <c r="BB2115" s="4"/>
      <c r="BC2115" s="4"/>
      <c r="BD2115" s="4"/>
      <c r="BE2115" s="4"/>
      <c r="BF2115" s="4"/>
      <c r="BG2115" s="4"/>
      <c r="BH2115" s="4"/>
      <c r="BI2115" s="4"/>
      <c r="BJ2115" s="4"/>
      <c r="BK2115" s="4"/>
      <c r="BL2115" s="4"/>
      <c r="BM2115" s="4"/>
      <c r="BN2115" s="4"/>
      <c r="BO2115" s="4"/>
      <c r="BP2115" s="4"/>
      <c r="BQ2115" s="4"/>
      <c r="BR2115" s="4"/>
      <c r="BS2115" s="4"/>
      <c r="BT2115" s="4"/>
      <c r="BU2115" s="4"/>
    </row>
    <row r="2116" spans="29:73" s="1" customFormat="1" x14ac:dyDescent="0.25">
      <c r="AC2116" s="4"/>
      <c r="AD2116" s="4"/>
      <c r="AE2116" s="4"/>
      <c r="AF2116" s="4"/>
      <c r="AG2116" s="4"/>
      <c r="AH2116" s="4"/>
      <c r="AI2116" s="4"/>
      <c r="AJ2116" s="4"/>
      <c r="AK2116" s="4"/>
      <c r="AL2116" s="4"/>
      <c r="AM2116" s="4"/>
      <c r="AN2116" s="4"/>
      <c r="AO2116" s="4"/>
      <c r="AP2116" s="4"/>
      <c r="AQ2116" s="4"/>
      <c r="AR2116" s="4"/>
      <c r="AS2116" s="4"/>
      <c r="AT2116" s="4"/>
      <c r="AU2116" s="4"/>
      <c r="AV2116" s="4"/>
      <c r="AW2116" s="4"/>
      <c r="AX2116" s="4"/>
      <c r="AY2116" s="4"/>
      <c r="AZ2116" s="4"/>
      <c r="BA2116" s="4"/>
      <c r="BB2116" s="4"/>
      <c r="BC2116" s="4"/>
      <c r="BD2116" s="4"/>
      <c r="BE2116" s="4"/>
      <c r="BF2116" s="4"/>
      <c r="BG2116" s="4"/>
      <c r="BH2116" s="4"/>
      <c r="BI2116" s="4"/>
      <c r="BJ2116" s="4"/>
      <c r="BK2116" s="4"/>
      <c r="BL2116" s="4"/>
      <c r="BM2116" s="4"/>
      <c r="BN2116" s="4"/>
      <c r="BO2116" s="4"/>
      <c r="BP2116" s="4"/>
      <c r="BQ2116" s="4"/>
      <c r="BR2116" s="4"/>
      <c r="BS2116" s="4"/>
      <c r="BT2116" s="4"/>
      <c r="BU2116" s="4"/>
    </row>
    <row r="2117" spans="29:73" s="1" customFormat="1" x14ac:dyDescent="0.25">
      <c r="AC2117" s="4"/>
      <c r="AD2117" s="4"/>
      <c r="AE2117" s="4"/>
      <c r="AF2117" s="4"/>
      <c r="AG2117" s="4"/>
      <c r="AH2117" s="4"/>
      <c r="AI2117" s="4"/>
      <c r="AJ2117" s="4"/>
      <c r="AK2117" s="4"/>
      <c r="AL2117" s="4"/>
      <c r="AM2117" s="4"/>
      <c r="AN2117" s="4"/>
      <c r="AO2117" s="4"/>
      <c r="AP2117" s="4"/>
      <c r="AQ2117" s="4"/>
      <c r="AR2117" s="4"/>
      <c r="AS2117" s="4"/>
      <c r="AT2117" s="4"/>
      <c r="AU2117" s="4"/>
      <c r="AV2117" s="4"/>
      <c r="AW2117" s="4"/>
      <c r="AX2117" s="4"/>
      <c r="AY2117" s="4"/>
      <c r="AZ2117" s="4"/>
      <c r="BA2117" s="4"/>
      <c r="BB2117" s="4"/>
      <c r="BC2117" s="4"/>
      <c r="BD2117" s="4"/>
      <c r="BE2117" s="4"/>
      <c r="BF2117" s="4"/>
      <c r="BG2117" s="4"/>
      <c r="BH2117" s="4"/>
      <c r="BI2117" s="4"/>
      <c r="BJ2117" s="4"/>
      <c r="BK2117" s="4"/>
      <c r="BL2117" s="4"/>
      <c r="BM2117" s="4"/>
      <c r="BN2117" s="4"/>
      <c r="BO2117" s="4"/>
      <c r="BP2117" s="4"/>
      <c r="BQ2117" s="4"/>
      <c r="BR2117" s="4"/>
      <c r="BS2117" s="4"/>
      <c r="BT2117" s="4"/>
      <c r="BU2117" s="4"/>
    </row>
    <row r="2118" spans="29:73" s="1" customFormat="1" x14ac:dyDescent="0.25">
      <c r="AC2118" s="4"/>
      <c r="AD2118" s="4"/>
      <c r="AE2118" s="4"/>
      <c r="AF2118" s="4"/>
      <c r="AG2118" s="4"/>
      <c r="AH2118" s="4"/>
      <c r="AI2118" s="4"/>
      <c r="AJ2118" s="4"/>
      <c r="AK2118" s="4"/>
      <c r="AL2118" s="4"/>
      <c r="AM2118" s="4"/>
      <c r="AN2118" s="4"/>
      <c r="AO2118" s="4"/>
      <c r="AP2118" s="4"/>
      <c r="AQ2118" s="4"/>
      <c r="AR2118" s="4"/>
      <c r="AS2118" s="4"/>
      <c r="AT2118" s="4"/>
      <c r="AU2118" s="4"/>
      <c r="AV2118" s="4"/>
      <c r="AW2118" s="4"/>
      <c r="AX2118" s="4"/>
      <c r="AY2118" s="4"/>
      <c r="AZ2118" s="4"/>
      <c r="BA2118" s="4"/>
      <c r="BB2118" s="4"/>
      <c r="BC2118" s="4"/>
      <c r="BD2118" s="4"/>
      <c r="BE2118" s="4"/>
      <c r="BF2118" s="4"/>
      <c r="BG2118" s="4"/>
      <c r="BH2118" s="4"/>
      <c r="BI2118" s="4"/>
      <c r="BJ2118" s="4"/>
      <c r="BK2118" s="4"/>
      <c r="BL2118" s="4"/>
      <c r="BM2118" s="4"/>
      <c r="BN2118" s="4"/>
      <c r="BO2118" s="4"/>
      <c r="BP2118" s="4"/>
      <c r="BQ2118" s="4"/>
      <c r="BR2118" s="4"/>
      <c r="BS2118" s="4"/>
      <c r="BT2118" s="4"/>
      <c r="BU2118" s="4"/>
    </row>
    <row r="2119" spans="29:73" s="1" customFormat="1" x14ac:dyDescent="0.25">
      <c r="AC2119" s="4"/>
      <c r="AD2119" s="4"/>
      <c r="AE2119" s="4"/>
      <c r="AF2119" s="4"/>
      <c r="AG2119" s="4"/>
      <c r="AH2119" s="4"/>
      <c r="AI2119" s="4"/>
      <c r="AJ2119" s="4"/>
      <c r="AK2119" s="4"/>
      <c r="AL2119" s="4"/>
      <c r="AM2119" s="4"/>
      <c r="AN2119" s="4"/>
      <c r="AO2119" s="4"/>
      <c r="AP2119" s="4"/>
      <c r="AQ2119" s="4"/>
      <c r="AR2119" s="4"/>
      <c r="AS2119" s="4"/>
      <c r="AT2119" s="4"/>
      <c r="AU2119" s="4"/>
      <c r="AV2119" s="4"/>
      <c r="AW2119" s="4"/>
      <c r="AX2119" s="4"/>
      <c r="AY2119" s="4"/>
      <c r="AZ2119" s="4"/>
      <c r="BA2119" s="4"/>
      <c r="BB2119" s="4"/>
      <c r="BC2119" s="4"/>
      <c r="BD2119" s="4"/>
      <c r="BE2119" s="4"/>
      <c r="BF2119" s="4"/>
      <c r="BG2119" s="4"/>
      <c r="BH2119" s="4"/>
      <c r="BI2119" s="4"/>
      <c r="BJ2119" s="4"/>
      <c r="BK2119" s="4"/>
      <c r="BL2119" s="4"/>
      <c r="BM2119" s="4"/>
      <c r="BN2119" s="4"/>
      <c r="BO2119" s="4"/>
      <c r="BP2119" s="4"/>
      <c r="BQ2119" s="4"/>
      <c r="BR2119" s="4"/>
      <c r="BS2119" s="4"/>
      <c r="BT2119" s="4"/>
      <c r="BU2119" s="4"/>
    </row>
    <row r="2120" spans="29:73" s="1" customFormat="1" x14ac:dyDescent="0.25">
      <c r="AC2120" s="4"/>
      <c r="AD2120" s="4"/>
      <c r="AE2120" s="4"/>
      <c r="AF2120" s="4"/>
      <c r="AG2120" s="4"/>
      <c r="AH2120" s="4"/>
      <c r="AI2120" s="4"/>
      <c r="AJ2120" s="4"/>
      <c r="AK2120" s="4"/>
      <c r="AL2120" s="4"/>
      <c r="AM2120" s="4"/>
      <c r="AN2120" s="4"/>
      <c r="AO2120" s="4"/>
      <c r="AP2120" s="4"/>
      <c r="AQ2120" s="4"/>
      <c r="AR2120" s="4"/>
      <c r="AS2120" s="4"/>
      <c r="AT2120" s="4"/>
      <c r="AU2120" s="4"/>
      <c r="AV2120" s="4"/>
      <c r="AW2120" s="4"/>
      <c r="AX2120" s="4"/>
      <c r="AY2120" s="4"/>
      <c r="AZ2120" s="4"/>
      <c r="BA2120" s="4"/>
      <c r="BB2120" s="4"/>
      <c r="BC2120" s="4"/>
      <c r="BD2120" s="4"/>
      <c r="BE2120" s="4"/>
      <c r="BF2120" s="4"/>
      <c r="BG2120" s="4"/>
      <c r="BH2120" s="4"/>
      <c r="BI2120" s="4"/>
      <c r="BJ2120" s="4"/>
      <c r="BK2120" s="4"/>
      <c r="BL2120" s="4"/>
      <c r="BM2120" s="4"/>
      <c r="BN2120" s="4"/>
      <c r="BO2120" s="4"/>
      <c r="BP2120" s="4"/>
      <c r="BQ2120" s="4"/>
      <c r="BR2120" s="4"/>
      <c r="BS2120" s="4"/>
      <c r="BT2120" s="4"/>
      <c r="BU2120" s="4"/>
    </row>
    <row r="2121" spans="29:73" s="1" customFormat="1" x14ac:dyDescent="0.25">
      <c r="AC2121" s="4"/>
      <c r="AD2121" s="4"/>
      <c r="AE2121" s="4"/>
      <c r="AF2121" s="4"/>
      <c r="AG2121" s="4"/>
      <c r="AH2121" s="4"/>
      <c r="AI2121" s="4"/>
      <c r="AJ2121" s="4"/>
      <c r="AK2121" s="4"/>
      <c r="AL2121" s="4"/>
      <c r="AM2121" s="4"/>
      <c r="AN2121" s="4"/>
      <c r="AO2121" s="4"/>
      <c r="AP2121" s="4"/>
      <c r="AQ2121" s="4"/>
      <c r="AR2121" s="4"/>
      <c r="AS2121" s="4"/>
      <c r="AT2121" s="4"/>
      <c r="AU2121" s="4"/>
      <c r="AV2121" s="4"/>
      <c r="AW2121" s="4"/>
      <c r="AX2121" s="4"/>
      <c r="AY2121" s="4"/>
      <c r="AZ2121" s="4"/>
      <c r="BA2121" s="4"/>
      <c r="BB2121" s="4"/>
      <c r="BC2121" s="4"/>
      <c r="BD2121" s="4"/>
      <c r="BE2121" s="4"/>
      <c r="BF2121" s="4"/>
      <c r="BG2121" s="4"/>
      <c r="BH2121" s="4"/>
      <c r="BI2121" s="4"/>
      <c r="BJ2121" s="4"/>
      <c r="BK2121" s="4"/>
      <c r="BL2121" s="4"/>
      <c r="BM2121" s="4"/>
      <c r="BN2121" s="4"/>
      <c r="BO2121" s="4"/>
      <c r="BP2121" s="4"/>
      <c r="BQ2121" s="4"/>
      <c r="BR2121" s="4"/>
      <c r="BS2121" s="4"/>
      <c r="BT2121" s="4"/>
      <c r="BU2121" s="4"/>
    </row>
    <row r="2122" spans="29:73" s="1" customFormat="1" x14ac:dyDescent="0.25">
      <c r="AC2122" s="4"/>
      <c r="AD2122" s="4"/>
      <c r="AE2122" s="4"/>
      <c r="AF2122" s="4"/>
      <c r="AG2122" s="4"/>
      <c r="AH2122" s="4"/>
      <c r="AI2122" s="4"/>
      <c r="AJ2122" s="4"/>
      <c r="AK2122" s="4"/>
      <c r="AL2122" s="4"/>
      <c r="AM2122" s="4"/>
      <c r="AN2122" s="4"/>
      <c r="AO2122" s="4"/>
      <c r="AP2122" s="4"/>
      <c r="AQ2122" s="4"/>
      <c r="AR2122" s="4"/>
      <c r="AS2122" s="4"/>
      <c r="AT2122" s="4"/>
      <c r="AU2122" s="4"/>
      <c r="AV2122" s="4"/>
      <c r="AW2122" s="4"/>
      <c r="AX2122" s="4"/>
      <c r="AY2122" s="4"/>
      <c r="AZ2122" s="4"/>
      <c r="BA2122" s="4"/>
      <c r="BB2122" s="4"/>
      <c r="BC2122" s="4"/>
      <c r="BD2122" s="4"/>
      <c r="BE2122" s="4"/>
      <c r="BF2122" s="4"/>
      <c r="BG2122" s="4"/>
      <c r="BH2122" s="4"/>
      <c r="BI2122" s="4"/>
      <c r="BJ2122" s="4"/>
      <c r="BK2122" s="4"/>
      <c r="BL2122" s="4"/>
      <c r="BM2122" s="4"/>
      <c r="BN2122" s="4"/>
      <c r="BO2122" s="4"/>
      <c r="BP2122" s="4"/>
      <c r="BQ2122" s="4"/>
      <c r="BR2122" s="4"/>
      <c r="BS2122" s="4"/>
      <c r="BT2122" s="4"/>
      <c r="BU2122" s="4"/>
    </row>
    <row r="2123" spans="29:73" s="1" customFormat="1" x14ac:dyDescent="0.25">
      <c r="AC2123" s="4"/>
      <c r="AD2123" s="4"/>
      <c r="AE2123" s="4"/>
      <c r="AF2123" s="4"/>
      <c r="AG2123" s="4"/>
      <c r="AH2123" s="4"/>
      <c r="AI2123" s="4"/>
      <c r="AJ2123" s="4"/>
      <c r="AK2123" s="4"/>
      <c r="AL2123" s="4"/>
      <c r="AM2123" s="4"/>
      <c r="AN2123" s="4"/>
      <c r="AO2123" s="4"/>
      <c r="AP2123" s="4"/>
      <c r="AQ2123" s="4"/>
      <c r="AR2123" s="4"/>
      <c r="AS2123" s="4"/>
      <c r="AT2123" s="4"/>
      <c r="AU2123" s="4"/>
      <c r="AV2123" s="4"/>
      <c r="AW2123" s="4"/>
      <c r="AX2123" s="4"/>
      <c r="AY2123" s="4"/>
      <c r="AZ2123" s="4"/>
      <c r="BA2123" s="4"/>
      <c r="BB2123" s="4"/>
      <c r="BC2123" s="4"/>
      <c r="BD2123" s="4"/>
      <c r="BE2123" s="4"/>
      <c r="BF2123" s="4"/>
      <c r="BG2123" s="4"/>
      <c r="BH2123" s="4"/>
      <c r="BI2123" s="4"/>
      <c r="BJ2123" s="4"/>
      <c r="BK2123" s="4"/>
      <c r="BL2123" s="4"/>
      <c r="BM2123" s="4"/>
      <c r="BN2123" s="4"/>
      <c r="BO2123" s="4"/>
      <c r="BP2123" s="4"/>
      <c r="BQ2123" s="4"/>
      <c r="BR2123" s="4"/>
      <c r="BS2123" s="4"/>
      <c r="BT2123" s="4"/>
      <c r="BU2123" s="4"/>
    </row>
    <row r="2124" spans="29:73" s="1" customFormat="1" x14ac:dyDescent="0.25">
      <c r="AC2124" s="4"/>
      <c r="AD2124" s="4"/>
      <c r="AE2124" s="4"/>
      <c r="AF2124" s="4"/>
      <c r="AG2124" s="4"/>
      <c r="AH2124" s="4"/>
      <c r="AI2124" s="4"/>
      <c r="AJ2124" s="4"/>
      <c r="AK2124" s="4"/>
      <c r="AL2124" s="4"/>
      <c r="AM2124" s="4"/>
      <c r="AN2124" s="4"/>
      <c r="AO2124" s="4"/>
      <c r="AP2124" s="4"/>
      <c r="AQ2124" s="4"/>
      <c r="AR2124" s="4"/>
      <c r="AS2124" s="4"/>
      <c r="AT2124" s="4"/>
      <c r="AU2124" s="4"/>
      <c r="AV2124" s="4"/>
      <c r="AW2124" s="4"/>
      <c r="AX2124" s="4"/>
      <c r="AY2124" s="4"/>
      <c r="AZ2124" s="4"/>
      <c r="BA2124" s="4"/>
      <c r="BB2124" s="4"/>
      <c r="BC2124" s="4"/>
      <c r="BD2124" s="4"/>
      <c r="BE2124" s="4"/>
      <c r="BF2124" s="4"/>
      <c r="BG2124" s="4"/>
      <c r="BH2124" s="4"/>
      <c r="BI2124" s="4"/>
      <c r="BJ2124" s="4"/>
      <c r="BK2124" s="4"/>
      <c r="BL2124" s="4"/>
      <c r="BM2124" s="4"/>
      <c r="BN2124" s="4"/>
      <c r="BO2124" s="4"/>
      <c r="BP2124" s="4"/>
      <c r="BQ2124" s="4"/>
      <c r="BR2124" s="4"/>
      <c r="BS2124" s="4"/>
      <c r="BT2124" s="4"/>
      <c r="BU2124" s="4"/>
    </row>
    <row r="2125" spans="29:73" s="1" customFormat="1" x14ac:dyDescent="0.25">
      <c r="AC2125" s="4"/>
      <c r="AD2125" s="4"/>
      <c r="AE2125" s="4"/>
      <c r="AF2125" s="4"/>
      <c r="AG2125" s="4"/>
      <c r="AH2125" s="4"/>
      <c r="AI2125" s="4"/>
      <c r="AJ2125" s="4"/>
      <c r="AK2125" s="4"/>
      <c r="AL2125" s="4"/>
      <c r="AM2125" s="4"/>
      <c r="AN2125" s="4"/>
      <c r="AO2125" s="4"/>
      <c r="AP2125" s="4"/>
      <c r="AQ2125" s="4"/>
      <c r="AR2125" s="4"/>
      <c r="AS2125" s="4"/>
      <c r="AT2125" s="4"/>
      <c r="AU2125" s="4"/>
      <c r="AV2125" s="4"/>
      <c r="AW2125" s="4"/>
      <c r="AX2125" s="4"/>
      <c r="AY2125" s="4"/>
      <c r="AZ2125" s="4"/>
      <c r="BA2125" s="4"/>
      <c r="BB2125" s="4"/>
      <c r="BC2125" s="4"/>
      <c r="BD2125" s="4"/>
      <c r="BE2125" s="4"/>
      <c r="BF2125" s="4"/>
      <c r="BG2125" s="4"/>
      <c r="BH2125" s="4"/>
      <c r="BI2125" s="4"/>
      <c r="BJ2125" s="4"/>
      <c r="BK2125" s="4"/>
      <c r="BL2125" s="4"/>
      <c r="BM2125" s="4"/>
      <c r="BN2125" s="4"/>
      <c r="BO2125" s="4"/>
      <c r="BP2125" s="4"/>
      <c r="BQ2125" s="4"/>
      <c r="BR2125" s="4"/>
      <c r="BS2125" s="4"/>
      <c r="BT2125" s="4"/>
      <c r="BU2125" s="4"/>
    </row>
    <row r="2126" spans="29:73" s="1" customFormat="1" x14ac:dyDescent="0.25">
      <c r="AC2126" s="4"/>
      <c r="AD2126" s="4"/>
      <c r="AE2126" s="4"/>
      <c r="AF2126" s="4"/>
      <c r="AG2126" s="4"/>
      <c r="AH2126" s="4"/>
      <c r="AI2126" s="4"/>
      <c r="AJ2126" s="4"/>
      <c r="AK2126" s="4"/>
      <c r="AL2126" s="4"/>
      <c r="AM2126" s="4"/>
      <c r="AN2126" s="4"/>
      <c r="AO2126" s="4"/>
      <c r="AP2126" s="4"/>
      <c r="AQ2126" s="4"/>
      <c r="AR2126" s="4"/>
      <c r="AS2126" s="4"/>
      <c r="AT2126" s="4"/>
      <c r="AU2126" s="4"/>
      <c r="AV2126" s="4"/>
      <c r="AW2126" s="4"/>
      <c r="AX2126" s="4"/>
      <c r="AY2126" s="4"/>
      <c r="AZ2126" s="4"/>
      <c r="BA2126" s="4"/>
      <c r="BB2126" s="4"/>
      <c r="BC2126" s="4"/>
      <c r="BD2126" s="4"/>
      <c r="BE2126" s="4"/>
      <c r="BF2126" s="4"/>
      <c r="BG2126" s="4"/>
      <c r="BH2126" s="4"/>
      <c r="BI2126" s="4"/>
      <c r="BJ2126" s="4"/>
      <c r="BK2126" s="4"/>
      <c r="BL2126" s="4"/>
      <c r="BM2126" s="4"/>
      <c r="BN2126" s="4"/>
      <c r="BO2126" s="4"/>
      <c r="BP2126" s="4"/>
      <c r="BQ2126" s="4"/>
      <c r="BR2126" s="4"/>
      <c r="BS2126" s="4"/>
      <c r="BT2126" s="4"/>
      <c r="BU2126" s="4"/>
    </row>
    <row r="2127" spans="29:73" s="1" customFormat="1" x14ac:dyDescent="0.25">
      <c r="AC2127" s="4"/>
      <c r="AD2127" s="4"/>
      <c r="AE2127" s="4"/>
      <c r="AF2127" s="4"/>
      <c r="AG2127" s="4"/>
      <c r="AH2127" s="4"/>
      <c r="AI2127" s="4"/>
      <c r="AJ2127" s="4"/>
      <c r="AK2127" s="4"/>
      <c r="AL2127" s="4"/>
      <c r="AM2127" s="4"/>
      <c r="AN2127" s="4"/>
      <c r="AO2127" s="4"/>
      <c r="AP2127" s="4"/>
      <c r="AQ2127" s="4"/>
      <c r="AR2127" s="4"/>
      <c r="AS2127" s="4"/>
      <c r="AT2127" s="4"/>
      <c r="AU2127" s="4"/>
      <c r="AV2127" s="4"/>
      <c r="AW2127" s="4"/>
      <c r="AX2127" s="4"/>
      <c r="AY2127" s="4"/>
      <c r="AZ2127" s="4"/>
      <c r="BA2127" s="4"/>
      <c r="BB2127" s="4"/>
      <c r="BC2127" s="4"/>
      <c r="BD2127" s="4"/>
      <c r="BE2127" s="4"/>
      <c r="BF2127" s="4"/>
      <c r="BG2127" s="4"/>
      <c r="BH2127" s="4"/>
      <c r="BI2127" s="4"/>
      <c r="BJ2127" s="4"/>
      <c r="BK2127" s="4"/>
      <c r="BL2127" s="4"/>
      <c r="BM2127" s="4"/>
      <c r="BN2127" s="4"/>
      <c r="BO2127" s="4"/>
      <c r="BP2127" s="4"/>
      <c r="BQ2127" s="4"/>
      <c r="BR2127" s="4"/>
      <c r="BS2127" s="4"/>
      <c r="BT2127" s="4"/>
      <c r="BU2127" s="4"/>
    </row>
    <row r="2128" spans="29:73" s="1" customFormat="1" x14ac:dyDescent="0.25">
      <c r="AC2128" s="4"/>
      <c r="AD2128" s="4"/>
      <c r="AE2128" s="4"/>
      <c r="AF2128" s="4"/>
      <c r="AG2128" s="4"/>
      <c r="AH2128" s="4"/>
      <c r="AI2128" s="4"/>
      <c r="AJ2128" s="4"/>
      <c r="AK2128" s="4"/>
      <c r="AL2128" s="4"/>
      <c r="AM2128" s="4"/>
      <c r="AN2128" s="4"/>
      <c r="AO2128" s="4"/>
      <c r="AP2128" s="4"/>
      <c r="AQ2128" s="4"/>
      <c r="AR2128" s="4"/>
      <c r="AS2128" s="4"/>
      <c r="AT2128" s="4"/>
      <c r="AU2128" s="4"/>
      <c r="AV2128" s="4"/>
      <c r="AW2128" s="4"/>
      <c r="AX2128" s="4"/>
      <c r="AY2128" s="4"/>
      <c r="AZ2128" s="4"/>
      <c r="BA2128" s="4"/>
      <c r="BB2128" s="4"/>
      <c r="BC2128" s="4"/>
      <c r="BD2128" s="4"/>
      <c r="BE2128" s="4"/>
      <c r="BF2128" s="4"/>
      <c r="BG2128" s="4"/>
      <c r="BH2128" s="4"/>
      <c r="BI2128" s="4"/>
      <c r="BJ2128" s="4"/>
      <c r="BK2128" s="4"/>
      <c r="BL2128" s="4"/>
      <c r="BM2128" s="4"/>
      <c r="BN2128" s="4"/>
      <c r="BO2128" s="4"/>
      <c r="BP2128" s="4"/>
      <c r="BQ2128" s="4"/>
      <c r="BR2128" s="4"/>
      <c r="BS2128" s="4"/>
      <c r="BT2128" s="4"/>
      <c r="BU2128" s="4"/>
    </row>
    <row r="2129" spans="29:73" s="1" customFormat="1" x14ac:dyDescent="0.25">
      <c r="AC2129" s="4"/>
      <c r="AD2129" s="4"/>
      <c r="AE2129" s="4"/>
      <c r="AF2129" s="4"/>
      <c r="AG2129" s="4"/>
      <c r="AH2129" s="4"/>
      <c r="AI2129" s="4"/>
      <c r="AJ2129" s="4"/>
      <c r="AK2129" s="4"/>
      <c r="AL2129" s="4"/>
      <c r="AM2129" s="4"/>
      <c r="AN2129" s="4"/>
      <c r="AO2129" s="4"/>
      <c r="AP2129" s="4"/>
      <c r="AQ2129" s="4"/>
      <c r="AR2129" s="4"/>
      <c r="AS2129" s="4"/>
      <c r="AT2129" s="4"/>
      <c r="AU2129" s="4"/>
      <c r="AV2129" s="4"/>
      <c r="AW2129" s="4"/>
      <c r="AX2129" s="4"/>
      <c r="AY2129" s="4"/>
      <c r="AZ2129" s="4"/>
      <c r="BA2129" s="4"/>
      <c r="BB2129" s="4"/>
      <c r="BC2129" s="4"/>
      <c r="BD2129" s="4"/>
      <c r="BE2129" s="4"/>
      <c r="BF2129" s="4"/>
      <c r="BG2129" s="4"/>
      <c r="BH2129" s="4"/>
      <c r="BI2129" s="4"/>
      <c r="BJ2129" s="4"/>
      <c r="BK2129" s="4"/>
      <c r="BL2129" s="4"/>
      <c r="BM2129" s="4"/>
      <c r="BN2129" s="4"/>
      <c r="BO2129" s="4"/>
      <c r="BP2129" s="4"/>
      <c r="BQ2129" s="4"/>
      <c r="BR2129" s="4"/>
      <c r="BS2129" s="4"/>
      <c r="BT2129" s="4"/>
      <c r="BU2129" s="4"/>
    </row>
    <row r="2130" spans="29:73" s="1" customFormat="1" x14ac:dyDescent="0.25">
      <c r="AC2130" s="4"/>
      <c r="AD2130" s="4"/>
      <c r="AE2130" s="4"/>
      <c r="AF2130" s="4"/>
      <c r="AG2130" s="4"/>
      <c r="AH2130" s="4"/>
      <c r="AI2130" s="4"/>
      <c r="AJ2130" s="4"/>
      <c r="AK2130" s="4"/>
      <c r="AL2130" s="4"/>
      <c r="AM2130" s="4"/>
      <c r="AN2130" s="4"/>
      <c r="AO2130" s="4"/>
      <c r="AP2130" s="4"/>
      <c r="AQ2130" s="4"/>
      <c r="AR2130" s="4"/>
      <c r="AS2130" s="4"/>
      <c r="AT2130" s="4"/>
      <c r="AU2130" s="4"/>
      <c r="AV2130" s="4"/>
      <c r="AW2130" s="4"/>
      <c r="AX2130" s="4"/>
      <c r="AY2130" s="4"/>
      <c r="AZ2130" s="4"/>
      <c r="BA2130" s="4"/>
      <c r="BB2130" s="4"/>
      <c r="BC2130" s="4"/>
      <c r="BD2130" s="4"/>
      <c r="BE2130" s="4"/>
      <c r="BF2130" s="4"/>
      <c r="BG2130" s="4"/>
      <c r="BH2130" s="4"/>
      <c r="BI2130" s="4"/>
      <c r="BJ2130" s="4"/>
      <c r="BK2130" s="4"/>
      <c r="BL2130" s="4"/>
      <c r="BM2130" s="4"/>
      <c r="BN2130" s="4"/>
      <c r="BO2130" s="4"/>
      <c r="BP2130" s="4"/>
      <c r="BQ2130" s="4"/>
      <c r="BR2130" s="4"/>
      <c r="BS2130" s="4"/>
      <c r="BT2130" s="4"/>
      <c r="BU2130" s="4"/>
    </row>
    <row r="2131" spans="29:73" s="1" customFormat="1" x14ac:dyDescent="0.25">
      <c r="AC2131" s="4"/>
      <c r="AD2131" s="4"/>
      <c r="AE2131" s="4"/>
      <c r="AF2131" s="4"/>
      <c r="AG2131" s="4"/>
      <c r="AH2131" s="4"/>
      <c r="AI2131" s="4"/>
      <c r="AJ2131" s="4"/>
      <c r="AK2131" s="4"/>
      <c r="AL2131" s="4"/>
      <c r="AM2131" s="4"/>
      <c r="AN2131" s="4"/>
      <c r="AO2131" s="4"/>
      <c r="AP2131" s="4"/>
      <c r="AQ2131" s="4"/>
      <c r="AR2131" s="4"/>
      <c r="AS2131" s="4"/>
      <c r="AT2131" s="4"/>
      <c r="AU2131" s="4"/>
      <c r="AV2131" s="4"/>
      <c r="AW2131" s="4"/>
      <c r="AX2131" s="4"/>
      <c r="AY2131" s="4"/>
      <c r="AZ2131" s="4"/>
      <c r="BA2131" s="4"/>
      <c r="BB2131" s="4"/>
      <c r="BC2131" s="4"/>
      <c r="BD2131" s="4"/>
      <c r="BE2131" s="4"/>
      <c r="BF2131" s="4"/>
      <c r="BG2131" s="4"/>
      <c r="BH2131" s="4"/>
      <c r="BI2131" s="4"/>
      <c r="BJ2131" s="4"/>
      <c r="BK2131" s="4"/>
      <c r="BL2131" s="4"/>
      <c r="BM2131" s="4"/>
      <c r="BN2131" s="4"/>
      <c r="BO2131" s="4"/>
      <c r="BP2131" s="4"/>
      <c r="BQ2131" s="4"/>
      <c r="BR2131" s="4"/>
      <c r="BS2131" s="4"/>
      <c r="BT2131" s="4"/>
      <c r="BU2131" s="4"/>
    </row>
    <row r="2132" spans="29:73" s="1" customFormat="1" x14ac:dyDescent="0.25">
      <c r="AC2132" s="4"/>
      <c r="AD2132" s="4"/>
      <c r="AE2132" s="4"/>
      <c r="AF2132" s="4"/>
      <c r="AG2132" s="4"/>
      <c r="AH2132" s="4"/>
      <c r="AI2132" s="4"/>
      <c r="AJ2132" s="4"/>
      <c r="AK2132" s="4"/>
      <c r="AL2132" s="4"/>
      <c r="AM2132" s="4"/>
      <c r="AN2132" s="4"/>
      <c r="AO2132" s="4"/>
      <c r="AP2132" s="4"/>
      <c r="AQ2132" s="4"/>
      <c r="AR2132" s="4"/>
      <c r="AS2132" s="4"/>
      <c r="AT2132" s="4"/>
      <c r="AU2132" s="4"/>
      <c r="AV2132" s="4"/>
      <c r="AW2132" s="4"/>
      <c r="AX2132" s="4"/>
      <c r="AY2132" s="4"/>
      <c r="AZ2132" s="4"/>
      <c r="BA2132" s="4"/>
      <c r="BB2132" s="4"/>
      <c r="BC2132" s="4"/>
      <c r="BD2132" s="4"/>
      <c r="BE2132" s="4"/>
      <c r="BF2132" s="4"/>
      <c r="BG2132" s="4"/>
      <c r="BH2132" s="4"/>
      <c r="BI2132" s="4"/>
      <c r="BJ2132" s="4"/>
      <c r="BK2132" s="4"/>
      <c r="BL2132" s="4"/>
      <c r="BM2132" s="4"/>
      <c r="BN2132" s="4"/>
      <c r="BO2132" s="4"/>
      <c r="BP2132" s="4"/>
      <c r="BQ2132" s="4"/>
      <c r="BR2132" s="4"/>
      <c r="BS2132" s="4"/>
      <c r="BT2132" s="4"/>
      <c r="BU2132" s="4"/>
    </row>
    <row r="2133" spans="29:73" s="1" customFormat="1" x14ac:dyDescent="0.25">
      <c r="AC2133" s="4"/>
      <c r="AD2133" s="4"/>
      <c r="AE2133" s="4"/>
      <c r="AF2133" s="4"/>
      <c r="AG2133" s="4"/>
      <c r="AH2133" s="4"/>
      <c r="AI2133" s="4"/>
      <c r="AJ2133" s="4"/>
      <c r="AK2133" s="4"/>
      <c r="AL2133" s="4"/>
      <c r="AM2133" s="4"/>
      <c r="AN2133" s="4"/>
      <c r="AO2133" s="4"/>
      <c r="AP2133" s="4"/>
      <c r="AQ2133" s="4"/>
      <c r="AR2133" s="4"/>
      <c r="AS2133" s="4"/>
      <c r="AT2133" s="4"/>
      <c r="AU2133" s="4"/>
      <c r="AV2133" s="4"/>
      <c r="AW2133" s="4"/>
      <c r="AX2133" s="4"/>
      <c r="AY2133" s="4"/>
      <c r="AZ2133" s="4"/>
      <c r="BA2133" s="4"/>
      <c r="BB2133" s="4"/>
      <c r="BC2133" s="4"/>
      <c r="BD2133" s="4"/>
      <c r="BE2133" s="4"/>
      <c r="BF2133" s="4"/>
      <c r="BG2133" s="4"/>
      <c r="BH2133" s="4"/>
      <c r="BI2133" s="4"/>
      <c r="BJ2133" s="4"/>
      <c r="BK2133" s="4"/>
      <c r="BL2133" s="4"/>
      <c r="BM2133" s="4"/>
      <c r="BN2133" s="4"/>
      <c r="BO2133" s="4"/>
      <c r="BP2133" s="4"/>
      <c r="BQ2133" s="4"/>
      <c r="BR2133" s="4"/>
      <c r="BS2133" s="4"/>
      <c r="BT2133" s="4"/>
      <c r="BU2133" s="4"/>
    </row>
    <row r="2134" spans="29:73" s="1" customFormat="1" x14ac:dyDescent="0.25">
      <c r="AC2134" s="4"/>
      <c r="AD2134" s="4"/>
      <c r="AE2134" s="4"/>
      <c r="AF2134" s="4"/>
      <c r="AG2134" s="4"/>
      <c r="AH2134" s="4"/>
      <c r="AI2134" s="4"/>
      <c r="AJ2134" s="4"/>
      <c r="AK2134" s="4"/>
      <c r="AL2134" s="4"/>
      <c r="AM2134" s="4"/>
      <c r="AN2134" s="4"/>
      <c r="AO2134" s="4"/>
      <c r="AP2134" s="4"/>
      <c r="AQ2134" s="4"/>
      <c r="AR2134" s="4"/>
      <c r="AS2134" s="4"/>
      <c r="AT2134" s="4"/>
      <c r="AU2134" s="4"/>
      <c r="AV2134" s="4"/>
      <c r="AW2134" s="4"/>
      <c r="AX2134" s="4"/>
      <c r="AY2134" s="4"/>
      <c r="AZ2134" s="4"/>
      <c r="BA2134" s="4"/>
      <c r="BB2134" s="4"/>
      <c r="BC2134" s="4"/>
      <c r="BD2134" s="4"/>
      <c r="BE2134" s="4"/>
      <c r="BF2134" s="4"/>
      <c r="BG2134" s="4"/>
      <c r="BH2134" s="4"/>
      <c r="BI2134" s="4"/>
      <c r="BJ2134" s="4"/>
      <c r="BK2134" s="4"/>
      <c r="BL2134" s="4"/>
      <c r="BM2134" s="4"/>
      <c r="BN2134" s="4"/>
      <c r="BO2134" s="4"/>
      <c r="BP2134" s="4"/>
      <c r="BQ2134" s="4"/>
      <c r="BR2134" s="4"/>
      <c r="BS2134" s="4"/>
      <c r="BT2134" s="4"/>
      <c r="BU2134" s="4"/>
    </row>
    <row r="2135" spans="29:73" s="1" customFormat="1" x14ac:dyDescent="0.25">
      <c r="AC2135" s="4"/>
      <c r="AD2135" s="4"/>
      <c r="AE2135" s="4"/>
      <c r="AF2135" s="4"/>
      <c r="AG2135" s="4"/>
      <c r="AH2135" s="4"/>
      <c r="AI2135" s="4"/>
      <c r="AJ2135" s="4"/>
      <c r="AK2135" s="4"/>
      <c r="AL2135" s="4"/>
      <c r="AM2135" s="4"/>
      <c r="AN2135" s="4"/>
      <c r="AO2135" s="4"/>
      <c r="AP2135" s="4"/>
      <c r="AQ2135" s="4"/>
      <c r="AR2135" s="4"/>
      <c r="AS2135" s="4"/>
      <c r="AT2135" s="4"/>
      <c r="AU2135" s="4"/>
      <c r="AV2135" s="4"/>
      <c r="AW2135" s="4"/>
      <c r="AX2135" s="4"/>
      <c r="AY2135" s="4"/>
      <c r="AZ2135" s="4"/>
      <c r="BA2135" s="4"/>
      <c r="BB2135" s="4"/>
      <c r="BC2135" s="4"/>
      <c r="BD2135" s="4"/>
      <c r="BE2135" s="4"/>
      <c r="BF2135" s="4"/>
      <c r="BG2135" s="4"/>
      <c r="BH2135" s="4"/>
      <c r="BI2135" s="4"/>
      <c r="BJ2135" s="4"/>
      <c r="BK2135" s="4"/>
      <c r="BL2135" s="4"/>
      <c r="BM2135" s="4"/>
      <c r="BN2135" s="4"/>
      <c r="BO2135" s="4"/>
      <c r="BP2135" s="4"/>
      <c r="BQ2135" s="4"/>
      <c r="BR2135" s="4"/>
      <c r="BS2135" s="4"/>
      <c r="BT2135" s="4"/>
      <c r="BU2135" s="4"/>
    </row>
    <row r="2136" spans="29:73" s="1" customFormat="1" x14ac:dyDescent="0.25">
      <c r="AC2136" s="4"/>
      <c r="AD2136" s="4"/>
      <c r="AE2136" s="4"/>
      <c r="AF2136" s="4"/>
      <c r="AG2136" s="4"/>
      <c r="AH2136" s="4"/>
      <c r="AI2136" s="4"/>
      <c r="AJ2136" s="4"/>
      <c r="AK2136" s="4"/>
      <c r="AL2136" s="4"/>
      <c r="AM2136" s="4"/>
      <c r="AN2136" s="4"/>
      <c r="AO2136" s="4"/>
      <c r="AP2136" s="4"/>
      <c r="AQ2136" s="4"/>
      <c r="AR2136" s="4"/>
      <c r="AS2136" s="4"/>
      <c r="AT2136" s="4"/>
      <c r="AU2136" s="4"/>
      <c r="AV2136" s="4"/>
      <c r="AW2136" s="4"/>
      <c r="AX2136" s="4"/>
      <c r="AY2136" s="4"/>
      <c r="AZ2136" s="4"/>
      <c r="BA2136" s="4"/>
      <c r="BB2136" s="4"/>
      <c r="BC2136" s="4"/>
      <c r="BD2136" s="4"/>
      <c r="BE2136" s="4"/>
      <c r="BF2136" s="4"/>
      <c r="BG2136" s="4"/>
      <c r="BH2136" s="4"/>
      <c r="BI2136" s="4"/>
      <c r="BJ2136" s="4"/>
      <c r="BK2136" s="4"/>
      <c r="BL2136" s="4"/>
      <c r="BM2136" s="4"/>
      <c r="BN2136" s="4"/>
      <c r="BO2136" s="4"/>
      <c r="BP2136" s="4"/>
      <c r="BQ2136" s="4"/>
      <c r="BR2136" s="4"/>
      <c r="BS2136" s="4"/>
      <c r="BT2136" s="4"/>
      <c r="BU2136" s="4"/>
    </row>
    <row r="2137" spans="29:73" s="1" customFormat="1" x14ac:dyDescent="0.25">
      <c r="AC2137" s="4"/>
      <c r="AD2137" s="4"/>
      <c r="AE2137" s="4"/>
      <c r="AF2137" s="4"/>
      <c r="AG2137" s="4"/>
      <c r="AH2137" s="4"/>
      <c r="AI2137" s="4"/>
      <c r="AJ2137" s="4"/>
      <c r="AK2137" s="4"/>
      <c r="AL2137" s="4"/>
      <c r="AM2137" s="4"/>
      <c r="AN2137" s="4"/>
      <c r="AO2137" s="4"/>
      <c r="AP2137" s="4"/>
      <c r="AQ2137" s="4"/>
      <c r="AR2137" s="4"/>
      <c r="AS2137" s="4"/>
      <c r="AT2137" s="4"/>
      <c r="AU2137" s="4"/>
      <c r="AV2137" s="4"/>
      <c r="AW2137" s="4"/>
      <c r="AX2137" s="4"/>
      <c r="AY2137" s="4"/>
      <c r="AZ2137" s="4"/>
      <c r="BA2137" s="4"/>
      <c r="BB2137" s="4"/>
      <c r="BC2137" s="4"/>
      <c r="BD2137" s="4"/>
      <c r="BE2137" s="4"/>
      <c r="BF2137" s="4"/>
      <c r="BG2137" s="4"/>
      <c r="BH2137" s="4"/>
      <c r="BI2137" s="4"/>
      <c r="BJ2137" s="4"/>
      <c r="BK2137" s="4"/>
      <c r="BL2137" s="4"/>
      <c r="BM2137" s="4"/>
      <c r="BN2137" s="4"/>
      <c r="BO2137" s="4"/>
      <c r="BP2137" s="4"/>
      <c r="BQ2137" s="4"/>
      <c r="BR2137" s="4"/>
      <c r="BS2137" s="4"/>
      <c r="BT2137" s="4"/>
      <c r="BU2137" s="4"/>
    </row>
    <row r="2138" spans="29:73" s="1" customFormat="1" x14ac:dyDescent="0.25">
      <c r="AC2138" s="4"/>
      <c r="AD2138" s="4"/>
      <c r="AE2138" s="4"/>
      <c r="AF2138" s="4"/>
      <c r="AG2138" s="4"/>
      <c r="AH2138" s="4"/>
      <c r="AI2138" s="4"/>
      <c r="AJ2138" s="4"/>
      <c r="AK2138" s="4"/>
      <c r="AL2138" s="4"/>
      <c r="AM2138" s="4"/>
      <c r="AN2138" s="4"/>
      <c r="AO2138" s="4"/>
      <c r="AP2138" s="4"/>
      <c r="AQ2138" s="4"/>
      <c r="AR2138" s="4"/>
      <c r="AS2138" s="4"/>
      <c r="AT2138" s="4"/>
      <c r="AU2138" s="4"/>
      <c r="AV2138" s="4"/>
      <c r="AW2138" s="4"/>
      <c r="AX2138" s="4"/>
      <c r="AY2138" s="4"/>
      <c r="AZ2138" s="4"/>
      <c r="BA2138" s="4"/>
      <c r="BB2138" s="4"/>
      <c r="BC2138" s="4"/>
      <c r="BD2138" s="4"/>
      <c r="BE2138" s="4"/>
      <c r="BF2138" s="4"/>
      <c r="BG2138" s="4"/>
      <c r="BH2138" s="4"/>
      <c r="BI2138" s="4"/>
      <c r="BJ2138" s="4"/>
      <c r="BK2138" s="4"/>
      <c r="BL2138" s="4"/>
      <c r="BM2138" s="4"/>
      <c r="BN2138" s="4"/>
      <c r="BO2138" s="4"/>
      <c r="BP2138" s="4"/>
      <c r="BQ2138" s="4"/>
      <c r="BR2138" s="4"/>
      <c r="BS2138" s="4"/>
      <c r="BT2138" s="4"/>
      <c r="BU2138" s="4"/>
    </row>
    <row r="2139" spans="29:73" s="1" customFormat="1" x14ac:dyDescent="0.25">
      <c r="AC2139" s="4"/>
      <c r="AD2139" s="4"/>
      <c r="AE2139" s="4"/>
      <c r="AF2139" s="4"/>
      <c r="AG2139" s="4"/>
      <c r="AH2139" s="4"/>
      <c r="AI2139" s="4"/>
      <c r="AJ2139" s="4"/>
      <c r="AK2139" s="4"/>
      <c r="AL2139" s="4"/>
      <c r="AM2139" s="4"/>
      <c r="AN2139" s="4"/>
      <c r="AO2139" s="4"/>
      <c r="AP2139" s="4"/>
      <c r="AQ2139" s="4"/>
      <c r="AR2139" s="4"/>
      <c r="AS2139" s="4"/>
      <c r="AT2139" s="4"/>
      <c r="AU2139" s="4"/>
      <c r="AV2139" s="4"/>
      <c r="AW2139" s="4"/>
      <c r="AX2139" s="4"/>
      <c r="AY2139" s="4"/>
      <c r="AZ2139" s="4"/>
      <c r="BA2139" s="4"/>
      <c r="BB2139" s="4"/>
      <c r="BC2139" s="4"/>
      <c r="BD2139" s="4"/>
      <c r="BE2139" s="4"/>
      <c r="BF2139" s="4"/>
      <c r="BG2139" s="4"/>
      <c r="BH2139" s="4"/>
      <c r="BI2139" s="4"/>
      <c r="BJ2139" s="4"/>
      <c r="BK2139" s="4"/>
      <c r="BL2139" s="4"/>
      <c r="BM2139" s="4"/>
      <c r="BN2139" s="4"/>
      <c r="BO2139" s="4"/>
      <c r="BP2139" s="4"/>
      <c r="BQ2139" s="4"/>
      <c r="BR2139" s="4"/>
      <c r="BS2139" s="4"/>
      <c r="BT2139" s="4"/>
      <c r="BU2139" s="4"/>
    </row>
    <row r="2140" spans="29:73" s="1" customFormat="1" x14ac:dyDescent="0.25">
      <c r="AC2140" s="4"/>
      <c r="AD2140" s="4"/>
      <c r="AE2140" s="4"/>
      <c r="AF2140" s="4"/>
      <c r="AG2140" s="4"/>
      <c r="AH2140" s="4"/>
      <c r="AI2140" s="4"/>
      <c r="AJ2140" s="4"/>
      <c r="AK2140" s="4"/>
      <c r="AL2140" s="4"/>
      <c r="AM2140" s="4"/>
      <c r="AN2140" s="4"/>
      <c r="AO2140" s="4"/>
      <c r="AP2140" s="4"/>
      <c r="AQ2140" s="4"/>
      <c r="AR2140" s="4"/>
      <c r="AS2140" s="4"/>
      <c r="AT2140" s="4"/>
      <c r="AU2140" s="4"/>
      <c r="AV2140" s="4"/>
      <c r="AW2140" s="4"/>
      <c r="AX2140" s="4"/>
      <c r="AY2140" s="4"/>
      <c r="AZ2140" s="4"/>
      <c r="BA2140" s="4"/>
      <c r="BB2140" s="4"/>
      <c r="BC2140" s="4"/>
      <c r="BD2140" s="4"/>
      <c r="BE2140" s="4"/>
      <c r="BF2140" s="4"/>
      <c r="BG2140" s="4"/>
      <c r="BH2140" s="4"/>
      <c r="BI2140" s="4"/>
      <c r="BJ2140" s="4"/>
      <c r="BK2140" s="4"/>
      <c r="BL2140" s="4"/>
      <c r="BM2140" s="4"/>
      <c r="BN2140" s="4"/>
      <c r="BO2140" s="4"/>
      <c r="BP2140" s="4"/>
      <c r="BQ2140" s="4"/>
      <c r="BR2140" s="4"/>
      <c r="BS2140" s="4"/>
      <c r="BT2140" s="4"/>
      <c r="BU2140" s="4"/>
    </row>
    <row r="2141" spans="29:73" s="1" customFormat="1" x14ac:dyDescent="0.25">
      <c r="AC2141" s="4"/>
      <c r="AD2141" s="4"/>
      <c r="AE2141" s="4"/>
      <c r="AF2141" s="4"/>
      <c r="AG2141" s="4"/>
      <c r="AH2141" s="4"/>
      <c r="AI2141" s="4"/>
      <c r="AJ2141" s="4"/>
      <c r="AK2141" s="4"/>
      <c r="AL2141" s="4"/>
      <c r="AM2141" s="4"/>
      <c r="AN2141" s="4"/>
      <c r="AO2141" s="4"/>
      <c r="AP2141" s="4"/>
      <c r="AQ2141" s="4"/>
      <c r="AR2141" s="4"/>
      <c r="AS2141" s="4"/>
      <c r="AT2141" s="4"/>
      <c r="AU2141" s="4"/>
      <c r="AV2141" s="4"/>
      <c r="AW2141" s="4"/>
      <c r="AX2141" s="4"/>
      <c r="AY2141" s="4"/>
      <c r="AZ2141" s="4"/>
      <c r="BA2141" s="4"/>
      <c r="BB2141" s="4"/>
      <c r="BC2141" s="4"/>
      <c r="BD2141" s="4"/>
      <c r="BE2141" s="4"/>
      <c r="BF2141" s="4"/>
      <c r="BG2141" s="4"/>
      <c r="BH2141" s="4"/>
      <c r="BI2141" s="4"/>
      <c r="BJ2141" s="4"/>
      <c r="BK2141" s="4"/>
      <c r="BL2141" s="4"/>
      <c r="BM2141" s="4"/>
      <c r="BN2141" s="4"/>
      <c r="BO2141" s="4"/>
      <c r="BP2141" s="4"/>
      <c r="BQ2141" s="4"/>
      <c r="BR2141" s="4"/>
      <c r="BS2141" s="4"/>
      <c r="BT2141" s="4"/>
      <c r="BU2141" s="4"/>
    </row>
    <row r="2142" spans="29:73" s="1" customFormat="1" x14ac:dyDescent="0.25">
      <c r="AC2142" s="4"/>
      <c r="AD2142" s="4"/>
      <c r="AE2142" s="4"/>
      <c r="AF2142" s="4"/>
      <c r="AG2142" s="4"/>
      <c r="AH2142" s="4"/>
      <c r="AI2142" s="4"/>
      <c r="AJ2142" s="4"/>
      <c r="AK2142" s="4"/>
      <c r="AL2142" s="4"/>
      <c r="AM2142" s="4"/>
      <c r="AN2142" s="4"/>
      <c r="AO2142" s="4"/>
      <c r="AP2142" s="4"/>
      <c r="AQ2142" s="4"/>
      <c r="AR2142" s="4"/>
      <c r="AS2142" s="4"/>
      <c r="AT2142" s="4"/>
      <c r="AU2142" s="4"/>
      <c r="AV2142" s="4"/>
      <c r="AW2142" s="4"/>
      <c r="AX2142" s="4"/>
      <c r="AY2142" s="4"/>
      <c r="AZ2142" s="4"/>
      <c r="BA2142" s="4"/>
      <c r="BB2142" s="4"/>
      <c r="BC2142" s="4"/>
      <c r="BD2142" s="4"/>
      <c r="BE2142" s="4"/>
      <c r="BF2142" s="4"/>
      <c r="BG2142" s="4"/>
      <c r="BH2142" s="4"/>
      <c r="BI2142" s="4"/>
      <c r="BJ2142" s="4"/>
      <c r="BK2142" s="4"/>
      <c r="BL2142" s="4"/>
      <c r="BM2142" s="4"/>
      <c r="BN2142" s="4"/>
      <c r="BO2142" s="4"/>
      <c r="BP2142" s="4"/>
      <c r="BQ2142" s="4"/>
      <c r="BR2142" s="4"/>
      <c r="BS2142" s="4"/>
      <c r="BT2142" s="4"/>
      <c r="BU2142" s="4"/>
    </row>
    <row r="2143" spans="29:73" s="1" customFormat="1" x14ac:dyDescent="0.25">
      <c r="AC2143" s="4"/>
      <c r="AD2143" s="4"/>
      <c r="AE2143" s="4"/>
      <c r="AF2143" s="4"/>
      <c r="AG2143" s="4"/>
      <c r="AH2143" s="4"/>
      <c r="AI2143" s="4"/>
      <c r="AJ2143" s="4"/>
      <c r="AK2143" s="4"/>
      <c r="AL2143" s="4"/>
      <c r="AM2143" s="4"/>
      <c r="AN2143" s="4"/>
      <c r="AO2143" s="4"/>
      <c r="AP2143" s="4"/>
      <c r="AQ2143" s="4"/>
      <c r="AR2143" s="4"/>
      <c r="AS2143" s="4"/>
      <c r="AT2143" s="4"/>
      <c r="AU2143" s="4"/>
      <c r="AV2143" s="4"/>
      <c r="AW2143" s="4"/>
      <c r="AX2143" s="4"/>
      <c r="AY2143" s="4"/>
      <c r="AZ2143" s="4"/>
      <c r="BA2143" s="4"/>
      <c r="BB2143" s="4"/>
      <c r="BC2143" s="4"/>
      <c r="BD2143" s="4"/>
      <c r="BE2143" s="4"/>
      <c r="BF2143" s="4"/>
      <c r="BG2143" s="4"/>
      <c r="BH2143" s="4"/>
      <c r="BI2143" s="4"/>
      <c r="BJ2143" s="4"/>
      <c r="BK2143" s="4"/>
      <c r="BL2143" s="4"/>
      <c r="BM2143" s="4"/>
      <c r="BN2143" s="4"/>
      <c r="BO2143" s="4"/>
      <c r="BP2143" s="4"/>
      <c r="BQ2143" s="4"/>
      <c r="BR2143" s="4"/>
      <c r="BS2143" s="4"/>
      <c r="BT2143" s="4"/>
      <c r="BU2143" s="4"/>
    </row>
    <row r="2144" spans="29:73" s="1" customFormat="1" x14ac:dyDescent="0.25">
      <c r="AC2144" s="4"/>
      <c r="AD2144" s="4"/>
      <c r="AE2144" s="4"/>
      <c r="AF2144" s="4"/>
      <c r="AG2144" s="4"/>
      <c r="AH2144" s="4"/>
      <c r="AI2144" s="4"/>
      <c r="AJ2144" s="4"/>
      <c r="AK2144" s="4"/>
      <c r="AL2144" s="4"/>
      <c r="AM2144" s="4"/>
      <c r="AN2144" s="4"/>
      <c r="AO2144" s="4"/>
      <c r="AP2144" s="4"/>
      <c r="AQ2144" s="4"/>
      <c r="AR2144" s="4"/>
      <c r="AS2144" s="4"/>
      <c r="AT2144" s="4"/>
      <c r="AU2144" s="4"/>
      <c r="AV2144" s="4"/>
      <c r="AW2144" s="4"/>
      <c r="AX2144" s="4"/>
      <c r="AY2144" s="4"/>
      <c r="AZ2144" s="4"/>
      <c r="BA2144" s="4"/>
      <c r="BB2144" s="4"/>
      <c r="BC2144" s="4"/>
      <c r="BD2144" s="4"/>
      <c r="BE2144" s="4"/>
      <c r="BF2144" s="4"/>
      <c r="BG2144" s="4"/>
      <c r="BH2144" s="4"/>
      <c r="BI2144" s="4"/>
      <c r="BJ2144" s="4"/>
      <c r="BK2144" s="4"/>
      <c r="BL2144" s="4"/>
      <c r="BM2144" s="4"/>
      <c r="BN2144" s="4"/>
      <c r="BO2144" s="4"/>
      <c r="BP2144" s="4"/>
      <c r="BQ2144" s="4"/>
      <c r="BR2144" s="4"/>
      <c r="BS2144" s="4"/>
      <c r="BT2144" s="4"/>
      <c r="BU2144" s="4"/>
    </row>
    <row r="2145" spans="29:73" s="1" customFormat="1" x14ac:dyDescent="0.25">
      <c r="AC2145" s="4"/>
      <c r="AD2145" s="4"/>
      <c r="AE2145" s="4"/>
      <c r="AF2145" s="4"/>
      <c r="AG2145" s="4"/>
      <c r="AH2145" s="4"/>
      <c r="AI2145" s="4"/>
      <c r="AJ2145" s="4"/>
      <c r="AK2145" s="4"/>
      <c r="AL2145" s="4"/>
      <c r="AM2145" s="4"/>
      <c r="AN2145" s="4"/>
      <c r="AO2145" s="4"/>
      <c r="AP2145" s="4"/>
      <c r="AQ2145" s="4"/>
      <c r="AR2145" s="4"/>
      <c r="AS2145" s="4"/>
      <c r="AT2145" s="4"/>
      <c r="AU2145" s="4"/>
      <c r="AV2145" s="4"/>
      <c r="AW2145" s="4"/>
      <c r="AX2145" s="4"/>
      <c r="AY2145" s="4"/>
      <c r="AZ2145" s="4"/>
      <c r="BA2145" s="4"/>
      <c r="BB2145" s="4"/>
      <c r="BC2145" s="4"/>
      <c r="BD2145" s="4"/>
      <c r="BE2145" s="4"/>
      <c r="BF2145" s="4"/>
      <c r="BG2145" s="4"/>
      <c r="BH2145" s="4"/>
      <c r="BI2145" s="4"/>
      <c r="BJ2145" s="4"/>
      <c r="BK2145" s="4"/>
      <c r="BL2145" s="4"/>
      <c r="BM2145" s="4"/>
      <c r="BN2145" s="4"/>
      <c r="BO2145" s="4"/>
      <c r="BP2145" s="4"/>
      <c r="BQ2145" s="4"/>
      <c r="BR2145" s="4"/>
      <c r="BS2145" s="4"/>
      <c r="BT2145" s="4"/>
      <c r="BU2145" s="4"/>
    </row>
    <row r="2146" spans="29:73" s="1" customFormat="1" x14ac:dyDescent="0.25">
      <c r="AC2146" s="4"/>
      <c r="AD2146" s="4"/>
      <c r="AE2146" s="4"/>
      <c r="AF2146" s="4"/>
      <c r="AG2146" s="4"/>
      <c r="AH2146" s="4"/>
      <c r="AI2146" s="4"/>
      <c r="AJ2146" s="4"/>
      <c r="AK2146" s="4"/>
      <c r="AL2146" s="4"/>
      <c r="AM2146" s="4"/>
      <c r="AN2146" s="4"/>
      <c r="AO2146" s="4"/>
      <c r="AP2146" s="4"/>
      <c r="AQ2146" s="4"/>
      <c r="AR2146" s="4"/>
      <c r="AS2146" s="4"/>
      <c r="AT2146" s="4"/>
      <c r="AU2146" s="4"/>
      <c r="AV2146" s="4"/>
      <c r="AW2146" s="4"/>
      <c r="AX2146" s="4"/>
      <c r="AY2146" s="4"/>
      <c r="AZ2146" s="4"/>
      <c r="BA2146" s="4"/>
      <c r="BB2146" s="4"/>
      <c r="BC2146" s="4"/>
      <c r="BD2146" s="4"/>
      <c r="BE2146" s="4"/>
      <c r="BF2146" s="4"/>
      <c r="BG2146" s="4"/>
      <c r="BH2146" s="4"/>
      <c r="BI2146" s="4"/>
      <c r="BJ2146" s="4"/>
      <c r="BK2146" s="4"/>
      <c r="BL2146" s="4"/>
      <c r="BM2146" s="4"/>
      <c r="BN2146" s="4"/>
      <c r="BO2146" s="4"/>
      <c r="BP2146" s="4"/>
      <c r="BQ2146" s="4"/>
      <c r="BR2146" s="4"/>
      <c r="BS2146" s="4"/>
      <c r="BT2146" s="4"/>
      <c r="BU2146" s="4"/>
    </row>
    <row r="2147" spans="29:73" s="1" customFormat="1" x14ac:dyDescent="0.25">
      <c r="AC2147" s="4"/>
      <c r="AD2147" s="4"/>
      <c r="AE2147" s="4"/>
      <c r="AF2147" s="4"/>
      <c r="AG2147" s="4"/>
      <c r="AH2147" s="4"/>
      <c r="AI2147" s="4"/>
      <c r="AJ2147" s="4"/>
      <c r="AK2147" s="4"/>
      <c r="AL2147" s="4"/>
      <c r="AM2147" s="4"/>
      <c r="AN2147" s="4"/>
      <c r="AO2147" s="4"/>
      <c r="AP2147" s="4"/>
      <c r="AQ2147" s="4"/>
      <c r="AR2147" s="4"/>
      <c r="AS2147" s="4"/>
      <c r="AT2147" s="4"/>
      <c r="AU2147" s="4"/>
      <c r="AV2147" s="4"/>
      <c r="AW2147" s="4"/>
      <c r="AX2147" s="4"/>
      <c r="AY2147" s="4"/>
      <c r="AZ2147" s="4"/>
      <c r="BA2147" s="4"/>
      <c r="BB2147" s="4"/>
      <c r="BC2147" s="4"/>
      <c r="BD2147" s="4"/>
      <c r="BE2147" s="4"/>
      <c r="BF2147" s="4"/>
      <c r="BG2147" s="4"/>
      <c r="BH2147" s="4"/>
      <c r="BI2147" s="4"/>
      <c r="BJ2147" s="4"/>
      <c r="BK2147" s="4"/>
      <c r="BL2147" s="4"/>
      <c r="BM2147" s="4"/>
      <c r="BN2147" s="4"/>
      <c r="BO2147" s="4"/>
      <c r="BP2147" s="4"/>
      <c r="BQ2147" s="4"/>
      <c r="BR2147" s="4"/>
      <c r="BS2147" s="4"/>
      <c r="BT2147" s="4"/>
      <c r="BU2147" s="4"/>
    </row>
    <row r="2148" spans="29:73" s="1" customFormat="1" x14ac:dyDescent="0.25">
      <c r="AC2148" s="4"/>
      <c r="AD2148" s="4"/>
      <c r="AE2148" s="4"/>
      <c r="AF2148" s="4"/>
      <c r="AG2148" s="4"/>
      <c r="AH2148" s="4"/>
      <c r="AI2148" s="4"/>
      <c r="AJ2148" s="4"/>
      <c r="AK2148" s="4"/>
      <c r="AL2148" s="4"/>
      <c r="AM2148" s="4"/>
      <c r="AN2148" s="4"/>
      <c r="AO2148" s="4"/>
      <c r="AP2148" s="4"/>
      <c r="AQ2148" s="4"/>
      <c r="AR2148" s="4"/>
      <c r="AS2148" s="4"/>
      <c r="AT2148" s="4"/>
      <c r="AU2148" s="4"/>
      <c r="AV2148" s="4"/>
      <c r="AW2148" s="4"/>
      <c r="AX2148" s="4"/>
      <c r="AY2148" s="4"/>
      <c r="AZ2148" s="4"/>
      <c r="BA2148" s="4"/>
      <c r="BB2148" s="4"/>
      <c r="BC2148" s="4"/>
      <c r="BD2148" s="4"/>
      <c r="BE2148" s="4"/>
      <c r="BF2148" s="4"/>
      <c r="BG2148" s="4"/>
      <c r="BH2148" s="4"/>
      <c r="BI2148" s="4"/>
      <c r="BJ2148" s="4"/>
      <c r="BK2148" s="4"/>
      <c r="BL2148" s="4"/>
      <c r="BM2148" s="4"/>
      <c r="BN2148" s="4"/>
      <c r="BO2148" s="4"/>
      <c r="BP2148" s="4"/>
      <c r="BQ2148" s="4"/>
      <c r="BR2148" s="4"/>
      <c r="BS2148" s="4"/>
      <c r="BT2148" s="4"/>
      <c r="BU2148" s="4"/>
    </row>
    <row r="2149" spans="29:73" s="1" customFormat="1" x14ac:dyDescent="0.25">
      <c r="AC2149" s="4"/>
      <c r="AD2149" s="4"/>
      <c r="AE2149" s="4"/>
      <c r="AF2149" s="4"/>
      <c r="AG2149" s="4"/>
      <c r="AH2149" s="4"/>
      <c r="AI2149" s="4"/>
      <c r="AJ2149" s="4"/>
      <c r="AK2149" s="4"/>
      <c r="AL2149" s="4"/>
      <c r="AM2149" s="4"/>
      <c r="AN2149" s="4"/>
      <c r="AO2149" s="4"/>
      <c r="AP2149" s="4"/>
      <c r="AQ2149" s="4"/>
      <c r="AR2149" s="4"/>
      <c r="AS2149" s="4"/>
      <c r="AT2149" s="4"/>
      <c r="AU2149" s="4"/>
      <c r="AV2149" s="4"/>
      <c r="AW2149" s="4"/>
      <c r="AX2149" s="4"/>
      <c r="AY2149" s="4"/>
      <c r="AZ2149" s="4"/>
      <c r="BA2149" s="4"/>
      <c r="BB2149" s="4"/>
      <c r="BC2149" s="4"/>
      <c r="BD2149" s="4"/>
      <c r="BE2149" s="4"/>
      <c r="BF2149" s="4"/>
      <c r="BG2149" s="4"/>
      <c r="BH2149" s="4"/>
      <c r="BI2149" s="4"/>
      <c r="BJ2149" s="4"/>
      <c r="BK2149" s="4"/>
      <c r="BL2149" s="4"/>
      <c r="BM2149" s="4"/>
      <c r="BN2149" s="4"/>
      <c r="BO2149" s="4"/>
      <c r="BP2149" s="4"/>
      <c r="BQ2149" s="4"/>
      <c r="BR2149" s="4"/>
      <c r="BS2149" s="4"/>
      <c r="BT2149" s="4"/>
      <c r="BU2149" s="4"/>
    </row>
    <row r="2150" spans="29:73" s="1" customFormat="1" x14ac:dyDescent="0.25">
      <c r="AC2150" s="4"/>
      <c r="AD2150" s="4"/>
      <c r="AE2150" s="4"/>
      <c r="AF2150" s="4"/>
      <c r="AG2150" s="4"/>
      <c r="AH2150" s="4"/>
      <c r="AI2150" s="4"/>
      <c r="AJ2150" s="4"/>
      <c r="AK2150" s="4"/>
      <c r="AL2150" s="4"/>
      <c r="AM2150" s="4"/>
      <c r="AN2150" s="4"/>
      <c r="AO2150" s="4"/>
      <c r="AP2150" s="4"/>
      <c r="AQ2150" s="4"/>
      <c r="AR2150" s="4"/>
      <c r="AS2150" s="4"/>
      <c r="AT2150" s="4"/>
      <c r="AU2150" s="4"/>
      <c r="AV2150" s="4"/>
      <c r="AW2150" s="4"/>
      <c r="AX2150" s="4"/>
      <c r="AY2150" s="4"/>
      <c r="AZ2150" s="4"/>
      <c r="BA2150" s="4"/>
      <c r="BB2150" s="4"/>
      <c r="BC2150" s="4"/>
      <c r="BD2150" s="4"/>
      <c r="BE2150" s="4"/>
      <c r="BF2150" s="4"/>
      <c r="BG2150" s="4"/>
      <c r="BH2150" s="4"/>
      <c r="BI2150" s="4"/>
      <c r="BJ2150" s="4"/>
      <c r="BK2150" s="4"/>
      <c r="BL2150" s="4"/>
      <c r="BM2150" s="4"/>
      <c r="BN2150" s="4"/>
      <c r="BO2150" s="4"/>
      <c r="BP2150" s="4"/>
      <c r="BQ2150" s="4"/>
      <c r="BR2150" s="4"/>
      <c r="BS2150" s="4"/>
      <c r="BT2150" s="4"/>
      <c r="BU2150" s="4"/>
    </row>
    <row r="2151" spans="29:73" s="1" customFormat="1" x14ac:dyDescent="0.25">
      <c r="AC2151" s="4"/>
      <c r="AD2151" s="4"/>
      <c r="AE2151" s="4"/>
      <c r="AF2151" s="4"/>
      <c r="AG2151" s="4"/>
      <c r="AH2151" s="4"/>
      <c r="AI2151" s="4"/>
      <c r="AJ2151" s="4"/>
      <c r="AK2151" s="4"/>
      <c r="AL2151" s="4"/>
      <c r="AM2151" s="4"/>
      <c r="AN2151" s="4"/>
      <c r="AO2151" s="4"/>
      <c r="AP2151" s="4"/>
      <c r="AQ2151" s="4"/>
      <c r="AR2151" s="4"/>
      <c r="AS2151" s="4"/>
      <c r="AT2151" s="4"/>
      <c r="AU2151" s="4"/>
      <c r="AV2151" s="4"/>
      <c r="AW2151" s="4"/>
      <c r="AX2151" s="4"/>
      <c r="AY2151" s="4"/>
      <c r="AZ2151" s="4"/>
      <c r="BA2151" s="4"/>
      <c r="BB2151" s="4"/>
      <c r="BC2151" s="4"/>
      <c r="BD2151" s="4"/>
      <c r="BE2151" s="4"/>
      <c r="BF2151" s="4"/>
      <c r="BG2151" s="4"/>
      <c r="BH2151" s="4"/>
      <c r="BI2151" s="4"/>
      <c r="BJ2151" s="4"/>
      <c r="BK2151" s="4"/>
      <c r="BL2151" s="4"/>
      <c r="BM2151" s="4"/>
      <c r="BN2151" s="4"/>
      <c r="BO2151" s="4"/>
      <c r="BP2151" s="4"/>
      <c r="BQ2151" s="4"/>
      <c r="BR2151" s="4"/>
      <c r="BS2151" s="4"/>
      <c r="BT2151" s="4"/>
      <c r="BU2151" s="4"/>
    </row>
    <row r="2152" spans="29:73" s="1" customFormat="1" x14ac:dyDescent="0.25">
      <c r="AC2152" s="4"/>
      <c r="AD2152" s="4"/>
      <c r="AE2152" s="4"/>
      <c r="AF2152" s="4"/>
      <c r="AG2152" s="4"/>
      <c r="AH2152" s="4"/>
      <c r="AI2152" s="4"/>
      <c r="AJ2152" s="4"/>
      <c r="AK2152" s="4"/>
      <c r="AL2152" s="4"/>
      <c r="AM2152" s="4"/>
      <c r="AN2152" s="4"/>
      <c r="AO2152" s="4"/>
      <c r="AP2152" s="4"/>
      <c r="AQ2152" s="4"/>
      <c r="AR2152" s="4"/>
      <c r="AS2152" s="4"/>
      <c r="AT2152" s="4"/>
      <c r="AU2152" s="4"/>
      <c r="AV2152" s="4"/>
      <c r="AW2152" s="4"/>
      <c r="AX2152" s="4"/>
      <c r="AY2152" s="4"/>
      <c r="AZ2152" s="4"/>
      <c r="BA2152" s="4"/>
      <c r="BB2152" s="4"/>
      <c r="BC2152" s="4"/>
      <c r="BD2152" s="4"/>
      <c r="BE2152" s="4"/>
      <c r="BF2152" s="4"/>
      <c r="BG2152" s="4"/>
      <c r="BH2152" s="4"/>
      <c r="BI2152" s="4"/>
      <c r="BJ2152" s="4"/>
      <c r="BK2152" s="4"/>
      <c r="BL2152" s="4"/>
      <c r="BM2152" s="4"/>
      <c r="BN2152" s="4"/>
      <c r="BO2152" s="4"/>
      <c r="BP2152" s="4"/>
      <c r="BQ2152" s="4"/>
      <c r="BR2152" s="4"/>
      <c r="BS2152" s="4"/>
      <c r="BT2152" s="4"/>
      <c r="BU2152" s="4"/>
    </row>
    <row r="2153" spans="29:73" s="1" customFormat="1" x14ac:dyDescent="0.25">
      <c r="AC2153" s="4"/>
      <c r="AD2153" s="4"/>
      <c r="AE2153" s="4"/>
      <c r="AF2153" s="4"/>
      <c r="AG2153" s="4"/>
      <c r="AH2153" s="4"/>
      <c r="AI2153" s="4"/>
      <c r="AJ2153" s="4"/>
      <c r="AK2153" s="4"/>
      <c r="AL2153" s="4"/>
      <c r="AM2153" s="4"/>
      <c r="AN2153" s="4"/>
      <c r="AO2153" s="4"/>
      <c r="AP2153" s="4"/>
      <c r="AQ2153" s="4"/>
      <c r="AR2153" s="4"/>
      <c r="AS2153" s="4"/>
      <c r="AT2153" s="4"/>
      <c r="AU2153" s="4"/>
      <c r="AV2153" s="4"/>
      <c r="AW2153" s="4"/>
      <c r="AX2153" s="4"/>
      <c r="AY2153" s="4"/>
      <c r="AZ2153" s="4"/>
      <c r="BA2153" s="4"/>
      <c r="BB2153" s="4"/>
      <c r="BC2153" s="4"/>
      <c r="BD2153" s="4"/>
      <c r="BE2153" s="4"/>
      <c r="BF2153" s="4"/>
      <c r="BG2153" s="4"/>
      <c r="BH2153" s="4"/>
      <c r="BI2153" s="4"/>
      <c r="BJ2153" s="4"/>
      <c r="BK2153" s="4"/>
      <c r="BL2153" s="4"/>
      <c r="BM2153" s="4"/>
      <c r="BN2153" s="4"/>
      <c r="BO2153" s="4"/>
      <c r="BP2153" s="4"/>
      <c r="BQ2153" s="4"/>
      <c r="BR2153" s="4"/>
      <c r="BS2153" s="4"/>
      <c r="BT2153" s="4"/>
      <c r="BU2153" s="4"/>
    </row>
    <row r="2154" spans="29:73" s="1" customFormat="1" x14ac:dyDescent="0.25">
      <c r="AC2154" s="4"/>
      <c r="AD2154" s="4"/>
      <c r="AE2154" s="4"/>
      <c r="AF2154" s="4"/>
      <c r="AG2154" s="4"/>
      <c r="AH2154" s="4"/>
      <c r="AI2154" s="4"/>
      <c r="AJ2154" s="4"/>
      <c r="AK2154" s="4"/>
      <c r="AL2154" s="4"/>
      <c r="AM2154" s="4"/>
      <c r="AN2154" s="4"/>
      <c r="AO2154" s="4"/>
      <c r="AP2154" s="4"/>
      <c r="AQ2154" s="4"/>
      <c r="AR2154" s="4"/>
      <c r="AS2154" s="4"/>
      <c r="AT2154" s="4"/>
      <c r="AU2154" s="4"/>
      <c r="AV2154" s="4"/>
      <c r="AW2154" s="4"/>
      <c r="AX2154" s="4"/>
      <c r="AY2154" s="4"/>
      <c r="AZ2154" s="4"/>
      <c r="BA2154" s="4"/>
      <c r="BB2154" s="4"/>
      <c r="BC2154" s="4"/>
      <c r="BD2154" s="4"/>
      <c r="BE2154" s="4"/>
      <c r="BF2154" s="4"/>
      <c r="BG2154" s="4"/>
      <c r="BH2154" s="4"/>
      <c r="BI2154" s="4"/>
      <c r="BJ2154" s="4"/>
      <c r="BK2154" s="4"/>
      <c r="BL2154" s="4"/>
      <c r="BM2154" s="4"/>
      <c r="BN2154" s="4"/>
      <c r="BO2154" s="4"/>
      <c r="BP2154" s="4"/>
      <c r="BQ2154" s="4"/>
      <c r="BR2154" s="4"/>
      <c r="BS2154" s="4"/>
      <c r="BT2154" s="4"/>
      <c r="BU2154" s="4"/>
    </row>
    <row r="2155" spans="29:73" s="1" customFormat="1" x14ac:dyDescent="0.25">
      <c r="AC2155" s="4"/>
      <c r="AD2155" s="4"/>
      <c r="AE2155" s="4"/>
      <c r="AF2155" s="4"/>
      <c r="AG2155" s="4"/>
      <c r="AH2155" s="4"/>
      <c r="AI2155" s="4"/>
      <c r="AJ2155" s="4"/>
      <c r="AK2155" s="4"/>
      <c r="AL2155" s="4"/>
      <c r="AM2155" s="4"/>
      <c r="AN2155" s="4"/>
      <c r="AO2155" s="4"/>
      <c r="AP2155" s="4"/>
      <c r="AQ2155" s="4"/>
      <c r="AR2155" s="4"/>
      <c r="AS2155" s="4"/>
      <c r="AT2155" s="4"/>
      <c r="AU2155" s="4"/>
      <c r="AV2155" s="4"/>
      <c r="AW2155" s="4"/>
      <c r="AX2155" s="4"/>
      <c r="AY2155" s="4"/>
      <c r="AZ2155" s="4"/>
      <c r="BA2155" s="4"/>
      <c r="BB2155" s="4"/>
      <c r="BC2155" s="4"/>
      <c r="BD2155" s="4"/>
      <c r="BE2155" s="4"/>
      <c r="BF2155" s="4"/>
      <c r="BG2155" s="4"/>
      <c r="BH2155" s="4"/>
      <c r="BI2155" s="4"/>
      <c r="BJ2155" s="4"/>
      <c r="BK2155" s="4"/>
      <c r="BL2155" s="4"/>
      <c r="BM2155" s="4"/>
      <c r="BN2155" s="4"/>
      <c r="BO2155" s="4"/>
      <c r="BP2155" s="4"/>
      <c r="BQ2155" s="4"/>
      <c r="BR2155" s="4"/>
      <c r="BS2155" s="4"/>
      <c r="BT2155" s="4"/>
      <c r="BU2155" s="4"/>
    </row>
    <row r="2156" spans="29:73" s="1" customFormat="1" x14ac:dyDescent="0.25">
      <c r="AC2156" s="4"/>
      <c r="AD2156" s="4"/>
      <c r="AE2156" s="4"/>
      <c r="AF2156" s="4"/>
      <c r="AG2156" s="4"/>
      <c r="AH2156" s="4"/>
      <c r="AI2156" s="4"/>
      <c r="AJ2156" s="4"/>
      <c r="AK2156" s="4"/>
      <c r="AL2156" s="4"/>
      <c r="AM2156" s="4"/>
      <c r="AN2156" s="4"/>
      <c r="AO2156" s="4"/>
      <c r="AP2156" s="4"/>
      <c r="AQ2156" s="4"/>
      <c r="AR2156" s="4"/>
      <c r="AS2156" s="4"/>
      <c r="AT2156" s="4"/>
      <c r="AU2156" s="4"/>
      <c r="AV2156" s="4"/>
      <c r="AW2156" s="4"/>
      <c r="AX2156" s="4"/>
      <c r="AY2156" s="4"/>
      <c r="AZ2156" s="4"/>
      <c r="BA2156" s="4"/>
      <c r="BB2156" s="4"/>
      <c r="BC2156" s="4"/>
      <c r="BD2156" s="4"/>
      <c r="BE2156" s="4"/>
      <c r="BF2156" s="4"/>
      <c r="BG2156" s="4"/>
      <c r="BH2156" s="4"/>
      <c r="BI2156" s="4"/>
      <c r="BJ2156" s="4"/>
      <c r="BK2156" s="4"/>
      <c r="BL2156" s="4"/>
      <c r="BM2156" s="4"/>
      <c r="BN2156" s="4"/>
      <c r="BO2156" s="4"/>
      <c r="BP2156" s="4"/>
      <c r="BQ2156" s="4"/>
      <c r="BR2156" s="4"/>
      <c r="BS2156" s="4"/>
      <c r="BT2156" s="4"/>
      <c r="BU2156" s="4"/>
    </row>
    <row r="2157" spans="29:73" s="1" customFormat="1" x14ac:dyDescent="0.25">
      <c r="AC2157" s="4"/>
      <c r="AD2157" s="4"/>
      <c r="AE2157" s="4"/>
      <c r="AF2157" s="4"/>
      <c r="AG2157" s="4"/>
      <c r="AH2157" s="4"/>
      <c r="AI2157" s="4"/>
      <c r="AJ2157" s="4"/>
      <c r="AK2157" s="4"/>
      <c r="AL2157" s="4"/>
      <c r="AM2157" s="4"/>
      <c r="AN2157" s="4"/>
      <c r="AO2157" s="4"/>
      <c r="AP2157" s="4"/>
      <c r="AQ2157" s="4"/>
      <c r="AR2157" s="4"/>
      <c r="AS2157" s="4"/>
      <c r="AT2157" s="4"/>
      <c r="AU2157" s="4"/>
      <c r="AV2157" s="4"/>
      <c r="AW2157" s="4"/>
      <c r="AX2157" s="4"/>
      <c r="AY2157" s="4"/>
      <c r="AZ2157" s="4"/>
      <c r="BA2157" s="4"/>
      <c r="BB2157" s="4"/>
      <c r="BC2157" s="4"/>
      <c r="BD2157" s="4"/>
      <c r="BE2157" s="4"/>
      <c r="BF2157" s="4"/>
      <c r="BG2157" s="4"/>
      <c r="BH2157" s="4"/>
      <c r="BI2157" s="4"/>
      <c r="BJ2157" s="4"/>
      <c r="BK2157" s="4"/>
      <c r="BL2157" s="4"/>
      <c r="BM2157" s="4"/>
      <c r="BN2157" s="4"/>
      <c r="BO2157" s="4"/>
      <c r="BP2157" s="4"/>
      <c r="BQ2157" s="4"/>
      <c r="BR2157" s="4"/>
      <c r="BS2157" s="4"/>
      <c r="BT2157" s="4"/>
      <c r="BU2157" s="4"/>
    </row>
    <row r="2158" spans="29:73" s="1" customFormat="1" x14ac:dyDescent="0.25">
      <c r="AC2158" s="4"/>
      <c r="AD2158" s="4"/>
      <c r="AE2158" s="4"/>
      <c r="AF2158" s="4"/>
      <c r="AG2158" s="4"/>
      <c r="AH2158" s="4"/>
      <c r="AI2158" s="4"/>
      <c r="AJ2158" s="4"/>
      <c r="AK2158" s="4"/>
      <c r="AL2158" s="4"/>
      <c r="AM2158" s="4"/>
      <c r="AN2158" s="4"/>
      <c r="AO2158" s="4"/>
      <c r="AP2158" s="4"/>
      <c r="AQ2158" s="4"/>
      <c r="AR2158" s="4"/>
      <c r="AS2158" s="4"/>
      <c r="AT2158" s="4"/>
      <c r="AU2158" s="4"/>
      <c r="AV2158" s="4"/>
      <c r="AW2158" s="4"/>
      <c r="AX2158" s="4"/>
      <c r="AY2158" s="4"/>
      <c r="AZ2158" s="4"/>
      <c r="BA2158" s="4"/>
      <c r="BB2158" s="4"/>
      <c r="BC2158" s="4"/>
      <c r="BD2158" s="4"/>
      <c r="BE2158" s="4"/>
      <c r="BF2158" s="4"/>
      <c r="BG2158" s="4"/>
      <c r="BH2158" s="4"/>
      <c r="BI2158" s="4"/>
      <c r="BJ2158" s="4"/>
      <c r="BK2158" s="4"/>
      <c r="BL2158" s="4"/>
      <c r="BM2158" s="4"/>
      <c r="BN2158" s="4"/>
      <c r="BO2158" s="4"/>
      <c r="BP2158" s="4"/>
      <c r="BQ2158" s="4"/>
      <c r="BR2158" s="4"/>
      <c r="BS2158" s="4"/>
      <c r="BT2158" s="4"/>
      <c r="BU2158" s="4"/>
    </row>
    <row r="2159" spans="29:73" s="1" customFormat="1" x14ac:dyDescent="0.25">
      <c r="AC2159" s="4"/>
      <c r="AD2159" s="4"/>
      <c r="AE2159" s="4"/>
      <c r="AF2159" s="4"/>
      <c r="AG2159" s="4"/>
      <c r="AH2159" s="4"/>
      <c r="AI2159" s="4"/>
      <c r="AJ2159" s="4"/>
      <c r="AK2159" s="4"/>
      <c r="AL2159" s="4"/>
      <c r="AM2159" s="4"/>
      <c r="AN2159" s="4"/>
      <c r="AO2159" s="4"/>
      <c r="AP2159" s="4"/>
      <c r="AQ2159" s="4"/>
      <c r="AR2159" s="4"/>
      <c r="AS2159" s="4"/>
      <c r="AT2159" s="4"/>
      <c r="AU2159" s="4"/>
      <c r="AV2159" s="4"/>
      <c r="AW2159" s="4"/>
      <c r="AX2159" s="4"/>
      <c r="AY2159" s="4"/>
      <c r="AZ2159" s="4"/>
      <c r="BA2159" s="4"/>
      <c r="BB2159" s="4"/>
      <c r="BC2159" s="4"/>
      <c r="BD2159" s="4"/>
      <c r="BE2159" s="4"/>
      <c r="BF2159" s="4"/>
      <c r="BG2159" s="4"/>
      <c r="BH2159" s="4"/>
      <c r="BI2159" s="4"/>
      <c r="BJ2159" s="4"/>
      <c r="BK2159" s="4"/>
      <c r="BL2159" s="4"/>
      <c r="BM2159" s="4"/>
      <c r="BN2159" s="4"/>
      <c r="BO2159" s="4"/>
      <c r="BP2159" s="4"/>
      <c r="BQ2159" s="4"/>
      <c r="BR2159" s="4"/>
      <c r="BS2159" s="4"/>
      <c r="BT2159" s="4"/>
      <c r="BU2159" s="4"/>
    </row>
    <row r="2160" spans="29:73" s="1" customFormat="1" x14ac:dyDescent="0.25">
      <c r="AC2160" s="4"/>
      <c r="AD2160" s="4"/>
      <c r="AE2160" s="4"/>
      <c r="AF2160" s="4"/>
      <c r="AG2160" s="4"/>
      <c r="AH2160" s="4"/>
      <c r="AI2160" s="4"/>
      <c r="AJ2160" s="4"/>
      <c r="AK2160" s="4"/>
      <c r="AL2160" s="4"/>
      <c r="AM2160" s="4"/>
      <c r="AN2160" s="4"/>
      <c r="AO2160" s="4"/>
      <c r="AP2160" s="4"/>
      <c r="AQ2160" s="4"/>
      <c r="AR2160" s="4"/>
      <c r="AS2160" s="4"/>
      <c r="AT2160" s="4"/>
      <c r="AU2160" s="4"/>
      <c r="AV2160" s="4"/>
      <c r="AW2160" s="4"/>
      <c r="AX2160" s="4"/>
      <c r="AY2160" s="4"/>
      <c r="AZ2160" s="4"/>
      <c r="BA2160" s="4"/>
      <c r="BB2160" s="4"/>
      <c r="BC2160" s="4"/>
      <c r="BD2160" s="4"/>
      <c r="BE2160" s="4"/>
      <c r="BF2160" s="4"/>
      <c r="BG2160" s="4"/>
      <c r="BH2160" s="4"/>
      <c r="BI2160" s="4"/>
      <c r="BJ2160" s="4"/>
      <c r="BK2160" s="4"/>
      <c r="BL2160" s="4"/>
      <c r="BM2160" s="4"/>
      <c r="BN2160" s="4"/>
      <c r="BO2160" s="4"/>
      <c r="BP2160" s="4"/>
      <c r="BQ2160" s="4"/>
      <c r="BR2160" s="4"/>
      <c r="BS2160" s="4"/>
      <c r="BT2160" s="4"/>
      <c r="BU2160" s="4"/>
    </row>
    <row r="2161" spans="29:73" s="1" customFormat="1" x14ac:dyDescent="0.25">
      <c r="AC2161" s="4"/>
      <c r="AD2161" s="4"/>
      <c r="AE2161" s="4"/>
      <c r="AF2161" s="4"/>
      <c r="AG2161" s="4"/>
      <c r="AH2161" s="4"/>
      <c r="AI2161" s="4"/>
      <c r="AJ2161" s="4"/>
      <c r="AK2161" s="4"/>
      <c r="AL2161" s="4"/>
      <c r="AM2161" s="4"/>
      <c r="AN2161" s="4"/>
      <c r="AO2161" s="4"/>
      <c r="AP2161" s="4"/>
      <c r="AQ2161" s="4"/>
      <c r="AR2161" s="4"/>
      <c r="AS2161" s="4"/>
      <c r="AT2161" s="4"/>
      <c r="AU2161" s="4"/>
      <c r="AV2161" s="4"/>
      <c r="AW2161" s="4"/>
      <c r="AX2161" s="4"/>
      <c r="AY2161" s="4"/>
      <c r="AZ2161" s="4"/>
      <c r="BA2161" s="4"/>
      <c r="BB2161" s="4"/>
      <c r="BC2161" s="4"/>
      <c r="BD2161" s="4"/>
      <c r="BE2161" s="4"/>
      <c r="BF2161" s="4"/>
      <c r="BG2161" s="4"/>
      <c r="BH2161" s="4"/>
      <c r="BI2161" s="4"/>
      <c r="BJ2161" s="4"/>
      <c r="BK2161" s="4"/>
      <c r="BL2161" s="4"/>
      <c r="BM2161" s="4"/>
      <c r="BN2161" s="4"/>
      <c r="BO2161" s="4"/>
      <c r="BP2161" s="4"/>
      <c r="BQ2161" s="4"/>
      <c r="BR2161" s="4"/>
      <c r="BS2161" s="4"/>
      <c r="BT2161" s="4"/>
      <c r="BU2161" s="4"/>
    </row>
    <row r="2162" spans="29:73" s="1" customFormat="1" x14ac:dyDescent="0.25">
      <c r="AC2162" s="4"/>
      <c r="AD2162" s="4"/>
      <c r="AE2162" s="4"/>
      <c r="AF2162" s="4"/>
      <c r="AG2162" s="4"/>
      <c r="AH2162" s="4"/>
      <c r="AI2162" s="4"/>
      <c r="AJ2162" s="4"/>
      <c r="AK2162" s="4"/>
      <c r="AL2162" s="4"/>
      <c r="AM2162" s="4"/>
      <c r="AN2162" s="4"/>
      <c r="AO2162" s="4"/>
      <c r="AP2162" s="4"/>
      <c r="AQ2162" s="4"/>
      <c r="AR2162" s="4"/>
      <c r="AS2162" s="4"/>
      <c r="AT2162" s="4"/>
      <c r="AU2162" s="4"/>
      <c r="AV2162" s="4"/>
      <c r="AW2162" s="4"/>
      <c r="AX2162" s="4"/>
      <c r="AY2162" s="4"/>
      <c r="AZ2162" s="4"/>
      <c r="BA2162" s="4"/>
      <c r="BB2162" s="4"/>
      <c r="BC2162" s="4"/>
      <c r="BD2162" s="4"/>
      <c r="BE2162" s="4"/>
      <c r="BF2162" s="4"/>
      <c r="BG2162" s="4"/>
      <c r="BH2162" s="4"/>
      <c r="BI2162" s="4"/>
      <c r="BJ2162" s="4"/>
      <c r="BK2162" s="4"/>
      <c r="BL2162" s="4"/>
      <c r="BM2162" s="4"/>
      <c r="BN2162" s="4"/>
      <c r="BO2162" s="4"/>
      <c r="BP2162" s="4"/>
      <c r="BQ2162" s="4"/>
      <c r="BR2162" s="4"/>
      <c r="BS2162" s="4"/>
      <c r="BT2162" s="4"/>
      <c r="BU2162" s="4"/>
    </row>
    <row r="2163" spans="29:73" s="1" customFormat="1" x14ac:dyDescent="0.25">
      <c r="AC2163" s="4"/>
      <c r="AD2163" s="4"/>
      <c r="AE2163" s="4"/>
      <c r="AF2163" s="4"/>
      <c r="AG2163" s="4"/>
      <c r="AH2163" s="4"/>
      <c r="AI2163" s="4"/>
      <c r="AJ2163" s="4"/>
      <c r="AK2163" s="4"/>
      <c r="AL2163" s="4"/>
      <c r="AM2163" s="4"/>
      <c r="AN2163" s="4"/>
      <c r="AO2163" s="4"/>
      <c r="AP2163" s="4"/>
      <c r="AQ2163" s="4"/>
      <c r="AR2163" s="4"/>
      <c r="AS2163" s="4"/>
      <c r="AT2163" s="4"/>
      <c r="AU2163" s="4"/>
      <c r="AV2163" s="4"/>
      <c r="AW2163" s="4"/>
      <c r="AX2163" s="4"/>
      <c r="AY2163" s="4"/>
      <c r="AZ2163" s="4"/>
      <c r="BA2163" s="4"/>
      <c r="BB2163" s="4"/>
      <c r="BC2163" s="4"/>
      <c r="BD2163" s="4"/>
      <c r="BE2163" s="4"/>
      <c r="BF2163" s="4"/>
      <c r="BG2163" s="4"/>
      <c r="BH2163" s="4"/>
      <c r="BI2163" s="4"/>
      <c r="BJ2163" s="4"/>
      <c r="BK2163" s="4"/>
      <c r="BL2163" s="4"/>
      <c r="BM2163" s="4"/>
      <c r="BN2163" s="4"/>
      <c r="BO2163" s="4"/>
      <c r="BP2163" s="4"/>
      <c r="BQ2163" s="4"/>
      <c r="BR2163" s="4"/>
      <c r="BS2163" s="4"/>
      <c r="BT2163" s="4"/>
      <c r="BU2163" s="4"/>
    </row>
    <row r="2164" spans="29:73" s="1" customFormat="1" x14ac:dyDescent="0.25">
      <c r="AC2164" s="4"/>
      <c r="AD2164" s="4"/>
      <c r="AE2164" s="4"/>
      <c r="AF2164" s="4"/>
      <c r="AG2164" s="4"/>
      <c r="AH2164" s="4"/>
      <c r="AI2164" s="4"/>
      <c r="AJ2164" s="4"/>
      <c r="AK2164" s="4"/>
      <c r="AL2164" s="4"/>
      <c r="AM2164" s="4"/>
      <c r="AN2164" s="4"/>
      <c r="AO2164" s="4"/>
      <c r="AP2164" s="4"/>
      <c r="AQ2164" s="4"/>
      <c r="AR2164" s="4"/>
      <c r="AS2164" s="4"/>
      <c r="AT2164" s="4"/>
      <c r="AU2164" s="4"/>
      <c r="AV2164" s="4"/>
      <c r="AW2164" s="4"/>
      <c r="AX2164" s="4"/>
      <c r="AY2164" s="4"/>
      <c r="AZ2164" s="4"/>
      <c r="BA2164" s="4"/>
      <c r="BB2164" s="4"/>
      <c r="BC2164" s="4"/>
      <c r="BD2164" s="4"/>
      <c r="BE2164" s="4"/>
      <c r="BF2164" s="4"/>
      <c r="BG2164" s="4"/>
      <c r="BH2164" s="4"/>
      <c r="BI2164" s="4"/>
      <c r="BJ2164" s="4"/>
      <c r="BK2164" s="4"/>
      <c r="BL2164" s="4"/>
      <c r="BM2164" s="4"/>
      <c r="BN2164" s="4"/>
      <c r="BO2164" s="4"/>
      <c r="BP2164" s="4"/>
      <c r="BQ2164" s="4"/>
      <c r="BR2164" s="4"/>
      <c r="BS2164" s="4"/>
      <c r="BT2164" s="4"/>
      <c r="BU2164" s="4"/>
    </row>
    <row r="2165" spans="29:73" s="1" customFormat="1" x14ac:dyDescent="0.25">
      <c r="AC2165" s="4"/>
      <c r="AD2165" s="4"/>
      <c r="AE2165" s="4"/>
      <c r="AF2165" s="4"/>
      <c r="AG2165" s="4"/>
      <c r="AH2165" s="4"/>
      <c r="AI2165" s="4"/>
      <c r="AJ2165" s="4"/>
      <c r="AK2165" s="4"/>
      <c r="AL2165" s="4"/>
      <c r="AM2165" s="4"/>
      <c r="AN2165" s="4"/>
      <c r="AO2165" s="4"/>
      <c r="AP2165" s="4"/>
      <c r="AQ2165" s="4"/>
      <c r="AR2165" s="4"/>
      <c r="AS2165" s="4"/>
      <c r="AT2165" s="4"/>
      <c r="AU2165" s="4"/>
      <c r="AV2165" s="4"/>
      <c r="AW2165" s="4"/>
      <c r="AX2165" s="4"/>
      <c r="AY2165" s="4"/>
      <c r="AZ2165" s="4"/>
      <c r="BA2165" s="4"/>
      <c r="BB2165" s="4"/>
      <c r="BC2165" s="4"/>
      <c r="BD2165" s="4"/>
      <c r="BE2165" s="4"/>
      <c r="BF2165" s="4"/>
      <c r="BG2165" s="4"/>
      <c r="BH2165" s="4"/>
      <c r="BI2165" s="4"/>
      <c r="BJ2165" s="4"/>
      <c r="BK2165" s="4"/>
      <c r="BL2165" s="4"/>
      <c r="BM2165" s="4"/>
      <c r="BN2165" s="4"/>
      <c r="BO2165" s="4"/>
      <c r="BP2165" s="4"/>
      <c r="BQ2165" s="4"/>
      <c r="BR2165" s="4"/>
      <c r="BS2165" s="4"/>
      <c r="BT2165" s="4"/>
      <c r="BU2165" s="4"/>
    </row>
    <row r="2166" spans="29:73" s="1" customFormat="1" x14ac:dyDescent="0.25">
      <c r="AC2166" s="4"/>
      <c r="AD2166" s="4"/>
      <c r="AE2166" s="4"/>
      <c r="AF2166" s="4"/>
      <c r="AG2166" s="4"/>
      <c r="AH2166" s="4"/>
      <c r="AI2166" s="4"/>
      <c r="AJ2166" s="4"/>
      <c r="AK2166" s="4"/>
      <c r="AL2166" s="4"/>
      <c r="AM2166" s="4"/>
      <c r="AN2166" s="4"/>
      <c r="AO2166" s="4"/>
      <c r="AP2166" s="4"/>
      <c r="AQ2166" s="4"/>
      <c r="AR2166" s="4"/>
      <c r="AS2166" s="4"/>
      <c r="AT2166" s="4"/>
      <c r="AU2166" s="4"/>
      <c r="AV2166" s="4"/>
      <c r="AW2166" s="4"/>
      <c r="AX2166" s="4"/>
      <c r="AY2166" s="4"/>
      <c r="AZ2166" s="4"/>
      <c r="BA2166" s="4"/>
      <c r="BB2166" s="4"/>
      <c r="BC2166" s="4"/>
      <c r="BD2166" s="4"/>
      <c r="BE2166" s="4"/>
      <c r="BF2166" s="4"/>
      <c r="BG2166" s="4"/>
      <c r="BH2166" s="4"/>
      <c r="BI2166" s="4"/>
      <c r="BJ2166" s="4"/>
      <c r="BK2166" s="4"/>
      <c r="BL2166" s="4"/>
      <c r="BM2166" s="4"/>
      <c r="BN2166" s="4"/>
      <c r="BO2166" s="4"/>
      <c r="BP2166" s="4"/>
      <c r="BQ2166" s="4"/>
      <c r="BR2166" s="4"/>
      <c r="BS2166" s="4"/>
      <c r="BT2166" s="4"/>
      <c r="BU2166" s="4"/>
    </row>
    <row r="2167" spans="29:73" s="1" customFormat="1" x14ac:dyDescent="0.25">
      <c r="AC2167" s="4"/>
      <c r="AD2167" s="4"/>
      <c r="AE2167" s="4"/>
      <c r="AF2167" s="4"/>
      <c r="AG2167" s="4"/>
      <c r="AH2167" s="4"/>
      <c r="AI2167" s="4"/>
      <c r="AJ2167" s="4"/>
      <c r="AK2167" s="4"/>
      <c r="AL2167" s="4"/>
      <c r="AM2167" s="4"/>
      <c r="AN2167" s="4"/>
      <c r="AO2167" s="4"/>
      <c r="AP2167" s="4"/>
      <c r="AQ2167" s="4"/>
      <c r="AR2167" s="4"/>
      <c r="AS2167" s="4"/>
      <c r="AT2167" s="4"/>
      <c r="AU2167" s="4"/>
      <c r="AV2167" s="4"/>
      <c r="AW2167" s="4"/>
      <c r="AX2167" s="4"/>
      <c r="AY2167" s="4"/>
      <c r="AZ2167" s="4"/>
      <c r="BA2167" s="4"/>
      <c r="BB2167" s="4"/>
      <c r="BC2167" s="4"/>
      <c r="BD2167" s="4"/>
      <c r="BE2167" s="4"/>
      <c r="BF2167" s="4"/>
      <c r="BG2167" s="4"/>
      <c r="BH2167" s="4"/>
      <c r="BI2167" s="4"/>
      <c r="BJ2167" s="4"/>
      <c r="BK2167" s="4"/>
      <c r="BL2167" s="4"/>
      <c r="BM2167" s="4"/>
      <c r="BN2167" s="4"/>
      <c r="BO2167" s="4"/>
      <c r="BP2167" s="4"/>
      <c r="BQ2167" s="4"/>
      <c r="BR2167" s="4"/>
      <c r="BS2167" s="4"/>
      <c r="BT2167" s="4"/>
      <c r="BU2167" s="4"/>
    </row>
    <row r="2168" spans="29:73" s="1" customFormat="1" x14ac:dyDescent="0.25">
      <c r="AC2168" s="4"/>
      <c r="AD2168" s="4"/>
      <c r="AE2168" s="4"/>
      <c r="AF2168" s="4"/>
      <c r="AG2168" s="4"/>
      <c r="AH2168" s="4"/>
      <c r="AI2168" s="4"/>
      <c r="AJ2168" s="4"/>
      <c r="AK2168" s="4"/>
      <c r="AL2168" s="4"/>
      <c r="AM2168" s="4"/>
      <c r="AN2168" s="4"/>
      <c r="AO2168" s="4"/>
      <c r="AP2168" s="4"/>
      <c r="AQ2168" s="4"/>
      <c r="AR2168" s="4"/>
      <c r="AS2168" s="4"/>
      <c r="AT2168" s="4"/>
      <c r="AU2168" s="4"/>
      <c r="AV2168" s="4"/>
      <c r="AW2168" s="4"/>
      <c r="AX2168" s="4"/>
      <c r="AY2168" s="4"/>
      <c r="AZ2168" s="4"/>
      <c r="BA2168" s="4"/>
      <c r="BB2168" s="4"/>
      <c r="BC2168" s="4"/>
      <c r="BD2168" s="4"/>
      <c r="BE2168" s="4"/>
      <c r="BF2168" s="4"/>
      <c r="BG2168" s="4"/>
      <c r="BH2168" s="4"/>
      <c r="BI2168" s="4"/>
      <c r="BJ2168" s="4"/>
      <c r="BK2168" s="4"/>
      <c r="BL2168" s="4"/>
      <c r="BM2168" s="4"/>
      <c r="BN2168" s="4"/>
      <c r="BO2168" s="4"/>
      <c r="BP2168" s="4"/>
      <c r="BQ2168" s="4"/>
      <c r="BR2168" s="4"/>
      <c r="BS2168" s="4"/>
      <c r="BT2168" s="4"/>
      <c r="BU2168" s="4"/>
    </row>
    <row r="2169" spans="29:73" s="1" customFormat="1" x14ac:dyDescent="0.25">
      <c r="AC2169" s="4"/>
      <c r="AD2169" s="4"/>
      <c r="AE2169" s="4"/>
      <c r="AF2169" s="4"/>
      <c r="AG2169" s="4"/>
      <c r="AH2169" s="4"/>
      <c r="AI2169" s="4"/>
      <c r="AJ2169" s="4"/>
      <c r="AK2169" s="4"/>
      <c r="AL2169" s="4"/>
      <c r="AM2169" s="4"/>
      <c r="AN2169" s="4"/>
      <c r="AO2169" s="4"/>
      <c r="AP2169" s="4"/>
      <c r="AQ2169" s="4"/>
      <c r="AR2169" s="4"/>
      <c r="AS2169" s="4"/>
      <c r="AT2169" s="4"/>
      <c r="AU2169" s="4"/>
      <c r="AV2169" s="4"/>
      <c r="AW2169" s="4"/>
      <c r="AX2169" s="4"/>
      <c r="AY2169" s="4"/>
      <c r="AZ2169" s="4"/>
      <c r="BA2169" s="4"/>
      <c r="BB2169" s="4"/>
      <c r="BC2169" s="4"/>
      <c r="BD2169" s="4"/>
      <c r="BE2169" s="4"/>
      <c r="BF2169" s="4"/>
      <c r="BG2169" s="4"/>
      <c r="BH2169" s="4"/>
      <c r="BI2169" s="4"/>
      <c r="BJ2169" s="4"/>
      <c r="BK2169" s="4"/>
      <c r="BL2169" s="4"/>
      <c r="BM2169" s="4"/>
      <c r="BN2169" s="4"/>
      <c r="BO2169" s="4"/>
      <c r="BP2169" s="4"/>
      <c r="BQ2169" s="4"/>
      <c r="BR2169" s="4"/>
      <c r="BS2169" s="4"/>
      <c r="BT2169" s="4"/>
      <c r="BU2169" s="4"/>
    </row>
    <row r="2170" spans="29:73" s="1" customFormat="1" x14ac:dyDescent="0.25">
      <c r="AC2170" s="4"/>
      <c r="AD2170" s="4"/>
      <c r="AE2170" s="4"/>
      <c r="AF2170" s="4"/>
      <c r="AG2170" s="4"/>
      <c r="AH2170" s="4"/>
      <c r="AI2170" s="4"/>
      <c r="AJ2170" s="4"/>
      <c r="AK2170" s="4"/>
      <c r="AL2170" s="4"/>
      <c r="AM2170" s="4"/>
      <c r="AN2170" s="4"/>
      <c r="AO2170" s="4"/>
      <c r="AP2170" s="4"/>
      <c r="AQ2170" s="4"/>
      <c r="AR2170" s="4"/>
      <c r="AS2170" s="4"/>
      <c r="AT2170" s="4"/>
      <c r="AU2170" s="4"/>
      <c r="AV2170" s="4"/>
      <c r="AW2170" s="4"/>
      <c r="AX2170" s="4"/>
      <c r="AY2170" s="4"/>
      <c r="AZ2170" s="4"/>
      <c r="BA2170" s="4"/>
      <c r="BB2170" s="4"/>
      <c r="BC2170" s="4"/>
      <c r="BD2170" s="4"/>
      <c r="BE2170" s="4"/>
      <c r="BF2170" s="4"/>
      <c r="BG2170" s="4"/>
      <c r="BH2170" s="4"/>
      <c r="BI2170" s="4"/>
      <c r="BJ2170" s="4"/>
      <c r="BK2170" s="4"/>
      <c r="BL2170" s="4"/>
      <c r="BM2170" s="4"/>
      <c r="BN2170" s="4"/>
      <c r="BO2170" s="4"/>
      <c r="BP2170" s="4"/>
      <c r="BQ2170" s="4"/>
      <c r="BR2170" s="4"/>
      <c r="BS2170" s="4"/>
      <c r="BT2170" s="4"/>
      <c r="BU2170" s="4"/>
    </row>
    <row r="2171" spans="29:73" s="1" customFormat="1" x14ac:dyDescent="0.25">
      <c r="AC2171" s="4"/>
      <c r="AD2171" s="4"/>
      <c r="AE2171" s="4"/>
      <c r="AF2171" s="4"/>
      <c r="AG2171" s="4"/>
      <c r="AH2171" s="4"/>
      <c r="AI2171" s="4"/>
      <c r="AJ2171" s="4"/>
      <c r="AK2171" s="4"/>
      <c r="AL2171" s="4"/>
      <c r="AM2171" s="4"/>
      <c r="AN2171" s="4"/>
      <c r="AO2171" s="4"/>
      <c r="AP2171" s="4"/>
      <c r="AQ2171" s="4"/>
      <c r="AR2171" s="4"/>
      <c r="AS2171" s="4"/>
      <c r="AT2171" s="4"/>
      <c r="AU2171" s="4"/>
      <c r="AV2171" s="4"/>
      <c r="AW2171" s="4"/>
      <c r="AX2171" s="4"/>
      <c r="AY2171" s="4"/>
      <c r="AZ2171" s="4"/>
      <c r="BA2171" s="4"/>
      <c r="BB2171" s="4"/>
      <c r="BC2171" s="4"/>
      <c r="BD2171" s="4"/>
      <c r="BE2171" s="4"/>
      <c r="BF2171" s="4"/>
      <c r="BG2171" s="4"/>
      <c r="BH2171" s="4"/>
      <c r="BI2171" s="4"/>
      <c r="BJ2171" s="4"/>
      <c r="BK2171" s="4"/>
      <c r="BL2171" s="4"/>
      <c r="BM2171" s="4"/>
      <c r="BN2171" s="4"/>
      <c r="BO2171" s="4"/>
      <c r="BP2171" s="4"/>
      <c r="BQ2171" s="4"/>
      <c r="BR2171" s="4"/>
      <c r="BS2171" s="4"/>
      <c r="BT2171" s="4"/>
      <c r="BU2171" s="4"/>
    </row>
    <row r="2172" spans="29:73" s="1" customFormat="1" x14ac:dyDescent="0.25">
      <c r="AC2172" s="4"/>
      <c r="AD2172" s="4"/>
      <c r="AE2172" s="4"/>
      <c r="AF2172" s="4"/>
      <c r="AG2172" s="4"/>
      <c r="AH2172" s="4"/>
      <c r="AI2172" s="4"/>
      <c r="AJ2172" s="4"/>
      <c r="AK2172" s="4"/>
      <c r="AL2172" s="4"/>
      <c r="AM2172" s="4"/>
      <c r="AN2172" s="4"/>
      <c r="AO2172" s="4"/>
      <c r="AP2172" s="4"/>
      <c r="AQ2172" s="4"/>
      <c r="AR2172" s="4"/>
      <c r="AS2172" s="4"/>
      <c r="AT2172" s="4"/>
      <c r="AU2172" s="4"/>
      <c r="AV2172" s="4"/>
      <c r="AW2172" s="4"/>
      <c r="AX2172" s="4"/>
      <c r="AY2172" s="4"/>
      <c r="AZ2172" s="4"/>
      <c r="BA2172" s="4"/>
      <c r="BB2172" s="4"/>
      <c r="BC2172" s="4"/>
      <c r="BD2172" s="4"/>
      <c r="BE2172" s="4"/>
      <c r="BF2172" s="4"/>
      <c r="BG2172" s="4"/>
      <c r="BH2172" s="4"/>
      <c r="BI2172" s="4"/>
      <c r="BJ2172" s="4"/>
      <c r="BK2172" s="4"/>
      <c r="BL2172" s="4"/>
      <c r="BM2172" s="4"/>
      <c r="BN2172" s="4"/>
      <c r="BO2172" s="4"/>
      <c r="BP2172" s="4"/>
      <c r="BQ2172" s="4"/>
      <c r="BR2172" s="4"/>
      <c r="BS2172" s="4"/>
      <c r="BT2172" s="4"/>
      <c r="BU2172" s="4"/>
    </row>
    <row r="2173" spans="29:73" s="1" customFormat="1" x14ac:dyDescent="0.25">
      <c r="AC2173" s="4"/>
      <c r="AD2173" s="4"/>
      <c r="AE2173" s="4"/>
      <c r="AF2173" s="4"/>
      <c r="AG2173" s="4"/>
      <c r="AH2173" s="4"/>
      <c r="AI2173" s="4"/>
      <c r="AJ2173" s="4"/>
      <c r="AK2173" s="4"/>
      <c r="AL2173" s="4"/>
      <c r="AM2173" s="4"/>
      <c r="AN2173" s="4"/>
      <c r="AO2173" s="4"/>
      <c r="AP2173" s="4"/>
      <c r="AQ2173" s="4"/>
      <c r="AR2173" s="4"/>
      <c r="AS2173" s="4"/>
      <c r="AT2173" s="4"/>
      <c r="AU2173" s="4"/>
      <c r="AV2173" s="4"/>
      <c r="AW2173" s="4"/>
      <c r="AX2173" s="4"/>
      <c r="AY2173" s="4"/>
      <c r="AZ2173" s="4"/>
      <c r="BA2173" s="4"/>
      <c r="BB2173" s="4"/>
      <c r="BC2173" s="4"/>
      <c r="BD2173" s="4"/>
      <c r="BE2173" s="4"/>
      <c r="BF2173" s="4"/>
      <c r="BG2173" s="4"/>
      <c r="BH2173" s="4"/>
      <c r="BI2173" s="4"/>
      <c r="BJ2173" s="4"/>
      <c r="BK2173" s="4"/>
      <c r="BL2173" s="4"/>
      <c r="BM2173" s="4"/>
      <c r="BN2173" s="4"/>
      <c r="BO2173" s="4"/>
      <c r="BP2173" s="4"/>
      <c r="BQ2173" s="4"/>
      <c r="BR2173" s="4"/>
      <c r="BS2173" s="4"/>
      <c r="BT2173" s="4"/>
      <c r="BU2173" s="4"/>
    </row>
    <row r="2174" spans="29:73" s="1" customFormat="1" x14ac:dyDescent="0.25">
      <c r="AC2174" s="4"/>
      <c r="AD2174" s="4"/>
      <c r="AE2174" s="4"/>
      <c r="AF2174" s="4"/>
      <c r="AG2174" s="4"/>
      <c r="AH2174" s="4"/>
      <c r="AI2174" s="4"/>
      <c r="AJ2174" s="4"/>
      <c r="AK2174" s="4"/>
      <c r="AL2174" s="4"/>
      <c r="AM2174" s="4"/>
      <c r="AN2174" s="4"/>
      <c r="AO2174" s="4"/>
      <c r="AP2174" s="4"/>
      <c r="AQ2174" s="4"/>
      <c r="AR2174" s="4"/>
      <c r="AS2174" s="4"/>
      <c r="AT2174" s="4"/>
      <c r="AU2174" s="4"/>
      <c r="AV2174" s="4"/>
      <c r="AW2174" s="4"/>
      <c r="AX2174" s="4"/>
      <c r="AY2174" s="4"/>
      <c r="AZ2174" s="4"/>
      <c r="BA2174" s="4"/>
      <c r="BB2174" s="4"/>
      <c r="BC2174" s="4"/>
      <c r="BD2174" s="4"/>
      <c r="BE2174" s="4"/>
      <c r="BF2174" s="4"/>
      <c r="BG2174" s="4"/>
      <c r="BH2174" s="4"/>
      <c r="BI2174" s="4"/>
      <c r="BJ2174" s="4"/>
      <c r="BK2174" s="4"/>
      <c r="BL2174" s="4"/>
      <c r="BM2174" s="4"/>
      <c r="BN2174" s="4"/>
      <c r="BO2174" s="4"/>
      <c r="BP2174" s="4"/>
      <c r="BQ2174" s="4"/>
      <c r="BR2174" s="4"/>
      <c r="BS2174" s="4"/>
      <c r="BT2174" s="4"/>
      <c r="BU2174" s="4"/>
    </row>
    <row r="2175" spans="29:73" s="1" customFormat="1" x14ac:dyDescent="0.25">
      <c r="AC2175" s="4"/>
      <c r="AD2175" s="4"/>
      <c r="AE2175" s="4"/>
      <c r="AF2175" s="4"/>
      <c r="AG2175" s="4"/>
      <c r="AH2175" s="4"/>
      <c r="AI2175" s="4"/>
      <c r="AJ2175" s="4"/>
      <c r="AK2175" s="4"/>
      <c r="AL2175" s="4"/>
      <c r="AM2175" s="4"/>
      <c r="AN2175" s="4"/>
      <c r="AO2175" s="4"/>
      <c r="AP2175" s="4"/>
      <c r="AQ2175" s="4"/>
      <c r="AR2175" s="4"/>
      <c r="AS2175" s="4"/>
      <c r="AT2175" s="4"/>
      <c r="AU2175" s="4"/>
      <c r="AV2175" s="4"/>
      <c r="AW2175" s="4"/>
      <c r="AX2175" s="4"/>
      <c r="AY2175" s="4"/>
      <c r="AZ2175" s="4"/>
      <c r="BA2175" s="4"/>
      <c r="BB2175" s="4"/>
      <c r="BC2175" s="4"/>
      <c r="BD2175" s="4"/>
      <c r="BE2175" s="4"/>
      <c r="BF2175" s="4"/>
      <c r="BG2175" s="4"/>
      <c r="BH2175" s="4"/>
      <c r="BI2175" s="4"/>
      <c r="BJ2175" s="4"/>
      <c r="BK2175" s="4"/>
      <c r="BL2175" s="4"/>
      <c r="BM2175" s="4"/>
      <c r="BN2175" s="4"/>
      <c r="BO2175" s="4"/>
      <c r="BP2175" s="4"/>
      <c r="BQ2175" s="4"/>
      <c r="BR2175" s="4"/>
      <c r="BS2175" s="4"/>
      <c r="BT2175" s="4"/>
      <c r="BU2175" s="4"/>
    </row>
    <row r="2176" spans="29:73" s="1" customFormat="1" x14ac:dyDescent="0.25">
      <c r="AC2176" s="4"/>
      <c r="AD2176" s="4"/>
      <c r="AE2176" s="4"/>
      <c r="AF2176" s="4"/>
      <c r="AG2176" s="4"/>
      <c r="AH2176" s="4"/>
      <c r="AI2176" s="4"/>
      <c r="AJ2176" s="4"/>
      <c r="AK2176" s="4"/>
      <c r="AL2176" s="4"/>
      <c r="AM2176" s="4"/>
      <c r="AN2176" s="4"/>
      <c r="AO2176" s="4"/>
      <c r="AP2176" s="4"/>
      <c r="AQ2176" s="4"/>
      <c r="AR2176" s="4"/>
      <c r="AS2176" s="4"/>
      <c r="AT2176" s="4"/>
      <c r="AU2176" s="4"/>
      <c r="AV2176" s="4"/>
      <c r="AW2176" s="4"/>
      <c r="AX2176" s="4"/>
      <c r="AY2176" s="4"/>
      <c r="AZ2176" s="4"/>
      <c r="BA2176" s="4"/>
      <c r="BB2176" s="4"/>
      <c r="BC2176" s="4"/>
      <c r="BD2176" s="4"/>
      <c r="BE2176" s="4"/>
      <c r="BF2176" s="4"/>
      <c r="BG2176" s="4"/>
      <c r="BH2176" s="4"/>
      <c r="BI2176" s="4"/>
      <c r="BJ2176" s="4"/>
      <c r="BK2176" s="4"/>
      <c r="BL2176" s="4"/>
      <c r="BM2176" s="4"/>
      <c r="BN2176" s="4"/>
      <c r="BO2176" s="4"/>
      <c r="BP2176" s="4"/>
      <c r="BQ2176" s="4"/>
      <c r="BR2176" s="4"/>
      <c r="BS2176" s="4"/>
      <c r="BT2176" s="4"/>
      <c r="BU2176" s="4"/>
    </row>
    <row r="2177" spans="29:73" s="1" customFormat="1" x14ac:dyDescent="0.25">
      <c r="AC2177" s="4"/>
      <c r="AD2177" s="4"/>
      <c r="AE2177" s="4"/>
      <c r="AF2177" s="4"/>
      <c r="AG2177" s="4"/>
      <c r="AH2177" s="4"/>
      <c r="AI2177" s="4"/>
      <c r="AJ2177" s="4"/>
      <c r="AK2177" s="4"/>
      <c r="AL2177" s="4"/>
      <c r="AM2177" s="4"/>
      <c r="AN2177" s="4"/>
      <c r="AO2177" s="4"/>
      <c r="AP2177" s="4"/>
      <c r="AQ2177" s="4"/>
      <c r="AR2177" s="4"/>
      <c r="AS2177" s="4"/>
      <c r="AT2177" s="4"/>
      <c r="AU2177" s="4"/>
      <c r="AV2177" s="4"/>
      <c r="AW2177" s="4"/>
      <c r="AX2177" s="4"/>
      <c r="AY2177" s="4"/>
      <c r="AZ2177" s="4"/>
      <c r="BA2177" s="4"/>
      <c r="BB2177" s="4"/>
      <c r="BC2177" s="4"/>
      <c r="BD2177" s="4"/>
      <c r="BE2177" s="4"/>
      <c r="BF2177" s="4"/>
      <c r="BG2177" s="4"/>
      <c r="BH2177" s="4"/>
      <c r="BI2177" s="4"/>
      <c r="BJ2177" s="4"/>
      <c r="BK2177" s="4"/>
      <c r="BL2177" s="4"/>
      <c r="BM2177" s="4"/>
      <c r="BN2177" s="4"/>
      <c r="BO2177" s="4"/>
      <c r="BP2177" s="4"/>
      <c r="BQ2177" s="4"/>
      <c r="BR2177" s="4"/>
      <c r="BS2177" s="4"/>
      <c r="BT2177" s="4"/>
      <c r="BU2177" s="4"/>
    </row>
    <row r="2178" spans="29:73" s="1" customFormat="1" x14ac:dyDescent="0.25">
      <c r="AC2178" s="4"/>
      <c r="AD2178" s="4"/>
      <c r="AE2178" s="4"/>
      <c r="AF2178" s="4"/>
      <c r="AG2178" s="4"/>
      <c r="AH2178" s="4"/>
      <c r="AI2178" s="4"/>
      <c r="AJ2178" s="4"/>
      <c r="AK2178" s="4"/>
      <c r="AL2178" s="4"/>
      <c r="AM2178" s="4"/>
      <c r="AN2178" s="4"/>
      <c r="AO2178" s="4"/>
      <c r="AP2178" s="4"/>
      <c r="AQ2178" s="4"/>
      <c r="AR2178" s="4"/>
      <c r="AS2178" s="4"/>
      <c r="AT2178" s="4"/>
      <c r="AU2178" s="4"/>
      <c r="AV2178" s="4"/>
      <c r="AW2178" s="4"/>
      <c r="AX2178" s="4"/>
      <c r="AY2178" s="4"/>
      <c r="AZ2178" s="4"/>
      <c r="BA2178" s="4"/>
      <c r="BB2178" s="4"/>
      <c r="BC2178" s="4"/>
      <c r="BD2178" s="4"/>
      <c r="BE2178" s="4"/>
      <c r="BF2178" s="4"/>
      <c r="BG2178" s="4"/>
      <c r="BH2178" s="4"/>
      <c r="BI2178" s="4"/>
      <c r="BJ2178" s="4"/>
      <c r="BK2178" s="4"/>
      <c r="BL2178" s="4"/>
      <c r="BM2178" s="4"/>
      <c r="BN2178" s="4"/>
      <c r="BO2178" s="4"/>
      <c r="BP2178" s="4"/>
      <c r="BQ2178" s="4"/>
      <c r="BR2178" s="4"/>
      <c r="BS2178" s="4"/>
      <c r="BT2178" s="4"/>
      <c r="BU2178" s="4"/>
    </row>
    <row r="2179" spans="29:73" s="1" customFormat="1" x14ac:dyDescent="0.25">
      <c r="AC2179" s="4"/>
      <c r="AD2179" s="4"/>
      <c r="AE2179" s="4"/>
      <c r="AF2179" s="4"/>
      <c r="AG2179" s="4"/>
      <c r="AH2179" s="4"/>
      <c r="AI2179" s="4"/>
      <c r="AJ2179" s="4"/>
      <c r="AK2179" s="4"/>
      <c r="AL2179" s="4"/>
      <c r="AM2179" s="4"/>
      <c r="AN2179" s="4"/>
      <c r="AO2179" s="4"/>
      <c r="AP2179" s="4"/>
      <c r="AQ2179" s="4"/>
      <c r="AR2179" s="4"/>
      <c r="AS2179" s="4"/>
      <c r="AT2179" s="4"/>
      <c r="AU2179" s="4"/>
      <c r="AV2179" s="4"/>
      <c r="AW2179" s="4"/>
      <c r="AX2179" s="4"/>
      <c r="AY2179" s="4"/>
      <c r="AZ2179" s="4"/>
      <c r="BA2179" s="4"/>
      <c r="BB2179" s="4"/>
      <c r="BC2179" s="4"/>
      <c r="BD2179" s="4"/>
      <c r="BE2179" s="4"/>
      <c r="BF2179" s="4"/>
      <c r="BG2179" s="4"/>
      <c r="BH2179" s="4"/>
      <c r="BI2179" s="4"/>
      <c r="BJ2179" s="4"/>
      <c r="BK2179" s="4"/>
      <c r="BL2179" s="4"/>
      <c r="BM2179" s="4"/>
      <c r="BN2179" s="4"/>
      <c r="BO2179" s="4"/>
      <c r="BP2179" s="4"/>
      <c r="BQ2179" s="4"/>
      <c r="BR2179" s="4"/>
      <c r="BS2179" s="4"/>
      <c r="BT2179" s="4"/>
      <c r="BU2179" s="4"/>
    </row>
    <row r="2180" spans="29:73" s="1" customFormat="1" x14ac:dyDescent="0.25">
      <c r="AC2180" s="4"/>
      <c r="AD2180" s="4"/>
      <c r="AE2180" s="4"/>
      <c r="AF2180" s="4"/>
      <c r="AG2180" s="4"/>
      <c r="AH2180" s="4"/>
      <c r="AI2180" s="4"/>
      <c r="AJ2180" s="4"/>
      <c r="AK2180" s="4"/>
      <c r="AL2180" s="4"/>
      <c r="AM2180" s="4"/>
      <c r="AN2180" s="4"/>
      <c r="AO2180" s="4"/>
      <c r="AP2180" s="4"/>
      <c r="AQ2180" s="4"/>
      <c r="AR2180" s="4"/>
      <c r="AS2180" s="4"/>
      <c r="AT2180" s="4"/>
      <c r="AU2180" s="4"/>
      <c r="AV2180" s="4"/>
      <c r="AW2180" s="4"/>
      <c r="AX2180" s="4"/>
      <c r="AY2180" s="4"/>
      <c r="AZ2180" s="4"/>
      <c r="BA2180" s="4"/>
      <c r="BB2180" s="4"/>
      <c r="BC2180" s="4"/>
      <c r="BD2180" s="4"/>
      <c r="BE2180" s="4"/>
      <c r="BF2180" s="4"/>
      <c r="BG2180" s="4"/>
      <c r="BH2180" s="4"/>
      <c r="BI2180" s="4"/>
      <c r="BJ2180" s="4"/>
      <c r="BK2180" s="4"/>
      <c r="BL2180" s="4"/>
      <c r="BM2180" s="4"/>
      <c r="BN2180" s="4"/>
      <c r="BO2180" s="4"/>
      <c r="BP2180" s="4"/>
      <c r="BQ2180" s="4"/>
      <c r="BR2180" s="4"/>
      <c r="BS2180" s="4"/>
      <c r="BT2180" s="4"/>
      <c r="BU2180" s="4"/>
    </row>
    <row r="2181" spans="29:73" s="1" customFormat="1" x14ac:dyDescent="0.25">
      <c r="AC2181" s="4"/>
      <c r="AD2181" s="4"/>
      <c r="AE2181" s="4"/>
      <c r="AF2181" s="4"/>
      <c r="AG2181" s="4"/>
      <c r="AH2181" s="4"/>
      <c r="AI2181" s="4"/>
      <c r="AJ2181" s="4"/>
      <c r="AK2181" s="4"/>
      <c r="AL2181" s="4"/>
      <c r="AM2181" s="4"/>
      <c r="AN2181" s="4"/>
      <c r="AO2181" s="4"/>
      <c r="AP2181" s="4"/>
      <c r="AQ2181" s="4"/>
      <c r="AR2181" s="4"/>
      <c r="AS2181" s="4"/>
      <c r="AT2181" s="4"/>
      <c r="AU2181" s="4"/>
      <c r="AV2181" s="4"/>
      <c r="AW2181" s="4"/>
      <c r="AX2181" s="4"/>
      <c r="AY2181" s="4"/>
      <c r="AZ2181" s="4"/>
      <c r="BA2181" s="4"/>
      <c r="BB2181" s="4"/>
      <c r="BC2181" s="4"/>
      <c r="BD2181" s="4"/>
      <c r="BE2181" s="4"/>
      <c r="BF2181" s="4"/>
      <c r="BG2181" s="4"/>
      <c r="BH2181" s="4"/>
      <c r="BI2181" s="4"/>
      <c r="BJ2181" s="4"/>
      <c r="BK2181" s="4"/>
      <c r="BL2181" s="4"/>
      <c r="BM2181" s="4"/>
      <c r="BN2181" s="4"/>
      <c r="BO2181" s="4"/>
      <c r="BP2181" s="4"/>
      <c r="BQ2181" s="4"/>
      <c r="BR2181" s="4"/>
      <c r="BS2181" s="4"/>
      <c r="BT2181" s="4"/>
      <c r="BU2181" s="4"/>
    </row>
    <row r="2182" spans="29:73" s="1" customFormat="1" x14ac:dyDescent="0.25">
      <c r="AC2182" s="4"/>
      <c r="AD2182" s="4"/>
      <c r="AE2182" s="4"/>
      <c r="AF2182" s="4"/>
      <c r="AG2182" s="4"/>
      <c r="AH2182" s="4"/>
      <c r="AI2182" s="4"/>
      <c r="AJ2182" s="4"/>
      <c r="AK2182" s="4"/>
      <c r="AL2182" s="4"/>
      <c r="AM2182" s="4"/>
      <c r="AN2182" s="4"/>
      <c r="AO2182" s="4"/>
      <c r="AP2182" s="4"/>
      <c r="AQ2182" s="4"/>
      <c r="AR2182" s="4"/>
      <c r="AS2182" s="4"/>
      <c r="AT2182" s="4"/>
      <c r="AU2182" s="4"/>
      <c r="AV2182" s="4"/>
      <c r="AW2182" s="4"/>
      <c r="AX2182" s="4"/>
      <c r="AY2182" s="4"/>
      <c r="AZ2182" s="4"/>
      <c r="BA2182" s="4"/>
      <c r="BB2182" s="4"/>
      <c r="BC2182" s="4"/>
      <c r="BD2182" s="4"/>
      <c r="BE2182" s="4"/>
      <c r="BF2182" s="4"/>
      <c r="BG2182" s="4"/>
      <c r="BH2182" s="4"/>
      <c r="BI2182" s="4"/>
      <c r="BJ2182" s="4"/>
      <c r="BK2182" s="4"/>
      <c r="BL2182" s="4"/>
      <c r="BM2182" s="4"/>
      <c r="BN2182" s="4"/>
      <c r="BO2182" s="4"/>
      <c r="BP2182" s="4"/>
      <c r="BQ2182" s="4"/>
      <c r="BR2182" s="4"/>
      <c r="BS2182" s="4"/>
      <c r="BT2182" s="4"/>
      <c r="BU2182" s="4"/>
    </row>
    <row r="2183" spans="29:73" s="1" customFormat="1" x14ac:dyDescent="0.25">
      <c r="AC2183" s="4"/>
      <c r="AD2183" s="4"/>
      <c r="AE2183" s="4"/>
      <c r="AF2183" s="4"/>
      <c r="AG2183" s="4"/>
      <c r="AH2183" s="4"/>
      <c r="AI2183" s="4"/>
      <c r="AJ2183" s="4"/>
      <c r="AK2183" s="4"/>
      <c r="AL2183" s="4"/>
      <c r="AM2183" s="4"/>
      <c r="AN2183" s="4"/>
      <c r="AO2183" s="4"/>
      <c r="AP2183" s="4"/>
      <c r="AQ2183" s="4"/>
      <c r="AR2183" s="4"/>
      <c r="AS2183" s="4"/>
      <c r="AT2183" s="4"/>
      <c r="AU2183" s="4"/>
      <c r="AV2183" s="4"/>
      <c r="AW2183" s="4"/>
      <c r="AX2183" s="4"/>
      <c r="AY2183" s="4"/>
      <c r="AZ2183" s="4"/>
      <c r="BA2183" s="4"/>
      <c r="BB2183" s="4"/>
      <c r="BC2183" s="4"/>
      <c r="BD2183" s="4"/>
      <c r="BE2183" s="4"/>
      <c r="BF2183" s="4"/>
      <c r="BG2183" s="4"/>
      <c r="BH2183" s="4"/>
      <c r="BI2183" s="4"/>
      <c r="BJ2183" s="4"/>
      <c r="BK2183" s="4"/>
      <c r="BL2183" s="4"/>
      <c r="BM2183" s="4"/>
      <c r="BN2183" s="4"/>
      <c r="BO2183" s="4"/>
      <c r="BP2183" s="4"/>
      <c r="BQ2183" s="4"/>
      <c r="BR2183" s="4"/>
      <c r="BS2183" s="4"/>
      <c r="BT2183" s="4"/>
      <c r="BU2183" s="4"/>
    </row>
    <row r="2184" spans="29:73" s="1" customFormat="1" x14ac:dyDescent="0.25">
      <c r="AC2184" s="4"/>
      <c r="AD2184" s="4"/>
      <c r="AE2184" s="4"/>
      <c r="AF2184" s="4"/>
      <c r="AG2184" s="4"/>
      <c r="AH2184" s="4"/>
      <c r="AI2184" s="4"/>
      <c r="AJ2184" s="4"/>
      <c r="AK2184" s="4"/>
      <c r="AL2184" s="4"/>
      <c r="AM2184" s="4"/>
      <c r="AN2184" s="4"/>
      <c r="AO2184" s="4"/>
      <c r="AP2184" s="4"/>
      <c r="AQ2184" s="4"/>
      <c r="AR2184" s="4"/>
      <c r="AS2184" s="4"/>
      <c r="AT2184" s="4"/>
      <c r="AU2184" s="4"/>
      <c r="AV2184" s="4"/>
      <c r="AW2184" s="4"/>
      <c r="AX2184" s="4"/>
      <c r="AY2184" s="4"/>
      <c r="AZ2184" s="4"/>
      <c r="BA2184" s="4"/>
      <c r="BB2184" s="4"/>
      <c r="BC2184" s="4"/>
      <c r="BD2184" s="4"/>
      <c r="BE2184" s="4"/>
      <c r="BF2184" s="4"/>
      <c r="BG2184" s="4"/>
      <c r="BH2184" s="4"/>
      <c r="BI2184" s="4"/>
      <c r="BJ2184" s="4"/>
      <c r="BK2184" s="4"/>
      <c r="BL2184" s="4"/>
      <c r="BM2184" s="4"/>
      <c r="BN2184" s="4"/>
      <c r="BO2184" s="4"/>
      <c r="BP2184" s="4"/>
      <c r="BQ2184" s="4"/>
      <c r="BR2184" s="4"/>
      <c r="BS2184" s="4"/>
      <c r="BT2184" s="4"/>
      <c r="BU2184" s="4"/>
    </row>
    <row r="2185" spans="29:73" s="1" customFormat="1" x14ac:dyDescent="0.25">
      <c r="AC2185" s="4"/>
      <c r="AD2185" s="4"/>
      <c r="AE2185" s="4"/>
      <c r="AF2185" s="4"/>
      <c r="AG2185" s="4"/>
      <c r="AH2185" s="4"/>
      <c r="AI2185" s="4"/>
      <c r="AJ2185" s="4"/>
      <c r="AK2185" s="4"/>
      <c r="AL2185" s="4"/>
      <c r="AM2185" s="4"/>
      <c r="AN2185" s="4"/>
      <c r="AO2185" s="4"/>
      <c r="AP2185" s="4"/>
      <c r="AQ2185" s="4"/>
      <c r="AR2185" s="4"/>
      <c r="AS2185" s="4"/>
      <c r="AT2185" s="4"/>
      <c r="AU2185" s="4"/>
      <c r="AV2185" s="4"/>
      <c r="AW2185" s="4"/>
      <c r="AX2185" s="4"/>
      <c r="AY2185" s="4"/>
      <c r="AZ2185" s="4"/>
      <c r="BA2185" s="4"/>
      <c r="BB2185" s="4"/>
      <c r="BC2185" s="4"/>
      <c r="BD2185" s="4"/>
      <c r="BE2185" s="4"/>
      <c r="BF2185" s="4"/>
      <c r="BG2185" s="4"/>
      <c r="BH2185" s="4"/>
      <c r="BI2185" s="4"/>
      <c r="BJ2185" s="4"/>
      <c r="BK2185" s="4"/>
      <c r="BL2185" s="4"/>
      <c r="BM2185" s="4"/>
      <c r="BN2185" s="4"/>
      <c r="BO2185" s="4"/>
      <c r="BP2185" s="4"/>
      <c r="BQ2185" s="4"/>
      <c r="BR2185" s="4"/>
      <c r="BS2185" s="4"/>
      <c r="BT2185" s="4"/>
      <c r="BU2185" s="4"/>
    </row>
    <row r="2186" spans="29:73" s="1" customFormat="1" x14ac:dyDescent="0.25">
      <c r="AC2186" s="4"/>
      <c r="AD2186" s="4"/>
      <c r="AE2186" s="4"/>
      <c r="AF2186" s="4"/>
      <c r="AG2186" s="4"/>
      <c r="AH2186" s="4"/>
      <c r="AI2186" s="4"/>
      <c r="AJ2186" s="4"/>
      <c r="AK2186" s="4"/>
      <c r="AL2186" s="4"/>
      <c r="AM2186" s="4"/>
      <c r="AN2186" s="4"/>
      <c r="AO2186" s="4"/>
      <c r="AP2186" s="4"/>
      <c r="AQ2186" s="4"/>
      <c r="AR2186" s="4"/>
      <c r="AS2186" s="4"/>
      <c r="AT2186" s="4"/>
      <c r="AU2186" s="4"/>
      <c r="AV2186" s="4"/>
      <c r="AW2186" s="4"/>
      <c r="AX2186" s="4"/>
      <c r="AY2186" s="4"/>
      <c r="AZ2186" s="4"/>
      <c r="BA2186" s="4"/>
      <c r="BB2186" s="4"/>
      <c r="BC2186" s="4"/>
      <c r="BD2186" s="4"/>
      <c r="BE2186" s="4"/>
      <c r="BF2186" s="4"/>
      <c r="BG2186" s="4"/>
      <c r="BH2186" s="4"/>
      <c r="BI2186" s="4"/>
      <c r="BJ2186" s="4"/>
      <c r="BK2186" s="4"/>
      <c r="BL2186" s="4"/>
      <c r="BM2186" s="4"/>
      <c r="BN2186" s="4"/>
      <c r="BO2186" s="4"/>
      <c r="BP2186" s="4"/>
      <c r="BQ2186" s="4"/>
      <c r="BR2186" s="4"/>
      <c r="BS2186" s="4"/>
      <c r="BT2186" s="4"/>
      <c r="BU2186" s="4"/>
    </row>
    <row r="2187" spans="29:73" s="1" customFormat="1" x14ac:dyDescent="0.25">
      <c r="AC2187" s="4"/>
      <c r="AD2187" s="4"/>
      <c r="AE2187" s="4"/>
      <c r="AF2187" s="4"/>
      <c r="AG2187" s="4"/>
      <c r="AH2187" s="4"/>
      <c r="AI2187" s="4"/>
      <c r="AJ2187" s="4"/>
      <c r="AK2187" s="4"/>
      <c r="AL2187" s="4"/>
      <c r="AM2187" s="4"/>
      <c r="AN2187" s="4"/>
      <c r="AO2187" s="4"/>
      <c r="AP2187" s="4"/>
      <c r="AQ2187" s="4"/>
      <c r="AR2187" s="4"/>
      <c r="AS2187" s="4"/>
      <c r="AT2187" s="4"/>
      <c r="AU2187" s="4"/>
      <c r="AV2187" s="4"/>
      <c r="AW2187" s="4"/>
      <c r="AX2187" s="4"/>
      <c r="AY2187" s="4"/>
      <c r="AZ2187" s="4"/>
      <c r="BA2187" s="4"/>
      <c r="BB2187" s="4"/>
      <c r="BC2187" s="4"/>
      <c r="BD2187" s="4"/>
      <c r="BE2187" s="4"/>
      <c r="BF2187" s="4"/>
      <c r="BG2187" s="4"/>
      <c r="BH2187" s="4"/>
      <c r="BI2187" s="4"/>
      <c r="BJ2187" s="4"/>
      <c r="BK2187" s="4"/>
      <c r="BL2187" s="4"/>
      <c r="BM2187" s="4"/>
      <c r="BN2187" s="4"/>
      <c r="BO2187" s="4"/>
      <c r="BP2187" s="4"/>
      <c r="BQ2187" s="4"/>
      <c r="BR2187" s="4"/>
      <c r="BS2187" s="4"/>
      <c r="BT2187" s="4"/>
      <c r="BU2187" s="4"/>
    </row>
    <row r="2188" spans="29:73" s="1" customFormat="1" x14ac:dyDescent="0.25">
      <c r="AC2188" s="4"/>
      <c r="AD2188" s="4"/>
      <c r="AE2188" s="4"/>
      <c r="AF2188" s="4"/>
      <c r="AG2188" s="4"/>
      <c r="AH2188" s="4"/>
      <c r="AI2188" s="4"/>
      <c r="AJ2188" s="4"/>
      <c r="AK2188" s="4"/>
      <c r="AL2188" s="4"/>
      <c r="AM2188" s="4"/>
      <c r="AN2188" s="4"/>
      <c r="AO2188" s="4"/>
      <c r="AP2188" s="4"/>
      <c r="AQ2188" s="4"/>
      <c r="AR2188" s="4"/>
      <c r="AS2188" s="4"/>
      <c r="AT2188" s="4"/>
      <c r="AU2188" s="4"/>
      <c r="AV2188" s="4"/>
      <c r="AW2188" s="4"/>
      <c r="AX2188" s="4"/>
      <c r="AY2188" s="4"/>
      <c r="AZ2188" s="4"/>
      <c r="BA2188" s="4"/>
      <c r="BB2188" s="4"/>
      <c r="BC2188" s="4"/>
      <c r="BD2188" s="4"/>
      <c r="BE2188" s="4"/>
      <c r="BF2188" s="4"/>
      <c r="BG2188" s="4"/>
      <c r="BH2188" s="4"/>
      <c r="BI2188" s="4"/>
      <c r="BJ2188" s="4"/>
      <c r="BK2188" s="4"/>
      <c r="BL2188" s="4"/>
      <c r="BM2188" s="4"/>
      <c r="BN2188" s="4"/>
      <c r="BO2188" s="4"/>
      <c r="BP2188" s="4"/>
      <c r="BQ2188" s="4"/>
      <c r="BR2188" s="4"/>
      <c r="BS2188" s="4"/>
      <c r="BT2188" s="4"/>
      <c r="BU2188" s="4"/>
    </row>
    <row r="2189" spans="29:73" s="1" customFormat="1" x14ac:dyDescent="0.25">
      <c r="AC2189" s="4"/>
      <c r="AD2189" s="4"/>
      <c r="AE2189" s="4"/>
      <c r="AF2189" s="4"/>
      <c r="AG2189" s="4"/>
      <c r="AH2189" s="4"/>
      <c r="AI2189" s="4"/>
      <c r="AJ2189" s="4"/>
      <c r="AK2189" s="4"/>
      <c r="AL2189" s="4"/>
      <c r="AM2189" s="4"/>
      <c r="AN2189" s="4"/>
      <c r="AO2189" s="4"/>
      <c r="AP2189" s="4"/>
      <c r="AQ2189" s="4"/>
      <c r="AR2189" s="4"/>
      <c r="AS2189" s="4"/>
      <c r="AT2189" s="4"/>
      <c r="AU2189" s="4"/>
      <c r="AV2189" s="4"/>
      <c r="AW2189" s="4"/>
      <c r="AX2189" s="4"/>
      <c r="AY2189" s="4"/>
      <c r="AZ2189" s="4"/>
      <c r="BA2189" s="4"/>
      <c r="BB2189" s="4"/>
      <c r="BC2189" s="4"/>
      <c r="BD2189" s="4"/>
      <c r="BE2189" s="4"/>
      <c r="BF2189" s="4"/>
      <c r="BG2189" s="4"/>
      <c r="BH2189" s="4"/>
      <c r="BI2189" s="4"/>
      <c r="BJ2189" s="4"/>
      <c r="BK2189" s="4"/>
      <c r="BL2189" s="4"/>
      <c r="BM2189" s="4"/>
      <c r="BN2189" s="4"/>
      <c r="BO2189" s="4"/>
      <c r="BP2189" s="4"/>
      <c r="BQ2189" s="4"/>
      <c r="BR2189" s="4"/>
      <c r="BS2189" s="4"/>
      <c r="BT2189" s="4"/>
      <c r="BU2189" s="4"/>
    </row>
    <row r="2190" spans="29:73" s="1" customFormat="1" x14ac:dyDescent="0.25">
      <c r="AC2190" s="4"/>
      <c r="AD2190" s="4"/>
      <c r="AE2190" s="4"/>
      <c r="AF2190" s="4"/>
      <c r="AG2190" s="4"/>
      <c r="AH2190" s="4"/>
      <c r="AI2190" s="4"/>
      <c r="AJ2190" s="4"/>
      <c r="AK2190" s="4"/>
      <c r="AL2190" s="4"/>
      <c r="AM2190" s="4"/>
      <c r="AN2190" s="4"/>
      <c r="AO2190" s="4"/>
      <c r="AP2190" s="4"/>
      <c r="AQ2190" s="4"/>
      <c r="AR2190" s="4"/>
      <c r="AS2190" s="4"/>
      <c r="AT2190" s="4"/>
      <c r="AU2190" s="4"/>
      <c r="AV2190" s="4"/>
      <c r="AW2190" s="4"/>
      <c r="AX2190" s="4"/>
      <c r="AY2190" s="4"/>
      <c r="AZ2190" s="4"/>
      <c r="BA2190" s="4"/>
      <c r="BB2190" s="4"/>
      <c r="BC2190" s="4"/>
      <c r="BD2190" s="4"/>
      <c r="BE2190" s="4"/>
      <c r="BF2190" s="4"/>
      <c r="BG2190" s="4"/>
      <c r="BH2190" s="4"/>
      <c r="BI2190" s="4"/>
      <c r="BJ2190" s="4"/>
      <c r="BK2190" s="4"/>
      <c r="BL2190" s="4"/>
      <c r="BM2190" s="4"/>
      <c r="BN2190" s="4"/>
      <c r="BO2190" s="4"/>
      <c r="BP2190" s="4"/>
      <c r="BQ2190" s="4"/>
      <c r="BR2190" s="4"/>
      <c r="BS2190" s="4"/>
      <c r="BT2190" s="4"/>
      <c r="BU2190" s="4"/>
    </row>
    <row r="2191" spans="29:73" s="1" customFormat="1" x14ac:dyDescent="0.25">
      <c r="AC2191" s="4"/>
      <c r="AD2191" s="4"/>
      <c r="AE2191" s="4"/>
      <c r="AF2191" s="4"/>
      <c r="AG2191" s="4"/>
      <c r="AH2191" s="4"/>
      <c r="AI2191" s="4"/>
      <c r="AJ2191" s="4"/>
      <c r="AK2191" s="4"/>
      <c r="AL2191" s="4"/>
      <c r="AM2191" s="4"/>
      <c r="AN2191" s="4"/>
      <c r="AO2191" s="4"/>
      <c r="AP2191" s="4"/>
      <c r="AQ2191" s="4"/>
      <c r="AR2191" s="4"/>
      <c r="AS2191" s="4"/>
      <c r="AT2191" s="4"/>
      <c r="AU2191" s="4"/>
      <c r="AV2191" s="4"/>
      <c r="AW2191" s="4"/>
      <c r="AX2191" s="4"/>
      <c r="AY2191" s="4"/>
      <c r="AZ2191" s="4"/>
      <c r="BA2191" s="4"/>
      <c r="BB2191" s="4"/>
      <c r="BC2191" s="4"/>
      <c r="BD2191" s="4"/>
      <c r="BE2191" s="4"/>
      <c r="BF2191" s="4"/>
      <c r="BG2191" s="4"/>
      <c r="BH2191" s="4"/>
      <c r="BI2191" s="4"/>
      <c r="BJ2191" s="4"/>
      <c r="BK2191" s="4"/>
      <c r="BL2191" s="4"/>
      <c r="BM2191" s="4"/>
      <c r="BN2191" s="4"/>
      <c r="BO2191" s="4"/>
      <c r="BP2191" s="4"/>
      <c r="BQ2191" s="4"/>
      <c r="BR2191" s="4"/>
      <c r="BS2191" s="4"/>
      <c r="BT2191" s="4"/>
      <c r="BU2191" s="4"/>
    </row>
    <row r="2192" spans="29:73" s="1" customFormat="1" x14ac:dyDescent="0.25">
      <c r="AC2192" s="4"/>
      <c r="AD2192" s="4"/>
      <c r="AE2192" s="4"/>
      <c r="AF2192" s="4"/>
      <c r="AG2192" s="4"/>
      <c r="AH2192" s="4"/>
      <c r="AI2192" s="4"/>
      <c r="AJ2192" s="4"/>
      <c r="AK2192" s="4"/>
      <c r="AL2192" s="4"/>
      <c r="AM2192" s="4"/>
      <c r="AN2192" s="4"/>
      <c r="AO2192" s="4"/>
      <c r="AP2192" s="4"/>
      <c r="AQ2192" s="4"/>
      <c r="AR2192" s="4"/>
      <c r="AS2192" s="4"/>
      <c r="AT2192" s="4"/>
      <c r="AU2192" s="4"/>
      <c r="AV2192" s="4"/>
      <c r="AW2192" s="4"/>
      <c r="AX2192" s="4"/>
      <c r="AY2192" s="4"/>
      <c r="AZ2192" s="4"/>
      <c r="BA2192" s="4"/>
      <c r="BB2192" s="4"/>
      <c r="BC2192" s="4"/>
      <c r="BD2192" s="4"/>
      <c r="BE2192" s="4"/>
      <c r="BF2192" s="4"/>
      <c r="BG2192" s="4"/>
      <c r="BH2192" s="4"/>
      <c r="BI2192" s="4"/>
      <c r="BJ2192" s="4"/>
      <c r="BK2192" s="4"/>
      <c r="BL2192" s="4"/>
      <c r="BM2192" s="4"/>
      <c r="BN2192" s="4"/>
      <c r="BO2192" s="4"/>
      <c r="BP2192" s="4"/>
      <c r="BQ2192" s="4"/>
      <c r="BR2192" s="4"/>
      <c r="BS2192" s="4"/>
      <c r="BT2192" s="4"/>
      <c r="BU2192" s="4"/>
    </row>
    <row r="2193" spans="29:73" s="1" customFormat="1" x14ac:dyDescent="0.25">
      <c r="AC2193" s="4"/>
      <c r="AD2193" s="4"/>
      <c r="AE2193" s="4"/>
      <c r="AF2193" s="4"/>
      <c r="AG2193" s="4"/>
      <c r="AH2193" s="4"/>
      <c r="AI2193" s="4"/>
      <c r="AJ2193" s="4"/>
      <c r="AK2193" s="4"/>
      <c r="AL2193" s="4"/>
      <c r="AM2193" s="4"/>
      <c r="AN2193" s="4"/>
      <c r="AO2193" s="4"/>
      <c r="AP2193" s="4"/>
      <c r="AQ2193" s="4"/>
      <c r="AR2193" s="4"/>
      <c r="AS2193" s="4"/>
      <c r="AT2193" s="4"/>
      <c r="AU2193" s="4"/>
      <c r="AV2193" s="4"/>
      <c r="AW2193" s="4"/>
      <c r="AX2193" s="4"/>
      <c r="AY2193" s="4"/>
      <c r="AZ2193" s="4"/>
      <c r="BA2193" s="4"/>
      <c r="BB2193" s="4"/>
      <c r="BC2193" s="4"/>
      <c r="BD2193" s="4"/>
      <c r="BE2193" s="4"/>
      <c r="BF2193" s="4"/>
      <c r="BG2193" s="4"/>
      <c r="BH2193" s="4"/>
      <c r="BI2193" s="4"/>
      <c r="BJ2193" s="4"/>
      <c r="BK2193" s="4"/>
      <c r="BL2193" s="4"/>
      <c r="BM2193" s="4"/>
      <c r="BN2193" s="4"/>
      <c r="BO2193" s="4"/>
      <c r="BP2193" s="4"/>
      <c r="BQ2193" s="4"/>
      <c r="BR2193" s="4"/>
      <c r="BS2193" s="4"/>
      <c r="BT2193" s="4"/>
      <c r="BU2193" s="4"/>
    </row>
    <row r="2194" spans="29:73" s="1" customFormat="1" x14ac:dyDescent="0.25">
      <c r="AC2194" s="4"/>
      <c r="AD2194" s="4"/>
      <c r="AE2194" s="4"/>
      <c r="AF2194" s="4"/>
      <c r="AG2194" s="4"/>
      <c r="AH2194" s="4"/>
      <c r="AI2194" s="4"/>
      <c r="AJ2194" s="4"/>
      <c r="AK2194" s="4"/>
      <c r="AL2194" s="4"/>
      <c r="AM2194" s="4"/>
      <c r="AN2194" s="4"/>
      <c r="AO2194" s="4"/>
      <c r="AP2194" s="4"/>
      <c r="AQ2194" s="4"/>
      <c r="AR2194" s="4"/>
      <c r="AS2194" s="4"/>
      <c r="AT2194" s="4"/>
      <c r="AU2194" s="4"/>
      <c r="AV2194" s="4"/>
      <c r="AW2194" s="4"/>
      <c r="AX2194" s="4"/>
      <c r="AY2194" s="4"/>
      <c r="AZ2194" s="4"/>
      <c r="BA2194" s="4"/>
      <c r="BB2194" s="4"/>
      <c r="BC2194" s="4"/>
      <c r="BD2194" s="4"/>
      <c r="BE2194" s="4"/>
      <c r="BF2194" s="4"/>
      <c r="BG2194" s="4"/>
      <c r="BH2194" s="4"/>
      <c r="BI2194" s="4"/>
      <c r="BJ2194" s="4"/>
      <c r="BK2194" s="4"/>
      <c r="BL2194" s="4"/>
      <c r="BM2194" s="4"/>
      <c r="BN2194" s="4"/>
      <c r="BO2194" s="4"/>
      <c r="BP2194" s="4"/>
      <c r="BQ2194" s="4"/>
      <c r="BR2194" s="4"/>
      <c r="BS2194" s="4"/>
      <c r="BT2194" s="4"/>
      <c r="BU2194" s="4"/>
    </row>
    <row r="2195" spans="29:73" s="1" customFormat="1" x14ac:dyDescent="0.25">
      <c r="AC2195" s="4"/>
      <c r="AD2195" s="4"/>
      <c r="AE2195" s="4"/>
      <c r="AF2195" s="4"/>
      <c r="AG2195" s="4"/>
      <c r="AH2195" s="4"/>
      <c r="AI2195" s="4"/>
      <c r="AJ2195" s="4"/>
      <c r="AK2195" s="4"/>
      <c r="AL2195" s="4"/>
      <c r="AM2195" s="4"/>
      <c r="AN2195" s="4"/>
      <c r="AO2195" s="4"/>
      <c r="AP2195" s="4"/>
      <c r="AQ2195" s="4"/>
      <c r="AR2195" s="4"/>
      <c r="AS2195" s="4"/>
      <c r="AT2195" s="4"/>
      <c r="AU2195" s="4"/>
      <c r="AV2195" s="4"/>
      <c r="AW2195" s="4"/>
      <c r="AX2195" s="4"/>
      <c r="AY2195" s="4"/>
      <c r="AZ2195" s="4"/>
      <c r="BA2195" s="4"/>
      <c r="BB2195" s="4"/>
      <c r="BC2195" s="4"/>
      <c r="BD2195" s="4"/>
      <c r="BE2195" s="4"/>
      <c r="BF2195" s="4"/>
      <c r="BG2195" s="4"/>
      <c r="BH2195" s="4"/>
      <c r="BI2195" s="4"/>
      <c r="BJ2195" s="4"/>
      <c r="BK2195" s="4"/>
      <c r="BL2195" s="4"/>
      <c r="BM2195" s="4"/>
      <c r="BN2195" s="4"/>
      <c r="BO2195" s="4"/>
      <c r="BP2195" s="4"/>
      <c r="BQ2195" s="4"/>
      <c r="BR2195" s="4"/>
      <c r="BS2195" s="4"/>
      <c r="BT2195" s="4"/>
      <c r="BU2195" s="4"/>
    </row>
    <row r="2196" spans="29:73" s="1" customFormat="1" x14ac:dyDescent="0.25">
      <c r="AC2196" s="4"/>
      <c r="AD2196" s="4"/>
      <c r="AE2196" s="4"/>
      <c r="AF2196" s="4"/>
      <c r="AG2196" s="4"/>
      <c r="AH2196" s="4"/>
      <c r="AI2196" s="4"/>
      <c r="AJ2196" s="4"/>
      <c r="AK2196" s="4"/>
      <c r="AL2196" s="4"/>
      <c r="AM2196" s="4"/>
      <c r="AN2196" s="4"/>
      <c r="AO2196" s="4"/>
      <c r="AP2196" s="4"/>
      <c r="AQ2196" s="4"/>
      <c r="AR2196" s="4"/>
      <c r="AS2196" s="4"/>
      <c r="AT2196" s="4"/>
      <c r="AU2196" s="4"/>
      <c r="AV2196" s="4"/>
      <c r="AW2196" s="4"/>
      <c r="AX2196" s="4"/>
      <c r="AY2196" s="4"/>
      <c r="AZ2196" s="4"/>
      <c r="BA2196" s="4"/>
      <c r="BB2196" s="4"/>
      <c r="BC2196" s="4"/>
      <c r="BD2196" s="4"/>
      <c r="BE2196" s="4"/>
      <c r="BF2196" s="4"/>
      <c r="BG2196" s="4"/>
      <c r="BH2196" s="4"/>
      <c r="BI2196" s="4"/>
      <c r="BJ2196" s="4"/>
      <c r="BK2196" s="4"/>
      <c r="BL2196" s="4"/>
      <c r="BM2196" s="4"/>
      <c r="BN2196" s="4"/>
      <c r="BO2196" s="4"/>
      <c r="BP2196" s="4"/>
      <c r="BQ2196" s="4"/>
      <c r="BR2196" s="4"/>
      <c r="BS2196" s="4"/>
      <c r="BT2196" s="4"/>
      <c r="BU2196" s="4"/>
    </row>
    <row r="2197" spans="29:73" s="1" customFormat="1" x14ac:dyDescent="0.25">
      <c r="AC2197" s="4"/>
      <c r="AD2197" s="4"/>
      <c r="AE2197" s="4"/>
      <c r="AF2197" s="4"/>
      <c r="AG2197" s="4"/>
      <c r="AH2197" s="4"/>
      <c r="AI2197" s="4"/>
      <c r="AJ2197" s="4"/>
      <c r="AK2197" s="4"/>
      <c r="AL2197" s="4"/>
      <c r="AM2197" s="4"/>
      <c r="AN2197" s="4"/>
      <c r="AO2197" s="4"/>
      <c r="AP2197" s="4"/>
      <c r="AQ2197" s="4"/>
      <c r="AR2197" s="4"/>
      <c r="AS2197" s="4"/>
      <c r="AT2197" s="4"/>
      <c r="AU2197" s="4"/>
      <c r="AV2197" s="4"/>
      <c r="AW2197" s="4"/>
      <c r="AX2197" s="4"/>
      <c r="AY2197" s="4"/>
      <c r="AZ2197" s="4"/>
      <c r="BA2197" s="4"/>
      <c r="BB2197" s="4"/>
      <c r="BC2197" s="4"/>
      <c r="BD2197" s="4"/>
      <c r="BE2197" s="4"/>
      <c r="BF2197" s="4"/>
      <c r="BG2197" s="4"/>
      <c r="BH2197" s="4"/>
      <c r="BI2197" s="4"/>
      <c r="BJ2197" s="4"/>
      <c r="BK2197" s="4"/>
      <c r="BL2197" s="4"/>
      <c r="BM2197" s="4"/>
      <c r="BN2197" s="4"/>
      <c r="BO2197" s="4"/>
      <c r="BP2197" s="4"/>
      <c r="BQ2197" s="4"/>
      <c r="BR2197" s="4"/>
      <c r="BS2197" s="4"/>
      <c r="BT2197" s="4"/>
      <c r="BU2197" s="4"/>
    </row>
    <row r="2198" spans="29:73" s="1" customFormat="1" x14ac:dyDescent="0.25">
      <c r="AC2198" s="4"/>
      <c r="AD2198" s="4"/>
      <c r="AE2198" s="4"/>
      <c r="AF2198" s="4"/>
      <c r="AG2198" s="4"/>
      <c r="AH2198" s="4"/>
      <c r="AI2198" s="4"/>
      <c r="AJ2198" s="4"/>
      <c r="AK2198" s="4"/>
      <c r="AL2198" s="4"/>
      <c r="AM2198" s="4"/>
      <c r="AN2198" s="4"/>
      <c r="AO2198" s="4"/>
      <c r="AP2198" s="4"/>
      <c r="AQ2198" s="4"/>
      <c r="AR2198" s="4"/>
      <c r="AS2198" s="4"/>
      <c r="AT2198" s="4"/>
      <c r="AU2198" s="4"/>
      <c r="AV2198" s="4"/>
      <c r="AW2198" s="4"/>
      <c r="AX2198" s="4"/>
      <c r="AY2198" s="4"/>
      <c r="AZ2198" s="4"/>
      <c r="BA2198" s="4"/>
      <c r="BB2198" s="4"/>
      <c r="BC2198" s="4"/>
      <c r="BD2198" s="4"/>
      <c r="BE2198" s="4"/>
      <c r="BF2198" s="4"/>
      <c r="BG2198" s="4"/>
      <c r="BH2198" s="4"/>
      <c r="BI2198" s="4"/>
      <c r="BJ2198" s="4"/>
      <c r="BK2198" s="4"/>
      <c r="BL2198" s="4"/>
      <c r="BM2198" s="4"/>
      <c r="BN2198" s="4"/>
      <c r="BO2198" s="4"/>
      <c r="BP2198" s="4"/>
      <c r="BQ2198" s="4"/>
      <c r="BR2198" s="4"/>
      <c r="BS2198" s="4"/>
      <c r="BT2198" s="4"/>
      <c r="BU2198" s="4"/>
    </row>
    <row r="2199" spans="29:73" s="1" customFormat="1" x14ac:dyDescent="0.25">
      <c r="AC2199" s="4"/>
      <c r="AD2199" s="4"/>
      <c r="AE2199" s="4"/>
      <c r="AF2199" s="4"/>
      <c r="AG2199" s="4"/>
      <c r="AH2199" s="4"/>
      <c r="AI2199" s="4"/>
      <c r="AJ2199" s="4"/>
      <c r="AK2199" s="4"/>
      <c r="AL2199" s="4"/>
      <c r="AM2199" s="4"/>
      <c r="AN2199" s="4"/>
      <c r="AO2199" s="4"/>
      <c r="AP2199" s="4"/>
      <c r="AQ2199" s="4"/>
      <c r="AR2199" s="4"/>
      <c r="AS2199" s="4"/>
      <c r="AT2199" s="4"/>
      <c r="AU2199" s="4"/>
      <c r="AV2199" s="4"/>
      <c r="AW2199" s="4"/>
      <c r="AX2199" s="4"/>
      <c r="AY2199" s="4"/>
      <c r="AZ2199" s="4"/>
      <c r="BA2199" s="4"/>
      <c r="BB2199" s="4"/>
      <c r="BC2199" s="4"/>
      <c r="BD2199" s="4"/>
      <c r="BE2199" s="4"/>
      <c r="BF2199" s="4"/>
      <c r="BG2199" s="4"/>
      <c r="BH2199" s="4"/>
      <c r="BI2199" s="4"/>
      <c r="BJ2199" s="4"/>
      <c r="BK2199" s="4"/>
      <c r="BL2199" s="4"/>
      <c r="BM2199" s="4"/>
      <c r="BN2199" s="4"/>
      <c r="BO2199" s="4"/>
      <c r="BP2199" s="4"/>
      <c r="BQ2199" s="4"/>
      <c r="BR2199" s="4"/>
      <c r="BS2199" s="4"/>
      <c r="BT2199" s="4"/>
      <c r="BU2199" s="4"/>
    </row>
    <row r="2200" spans="29:73" s="1" customFormat="1" x14ac:dyDescent="0.25">
      <c r="AC2200" s="4"/>
      <c r="AD2200" s="4"/>
      <c r="AE2200" s="4"/>
      <c r="AF2200" s="4"/>
      <c r="AG2200" s="4"/>
      <c r="AH2200" s="4"/>
      <c r="AI2200" s="4"/>
      <c r="AJ2200" s="4"/>
      <c r="AK2200" s="4"/>
      <c r="AL2200" s="4"/>
      <c r="AM2200" s="4"/>
      <c r="AN2200" s="4"/>
      <c r="AO2200" s="4"/>
      <c r="AP2200" s="4"/>
      <c r="AQ2200" s="4"/>
      <c r="AR2200" s="4"/>
      <c r="AS2200" s="4"/>
      <c r="AT2200" s="4"/>
      <c r="AU2200" s="4"/>
      <c r="AV2200" s="4"/>
      <c r="AW2200" s="4"/>
      <c r="AX2200" s="4"/>
      <c r="AY2200" s="4"/>
      <c r="AZ2200" s="4"/>
      <c r="BA2200" s="4"/>
      <c r="BB2200" s="4"/>
      <c r="BC2200" s="4"/>
      <c r="BD2200" s="4"/>
      <c r="BE2200" s="4"/>
      <c r="BF2200" s="4"/>
      <c r="BG2200" s="4"/>
      <c r="BH2200" s="4"/>
      <c r="BI2200" s="4"/>
      <c r="BJ2200" s="4"/>
      <c r="BK2200" s="4"/>
      <c r="BL2200" s="4"/>
      <c r="BM2200" s="4"/>
      <c r="BN2200" s="4"/>
      <c r="BO2200" s="4"/>
      <c r="BP2200" s="4"/>
      <c r="BQ2200" s="4"/>
      <c r="BR2200" s="4"/>
      <c r="BS2200" s="4"/>
      <c r="BT2200" s="4"/>
      <c r="BU2200" s="4"/>
    </row>
    <row r="2201" spans="29:73" s="1" customFormat="1" x14ac:dyDescent="0.25">
      <c r="AC2201" s="4"/>
      <c r="AD2201" s="4"/>
      <c r="AE2201" s="4"/>
      <c r="AF2201" s="4"/>
      <c r="AG2201" s="4"/>
      <c r="AH2201" s="4"/>
      <c r="AI2201" s="4"/>
      <c r="AJ2201" s="4"/>
      <c r="AK2201" s="4"/>
      <c r="AL2201" s="4"/>
      <c r="AM2201" s="4"/>
      <c r="AN2201" s="4"/>
      <c r="AO2201" s="4"/>
      <c r="AP2201" s="4"/>
      <c r="AQ2201" s="4"/>
      <c r="AR2201" s="4"/>
      <c r="AS2201" s="4"/>
      <c r="AT2201" s="4"/>
      <c r="AU2201" s="4"/>
      <c r="AV2201" s="4"/>
      <c r="AW2201" s="4"/>
      <c r="AX2201" s="4"/>
      <c r="AY2201" s="4"/>
      <c r="AZ2201" s="4"/>
      <c r="BA2201" s="4"/>
      <c r="BB2201" s="4"/>
      <c r="BC2201" s="4"/>
      <c r="BD2201" s="4"/>
      <c r="BE2201" s="4"/>
      <c r="BF2201" s="4"/>
      <c r="BG2201" s="4"/>
      <c r="BH2201" s="4"/>
      <c r="BI2201" s="4"/>
      <c r="BJ2201" s="4"/>
      <c r="BK2201" s="4"/>
      <c r="BL2201" s="4"/>
      <c r="BM2201" s="4"/>
      <c r="BN2201" s="4"/>
      <c r="BO2201" s="4"/>
      <c r="BP2201" s="4"/>
      <c r="BQ2201" s="4"/>
      <c r="BR2201" s="4"/>
      <c r="BS2201" s="4"/>
      <c r="BT2201" s="4"/>
      <c r="BU2201" s="4"/>
    </row>
    <row r="2202" spans="29:73" s="1" customFormat="1" x14ac:dyDescent="0.25">
      <c r="AC2202" s="4"/>
      <c r="AD2202" s="4"/>
      <c r="AE2202" s="4"/>
      <c r="AF2202" s="4"/>
      <c r="AG2202" s="4"/>
      <c r="AH2202" s="4"/>
      <c r="AI2202" s="4"/>
      <c r="AJ2202" s="4"/>
      <c r="AK2202" s="4"/>
      <c r="AL2202" s="4"/>
      <c r="AM2202" s="4"/>
      <c r="AN2202" s="4"/>
      <c r="AO2202" s="4"/>
      <c r="AP2202" s="4"/>
      <c r="AQ2202" s="4"/>
      <c r="AR2202" s="4"/>
      <c r="AS2202" s="4"/>
      <c r="AT2202" s="4"/>
      <c r="AU2202" s="4"/>
      <c r="AV2202" s="4"/>
      <c r="AW2202" s="4"/>
      <c r="AX2202" s="4"/>
      <c r="AY2202" s="4"/>
      <c r="AZ2202" s="4"/>
      <c r="BA2202" s="4"/>
      <c r="BB2202" s="4"/>
      <c r="BC2202" s="4"/>
      <c r="BD2202" s="4"/>
      <c r="BE2202" s="4"/>
      <c r="BF2202" s="4"/>
      <c r="BG2202" s="4"/>
      <c r="BH2202" s="4"/>
      <c r="BI2202" s="4"/>
      <c r="BJ2202" s="4"/>
      <c r="BK2202" s="4"/>
      <c r="BL2202" s="4"/>
      <c r="BM2202" s="4"/>
      <c r="BN2202" s="4"/>
      <c r="BO2202" s="4"/>
      <c r="BP2202" s="4"/>
      <c r="BQ2202" s="4"/>
      <c r="BR2202" s="4"/>
      <c r="BS2202" s="4"/>
      <c r="BT2202" s="4"/>
      <c r="BU2202" s="4"/>
    </row>
    <row r="2203" spans="29:73" s="1" customFormat="1" x14ac:dyDescent="0.25">
      <c r="AC2203" s="4"/>
      <c r="AD2203" s="4"/>
      <c r="AE2203" s="4"/>
      <c r="AF2203" s="4"/>
      <c r="AG2203" s="4"/>
      <c r="AH2203" s="4"/>
      <c r="AI2203" s="4"/>
      <c r="AJ2203" s="4"/>
      <c r="AK2203" s="4"/>
      <c r="AL2203" s="4"/>
      <c r="AM2203" s="4"/>
      <c r="AN2203" s="4"/>
      <c r="AO2203" s="4"/>
      <c r="AP2203" s="4"/>
      <c r="AQ2203" s="4"/>
      <c r="AR2203" s="4"/>
      <c r="AS2203" s="4"/>
      <c r="AT2203" s="4"/>
      <c r="AU2203" s="4"/>
      <c r="AV2203" s="4"/>
      <c r="AW2203" s="4"/>
      <c r="AX2203" s="4"/>
      <c r="AY2203" s="4"/>
      <c r="AZ2203" s="4"/>
      <c r="BA2203" s="4"/>
      <c r="BB2203" s="4"/>
      <c r="BC2203" s="4"/>
      <c r="BD2203" s="4"/>
      <c r="BE2203" s="4"/>
      <c r="BF2203" s="4"/>
      <c r="BG2203" s="4"/>
      <c r="BH2203" s="4"/>
      <c r="BI2203" s="4"/>
      <c r="BJ2203" s="4"/>
      <c r="BK2203" s="4"/>
      <c r="BL2203" s="4"/>
      <c r="BM2203" s="4"/>
      <c r="BN2203" s="4"/>
      <c r="BO2203" s="4"/>
      <c r="BP2203" s="4"/>
      <c r="BQ2203" s="4"/>
      <c r="BR2203" s="4"/>
      <c r="BS2203" s="4"/>
      <c r="BT2203" s="4"/>
      <c r="BU2203" s="4"/>
    </row>
    <row r="2204" spans="29:73" s="1" customFormat="1" x14ac:dyDescent="0.25">
      <c r="AC2204" s="4"/>
      <c r="AD2204" s="4"/>
      <c r="AE2204" s="4"/>
      <c r="AF2204" s="4"/>
      <c r="AG2204" s="4"/>
      <c r="AH2204" s="4"/>
      <c r="AI2204" s="4"/>
      <c r="AJ2204" s="4"/>
      <c r="AK2204" s="4"/>
      <c r="AL2204" s="4"/>
      <c r="AM2204" s="4"/>
      <c r="AN2204" s="4"/>
      <c r="AO2204" s="4"/>
      <c r="AP2204" s="4"/>
      <c r="AQ2204" s="4"/>
      <c r="AR2204" s="4"/>
      <c r="AS2204" s="4"/>
      <c r="AT2204" s="4"/>
      <c r="AU2204" s="4"/>
      <c r="AV2204" s="4"/>
      <c r="AW2204" s="4"/>
      <c r="AX2204" s="4"/>
      <c r="AY2204" s="4"/>
      <c r="AZ2204" s="4"/>
      <c r="BA2204" s="4"/>
      <c r="BB2204" s="4"/>
      <c r="BC2204" s="4"/>
      <c r="BD2204" s="4"/>
      <c r="BE2204" s="4"/>
      <c r="BF2204" s="4"/>
      <c r="BG2204" s="4"/>
      <c r="BH2204" s="4"/>
      <c r="BI2204" s="4"/>
      <c r="BJ2204" s="4"/>
      <c r="BK2204" s="4"/>
      <c r="BL2204" s="4"/>
      <c r="BM2204" s="4"/>
      <c r="BN2204" s="4"/>
      <c r="BO2204" s="4"/>
      <c r="BP2204" s="4"/>
      <c r="BQ2204" s="4"/>
      <c r="BR2204" s="4"/>
      <c r="BS2204" s="4"/>
      <c r="BT2204" s="4"/>
      <c r="BU2204" s="4"/>
    </row>
    <row r="2205" spans="29:73" s="1" customFormat="1" x14ac:dyDescent="0.25">
      <c r="AC2205" s="4"/>
      <c r="AD2205" s="4"/>
      <c r="AE2205" s="4"/>
      <c r="AF2205" s="4"/>
      <c r="AG2205" s="4"/>
      <c r="AH2205" s="4"/>
      <c r="AI2205" s="4"/>
      <c r="AJ2205" s="4"/>
      <c r="AK2205" s="4"/>
      <c r="AL2205" s="4"/>
      <c r="AM2205" s="4"/>
      <c r="AN2205" s="4"/>
      <c r="AO2205" s="4"/>
      <c r="AP2205" s="4"/>
      <c r="AQ2205" s="4"/>
      <c r="AR2205" s="4"/>
      <c r="AS2205" s="4"/>
      <c r="AT2205" s="4"/>
      <c r="AU2205" s="4"/>
      <c r="AV2205" s="4"/>
      <c r="AW2205" s="4"/>
      <c r="AX2205" s="4"/>
      <c r="AY2205" s="4"/>
      <c r="AZ2205" s="4"/>
      <c r="BA2205" s="4"/>
      <c r="BB2205" s="4"/>
      <c r="BC2205" s="4"/>
      <c r="BD2205" s="4"/>
      <c r="BE2205" s="4"/>
      <c r="BF2205" s="4"/>
      <c r="BG2205" s="4"/>
      <c r="BH2205" s="4"/>
      <c r="BI2205" s="4"/>
      <c r="BJ2205" s="4"/>
      <c r="BK2205" s="4"/>
      <c r="BL2205" s="4"/>
      <c r="BM2205" s="4"/>
      <c r="BN2205" s="4"/>
      <c r="BO2205" s="4"/>
      <c r="BP2205" s="4"/>
      <c r="BQ2205" s="4"/>
      <c r="BR2205" s="4"/>
      <c r="BS2205" s="4"/>
      <c r="BT2205" s="4"/>
      <c r="BU2205" s="4"/>
    </row>
    <row r="2206" spans="29:73" s="1" customFormat="1" x14ac:dyDescent="0.25">
      <c r="AC2206" s="4"/>
      <c r="AD2206" s="4"/>
      <c r="AE2206" s="4"/>
      <c r="AF2206" s="4"/>
      <c r="AG2206" s="4"/>
      <c r="AH2206" s="4"/>
      <c r="AI2206" s="4"/>
      <c r="AJ2206" s="4"/>
      <c r="AK2206" s="4"/>
      <c r="AL2206" s="4"/>
      <c r="AM2206" s="4"/>
      <c r="AN2206" s="4"/>
      <c r="AO2206" s="4"/>
      <c r="AP2206" s="4"/>
      <c r="AQ2206" s="4"/>
      <c r="AR2206" s="4"/>
      <c r="AS2206" s="4"/>
      <c r="AT2206" s="4"/>
      <c r="AU2206" s="4"/>
      <c r="AV2206" s="4"/>
      <c r="AW2206" s="4"/>
      <c r="AX2206" s="4"/>
      <c r="AY2206" s="4"/>
      <c r="AZ2206" s="4"/>
      <c r="BA2206" s="4"/>
      <c r="BB2206" s="4"/>
      <c r="BC2206" s="4"/>
      <c r="BD2206" s="4"/>
      <c r="BE2206" s="4"/>
      <c r="BF2206" s="4"/>
      <c r="BG2206" s="4"/>
      <c r="BH2206" s="4"/>
      <c r="BI2206" s="4"/>
      <c r="BJ2206" s="4"/>
      <c r="BK2206" s="4"/>
      <c r="BL2206" s="4"/>
      <c r="BM2206" s="4"/>
      <c r="BN2206" s="4"/>
      <c r="BO2206" s="4"/>
      <c r="BP2206" s="4"/>
      <c r="BQ2206" s="4"/>
      <c r="BR2206" s="4"/>
      <c r="BS2206" s="4"/>
      <c r="BT2206" s="4"/>
      <c r="BU2206" s="4"/>
    </row>
    <row r="2207" spans="29:73" s="1" customFormat="1" x14ac:dyDescent="0.25">
      <c r="AC2207" s="4"/>
      <c r="AD2207" s="4"/>
      <c r="AE2207" s="4"/>
      <c r="AF2207" s="4"/>
      <c r="AG2207" s="4"/>
      <c r="AH2207" s="4"/>
      <c r="AI2207" s="4"/>
      <c r="AJ2207" s="4"/>
      <c r="AK2207" s="4"/>
      <c r="AL2207" s="4"/>
      <c r="AM2207" s="4"/>
      <c r="AN2207" s="4"/>
      <c r="AO2207" s="4"/>
      <c r="AP2207" s="4"/>
      <c r="AQ2207" s="4"/>
      <c r="AR2207" s="4"/>
      <c r="AS2207" s="4"/>
      <c r="AT2207" s="4"/>
      <c r="AU2207" s="4"/>
      <c r="AV2207" s="4"/>
      <c r="AW2207" s="4"/>
      <c r="AX2207" s="4"/>
      <c r="AY2207" s="4"/>
      <c r="AZ2207" s="4"/>
      <c r="BA2207" s="4"/>
      <c r="BB2207" s="4"/>
      <c r="BC2207" s="4"/>
      <c r="BD2207" s="4"/>
      <c r="BE2207" s="4"/>
      <c r="BF2207" s="4"/>
      <c r="BG2207" s="4"/>
      <c r="BH2207" s="4"/>
      <c r="BI2207" s="4"/>
      <c r="BJ2207" s="4"/>
      <c r="BK2207" s="4"/>
      <c r="BL2207" s="4"/>
      <c r="BM2207" s="4"/>
      <c r="BN2207" s="4"/>
      <c r="BO2207" s="4"/>
      <c r="BP2207" s="4"/>
      <c r="BQ2207" s="4"/>
      <c r="BR2207" s="4"/>
      <c r="BS2207" s="4"/>
      <c r="BT2207" s="4"/>
      <c r="BU2207" s="4"/>
    </row>
    <row r="2208" spans="29:73" s="1" customFormat="1" x14ac:dyDescent="0.25">
      <c r="AC2208" s="4"/>
      <c r="AD2208" s="4"/>
      <c r="AE2208" s="4"/>
      <c r="AF2208" s="4"/>
      <c r="AG2208" s="4"/>
      <c r="AH2208" s="4"/>
      <c r="AI2208" s="4"/>
      <c r="AJ2208" s="4"/>
      <c r="AK2208" s="4"/>
      <c r="AL2208" s="4"/>
      <c r="AM2208" s="4"/>
      <c r="AN2208" s="4"/>
      <c r="AO2208" s="4"/>
      <c r="AP2208" s="4"/>
      <c r="AQ2208" s="4"/>
      <c r="AR2208" s="4"/>
      <c r="AS2208" s="4"/>
      <c r="AT2208" s="4"/>
      <c r="AU2208" s="4"/>
      <c r="AV2208" s="4"/>
      <c r="AW2208" s="4"/>
      <c r="AX2208" s="4"/>
      <c r="AY2208" s="4"/>
      <c r="AZ2208" s="4"/>
      <c r="BA2208" s="4"/>
      <c r="BB2208" s="4"/>
      <c r="BC2208" s="4"/>
      <c r="BD2208" s="4"/>
      <c r="BE2208" s="4"/>
      <c r="BF2208" s="4"/>
      <c r="BG2208" s="4"/>
      <c r="BH2208" s="4"/>
      <c r="BI2208" s="4"/>
      <c r="BJ2208" s="4"/>
      <c r="BK2208" s="4"/>
      <c r="BL2208" s="4"/>
      <c r="BM2208" s="4"/>
      <c r="BN2208" s="4"/>
      <c r="BO2208" s="4"/>
      <c r="BP2208" s="4"/>
      <c r="BQ2208" s="4"/>
      <c r="BR2208" s="4"/>
      <c r="BS2208" s="4"/>
      <c r="BT2208" s="4"/>
      <c r="BU2208" s="4"/>
    </row>
    <row r="2209" spans="29:73" s="1" customFormat="1" x14ac:dyDescent="0.25">
      <c r="AC2209" s="4"/>
      <c r="AD2209" s="4"/>
      <c r="AE2209" s="4"/>
      <c r="AF2209" s="4"/>
      <c r="AG2209" s="4"/>
      <c r="AH2209" s="4"/>
      <c r="AI2209" s="4"/>
      <c r="AJ2209" s="4"/>
      <c r="AK2209" s="4"/>
      <c r="AL2209" s="4"/>
      <c r="AM2209" s="4"/>
      <c r="AN2209" s="4"/>
      <c r="AO2209" s="4"/>
      <c r="AP2209" s="4"/>
      <c r="AQ2209" s="4"/>
      <c r="AR2209" s="4"/>
      <c r="AS2209" s="4"/>
      <c r="AT2209" s="4"/>
      <c r="AU2209" s="4"/>
      <c r="AV2209" s="4"/>
      <c r="AW2209" s="4"/>
      <c r="AX2209" s="4"/>
      <c r="AY2209" s="4"/>
      <c r="AZ2209" s="4"/>
      <c r="BA2209" s="4"/>
      <c r="BB2209" s="4"/>
      <c r="BC2209" s="4"/>
      <c r="BD2209" s="4"/>
      <c r="BE2209" s="4"/>
      <c r="BF2209" s="4"/>
      <c r="BG2209" s="4"/>
      <c r="BH2209" s="4"/>
      <c r="BI2209" s="4"/>
      <c r="BJ2209" s="4"/>
      <c r="BK2209" s="4"/>
      <c r="BL2209" s="4"/>
      <c r="BM2209" s="4"/>
      <c r="BN2209" s="4"/>
      <c r="BO2209" s="4"/>
      <c r="BP2209" s="4"/>
      <c r="BQ2209" s="4"/>
      <c r="BR2209" s="4"/>
      <c r="BS2209" s="4"/>
      <c r="BT2209" s="4"/>
      <c r="BU2209" s="4"/>
    </row>
    <row r="2210" spans="29:73" s="1" customFormat="1" x14ac:dyDescent="0.25">
      <c r="AC2210" s="4"/>
      <c r="AD2210" s="4"/>
      <c r="AE2210" s="4"/>
      <c r="AF2210" s="4"/>
      <c r="AG2210" s="4"/>
      <c r="AH2210" s="4"/>
      <c r="AI2210" s="4"/>
      <c r="AJ2210" s="4"/>
      <c r="AK2210" s="4"/>
      <c r="AL2210" s="4"/>
      <c r="AM2210" s="4"/>
      <c r="AN2210" s="4"/>
      <c r="AO2210" s="4"/>
      <c r="AP2210" s="4"/>
      <c r="AQ2210" s="4"/>
      <c r="AR2210" s="4"/>
      <c r="AS2210" s="4"/>
      <c r="AT2210" s="4"/>
      <c r="AU2210" s="4"/>
      <c r="AV2210" s="4"/>
      <c r="AW2210" s="4"/>
      <c r="AX2210" s="4"/>
      <c r="AY2210" s="4"/>
      <c r="AZ2210" s="4"/>
      <c r="BA2210" s="4"/>
      <c r="BB2210" s="4"/>
      <c r="BC2210" s="4"/>
      <c r="BD2210" s="4"/>
      <c r="BE2210" s="4"/>
      <c r="BF2210" s="4"/>
      <c r="BG2210" s="4"/>
      <c r="BH2210" s="4"/>
      <c r="BI2210" s="4"/>
      <c r="BJ2210" s="4"/>
      <c r="BK2210" s="4"/>
      <c r="BL2210" s="4"/>
      <c r="BM2210" s="4"/>
      <c r="BN2210" s="4"/>
      <c r="BO2210" s="4"/>
      <c r="BP2210" s="4"/>
      <c r="BQ2210" s="4"/>
      <c r="BR2210" s="4"/>
      <c r="BS2210" s="4"/>
      <c r="BT2210" s="4"/>
      <c r="BU2210" s="4"/>
    </row>
    <row r="2211" spans="29:73" s="1" customFormat="1" x14ac:dyDescent="0.25">
      <c r="AC2211" s="4"/>
      <c r="AD2211" s="4"/>
      <c r="AE2211" s="4"/>
      <c r="AF2211" s="4"/>
      <c r="AG2211" s="4"/>
      <c r="AH2211" s="4"/>
      <c r="AI2211" s="4"/>
      <c r="AJ2211" s="4"/>
      <c r="AK2211" s="4"/>
      <c r="AL2211" s="4"/>
      <c r="AM2211" s="4"/>
      <c r="AN2211" s="4"/>
      <c r="AO2211" s="4"/>
      <c r="AP2211" s="4"/>
      <c r="AQ2211" s="4"/>
      <c r="AR2211" s="4"/>
      <c r="AS2211" s="4"/>
      <c r="AT2211" s="4"/>
      <c r="AU2211" s="4"/>
      <c r="AV2211" s="4"/>
      <c r="AW2211" s="4"/>
      <c r="AX2211" s="4"/>
      <c r="AY2211" s="4"/>
      <c r="AZ2211" s="4"/>
      <c r="BA2211" s="4"/>
      <c r="BB2211" s="4"/>
      <c r="BC2211" s="4"/>
      <c r="BD2211" s="4"/>
      <c r="BE2211" s="4"/>
      <c r="BF2211" s="4"/>
      <c r="BG2211" s="4"/>
      <c r="BH2211" s="4"/>
      <c r="BI2211" s="4"/>
      <c r="BJ2211" s="4"/>
      <c r="BK2211" s="4"/>
      <c r="BL2211" s="4"/>
      <c r="BM2211" s="4"/>
      <c r="BN2211" s="4"/>
      <c r="BO2211" s="4"/>
      <c r="BP2211" s="4"/>
      <c r="BQ2211" s="4"/>
      <c r="BR2211" s="4"/>
      <c r="BS2211" s="4"/>
      <c r="BT2211" s="4"/>
      <c r="BU2211" s="4"/>
    </row>
    <row r="2212" spans="29:73" s="1" customFormat="1" x14ac:dyDescent="0.25">
      <c r="AC2212" s="4"/>
      <c r="AD2212" s="4"/>
      <c r="AE2212" s="4"/>
      <c r="AF2212" s="4"/>
      <c r="AG2212" s="4"/>
      <c r="AH2212" s="4"/>
      <c r="AI2212" s="4"/>
      <c r="AJ2212" s="4"/>
      <c r="AK2212" s="4"/>
      <c r="AL2212" s="4"/>
      <c r="AM2212" s="4"/>
      <c r="AN2212" s="4"/>
      <c r="AO2212" s="4"/>
      <c r="AP2212" s="4"/>
      <c r="AQ2212" s="4"/>
      <c r="AR2212" s="4"/>
      <c r="AS2212" s="4"/>
      <c r="AT2212" s="4"/>
      <c r="AU2212" s="4"/>
      <c r="AV2212" s="4"/>
      <c r="AW2212" s="4"/>
      <c r="AX2212" s="4"/>
      <c r="AY2212" s="4"/>
      <c r="AZ2212" s="4"/>
      <c r="BA2212" s="4"/>
      <c r="BB2212" s="4"/>
      <c r="BC2212" s="4"/>
      <c r="BD2212" s="4"/>
      <c r="BE2212" s="4"/>
      <c r="BF2212" s="4"/>
      <c r="BG2212" s="4"/>
      <c r="BH2212" s="4"/>
      <c r="BI2212" s="4"/>
      <c r="BJ2212" s="4"/>
      <c r="BK2212" s="4"/>
      <c r="BL2212" s="4"/>
      <c r="BM2212" s="4"/>
      <c r="BN2212" s="4"/>
      <c r="BO2212" s="4"/>
      <c r="BP2212" s="4"/>
      <c r="BQ2212" s="4"/>
      <c r="BR2212" s="4"/>
      <c r="BS2212" s="4"/>
      <c r="BT2212" s="4"/>
      <c r="BU2212" s="4"/>
    </row>
    <row r="2213" spans="29:73" s="1" customFormat="1" x14ac:dyDescent="0.25">
      <c r="AC2213" s="4"/>
      <c r="AD2213" s="4"/>
      <c r="AE2213" s="4"/>
      <c r="AF2213" s="4"/>
      <c r="AG2213" s="4"/>
      <c r="AH2213" s="4"/>
      <c r="AI2213" s="4"/>
      <c r="AJ2213" s="4"/>
      <c r="AK2213" s="4"/>
      <c r="AL2213" s="4"/>
      <c r="AM2213" s="4"/>
      <c r="AN2213" s="4"/>
      <c r="AO2213" s="4"/>
      <c r="AP2213" s="4"/>
      <c r="AQ2213" s="4"/>
      <c r="AR2213" s="4"/>
      <c r="AS2213" s="4"/>
      <c r="AT2213" s="4"/>
      <c r="AU2213" s="4"/>
      <c r="AV2213" s="4"/>
      <c r="AW2213" s="4"/>
      <c r="AX2213" s="4"/>
      <c r="AY2213" s="4"/>
      <c r="AZ2213" s="4"/>
      <c r="BA2213" s="4"/>
      <c r="BB2213" s="4"/>
      <c r="BC2213" s="4"/>
      <c r="BD2213" s="4"/>
      <c r="BE2213" s="4"/>
      <c r="BF2213" s="4"/>
      <c r="BG2213" s="4"/>
      <c r="BH2213" s="4"/>
      <c r="BI2213" s="4"/>
      <c r="BJ2213" s="4"/>
      <c r="BK2213" s="4"/>
      <c r="BL2213" s="4"/>
      <c r="BM2213" s="4"/>
      <c r="BN2213" s="4"/>
      <c r="BO2213" s="4"/>
      <c r="BP2213" s="4"/>
      <c r="BQ2213" s="4"/>
      <c r="BR2213" s="4"/>
      <c r="BS2213" s="4"/>
      <c r="BT2213" s="4"/>
      <c r="BU2213" s="4"/>
    </row>
    <row r="2214" spans="29:73" s="1" customFormat="1" x14ac:dyDescent="0.25">
      <c r="AC2214" s="4"/>
      <c r="AD2214" s="4"/>
      <c r="AE2214" s="4"/>
      <c r="AF2214" s="4"/>
      <c r="AG2214" s="4"/>
      <c r="AH2214" s="4"/>
      <c r="AI2214" s="4"/>
      <c r="AJ2214" s="4"/>
      <c r="AK2214" s="4"/>
      <c r="AL2214" s="4"/>
      <c r="AM2214" s="4"/>
      <c r="AN2214" s="4"/>
      <c r="AO2214" s="4"/>
      <c r="AP2214" s="4"/>
      <c r="AQ2214" s="4"/>
      <c r="AR2214" s="4"/>
      <c r="AS2214" s="4"/>
      <c r="AT2214" s="4"/>
      <c r="AU2214" s="4"/>
      <c r="AV2214" s="4"/>
      <c r="AW2214" s="4"/>
      <c r="AX2214" s="4"/>
      <c r="AY2214" s="4"/>
      <c r="AZ2214" s="4"/>
      <c r="BA2214" s="4"/>
      <c r="BB2214" s="4"/>
      <c r="BC2214" s="4"/>
      <c r="BD2214" s="4"/>
      <c r="BE2214" s="4"/>
      <c r="BF2214" s="4"/>
      <c r="BG2214" s="4"/>
      <c r="BH2214" s="4"/>
      <c r="BI2214" s="4"/>
      <c r="BJ2214" s="4"/>
      <c r="BK2214" s="4"/>
      <c r="BL2214" s="4"/>
      <c r="BM2214" s="4"/>
      <c r="BN2214" s="4"/>
      <c r="BO2214" s="4"/>
      <c r="BP2214" s="4"/>
      <c r="BQ2214" s="4"/>
      <c r="BR2214" s="4"/>
      <c r="BS2214" s="4"/>
      <c r="BT2214" s="4"/>
      <c r="BU2214" s="4"/>
    </row>
    <row r="2215" spans="29:73" s="1" customFormat="1" x14ac:dyDescent="0.25">
      <c r="AC2215" s="4"/>
      <c r="AD2215" s="4"/>
      <c r="AE2215" s="4"/>
      <c r="AF2215" s="4"/>
      <c r="AG2215" s="4"/>
      <c r="AH2215" s="4"/>
      <c r="AI2215" s="4"/>
      <c r="AJ2215" s="4"/>
      <c r="AK2215" s="4"/>
      <c r="AL2215" s="4"/>
      <c r="AM2215" s="4"/>
      <c r="AN2215" s="4"/>
      <c r="AO2215" s="4"/>
      <c r="AP2215" s="4"/>
      <c r="AQ2215" s="4"/>
      <c r="AR2215" s="4"/>
      <c r="AS2215" s="4"/>
      <c r="AT2215" s="4"/>
      <c r="AU2215" s="4"/>
      <c r="AV2215" s="4"/>
      <c r="AW2215" s="4"/>
      <c r="AX2215" s="4"/>
      <c r="AY2215" s="4"/>
      <c r="AZ2215" s="4"/>
      <c r="BA2215" s="4"/>
      <c r="BB2215" s="4"/>
      <c r="BC2215" s="4"/>
      <c r="BD2215" s="4"/>
      <c r="BE2215" s="4"/>
      <c r="BF2215" s="4"/>
      <c r="BG2215" s="4"/>
      <c r="BH2215" s="4"/>
      <c r="BI2215" s="4"/>
      <c r="BJ2215" s="4"/>
      <c r="BK2215" s="4"/>
      <c r="BL2215" s="4"/>
      <c r="BM2215" s="4"/>
      <c r="BN2215" s="4"/>
      <c r="BO2215" s="4"/>
      <c r="BP2215" s="4"/>
      <c r="BQ2215" s="4"/>
      <c r="BR2215" s="4"/>
      <c r="BS2215" s="4"/>
      <c r="BT2215" s="4"/>
      <c r="BU2215" s="4"/>
    </row>
    <row r="2216" spans="29:73" s="1" customFormat="1" x14ac:dyDescent="0.25">
      <c r="AC2216" s="4"/>
      <c r="AD2216" s="4"/>
      <c r="AE2216" s="4"/>
      <c r="AF2216" s="4"/>
      <c r="AG2216" s="4"/>
      <c r="AH2216" s="4"/>
      <c r="AI2216" s="4"/>
      <c r="AJ2216" s="4"/>
      <c r="AK2216" s="4"/>
      <c r="AL2216" s="4"/>
      <c r="AM2216" s="4"/>
      <c r="AN2216" s="4"/>
      <c r="AO2216" s="4"/>
      <c r="AP2216" s="4"/>
      <c r="AQ2216" s="4"/>
      <c r="AR2216" s="4"/>
      <c r="AS2216" s="4"/>
      <c r="AT2216" s="4"/>
      <c r="AU2216" s="4"/>
      <c r="AV2216" s="4"/>
      <c r="AW2216" s="4"/>
      <c r="AX2216" s="4"/>
      <c r="AY2216" s="4"/>
      <c r="AZ2216" s="4"/>
      <c r="BA2216" s="4"/>
      <c r="BB2216" s="4"/>
      <c r="BC2216" s="4"/>
      <c r="BD2216" s="4"/>
      <c r="BE2216" s="4"/>
      <c r="BF2216" s="4"/>
      <c r="BG2216" s="4"/>
      <c r="BH2216" s="4"/>
      <c r="BI2216" s="4"/>
      <c r="BJ2216" s="4"/>
      <c r="BK2216" s="4"/>
      <c r="BL2216" s="4"/>
      <c r="BM2216" s="4"/>
      <c r="BN2216" s="4"/>
      <c r="BO2216" s="4"/>
      <c r="BP2216" s="4"/>
      <c r="BQ2216" s="4"/>
      <c r="BR2216" s="4"/>
      <c r="BS2216" s="4"/>
      <c r="BT2216" s="4"/>
      <c r="BU2216" s="4"/>
    </row>
    <row r="2217" spans="29:73" s="1" customFormat="1" x14ac:dyDescent="0.25">
      <c r="AC2217" s="4"/>
      <c r="AD2217" s="4"/>
      <c r="AE2217" s="4"/>
      <c r="AF2217" s="4"/>
      <c r="AG2217" s="4"/>
      <c r="AH2217" s="4"/>
      <c r="AI2217" s="4"/>
      <c r="AJ2217" s="4"/>
      <c r="AK2217" s="4"/>
      <c r="AL2217" s="4"/>
      <c r="AM2217" s="4"/>
      <c r="AN2217" s="4"/>
      <c r="AO2217" s="4"/>
      <c r="AP2217" s="4"/>
      <c r="AQ2217" s="4"/>
      <c r="AR2217" s="4"/>
      <c r="AS2217" s="4"/>
      <c r="AT2217" s="4"/>
      <c r="AU2217" s="4"/>
      <c r="AV2217" s="4"/>
      <c r="AW2217" s="4"/>
      <c r="AX2217" s="4"/>
      <c r="AY2217" s="4"/>
      <c r="AZ2217" s="4"/>
      <c r="BA2217" s="4"/>
      <c r="BB2217" s="4"/>
      <c r="BC2217" s="4"/>
      <c r="BD2217" s="4"/>
      <c r="BE2217" s="4"/>
      <c r="BF2217" s="4"/>
      <c r="BG2217" s="4"/>
      <c r="BH2217" s="4"/>
      <c r="BI2217" s="4"/>
      <c r="BJ2217" s="4"/>
      <c r="BK2217" s="4"/>
      <c r="BL2217" s="4"/>
      <c r="BM2217" s="4"/>
      <c r="BN2217" s="4"/>
      <c r="BO2217" s="4"/>
      <c r="BP2217" s="4"/>
      <c r="BQ2217" s="4"/>
      <c r="BR2217" s="4"/>
      <c r="BS2217" s="4"/>
      <c r="BT2217" s="4"/>
      <c r="BU2217" s="4"/>
    </row>
    <row r="2218" spans="29:73" s="1" customFormat="1" x14ac:dyDescent="0.25">
      <c r="AC2218" s="4"/>
      <c r="AD2218" s="4"/>
      <c r="AE2218" s="4"/>
      <c r="AF2218" s="4"/>
      <c r="AG2218" s="4"/>
      <c r="AH2218" s="4"/>
      <c r="AI2218" s="4"/>
      <c r="AJ2218" s="4"/>
      <c r="AK2218" s="4"/>
      <c r="AL2218" s="4"/>
      <c r="AM2218" s="4"/>
      <c r="AN2218" s="4"/>
      <c r="AO2218" s="4"/>
      <c r="AP2218" s="4"/>
      <c r="AQ2218" s="4"/>
      <c r="AR2218" s="4"/>
      <c r="AS2218" s="4"/>
      <c r="AT2218" s="4"/>
      <c r="AU2218" s="4"/>
      <c r="AV2218" s="4"/>
      <c r="AW2218" s="4"/>
      <c r="AX2218" s="4"/>
      <c r="AY2218" s="4"/>
      <c r="AZ2218" s="4"/>
      <c r="BA2218" s="4"/>
      <c r="BB2218" s="4"/>
      <c r="BC2218" s="4"/>
      <c r="BD2218" s="4"/>
      <c r="BE2218" s="4"/>
      <c r="BF2218" s="4"/>
      <c r="BG2218" s="4"/>
      <c r="BH2218" s="4"/>
      <c r="BI2218" s="4"/>
      <c r="BJ2218" s="4"/>
      <c r="BK2218" s="4"/>
      <c r="BL2218" s="4"/>
      <c r="BM2218" s="4"/>
      <c r="BN2218" s="4"/>
      <c r="BO2218" s="4"/>
      <c r="BP2218" s="4"/>
      <c r="BQ2218" s="4"/>
      <c r="BR2218" s="4"/>
      <c r="BS2218" s="4"/>
      <c r="BT2218" s="4"/>
      <c r="BU2218" s="4"/>
    </row>
    <row r="2219" spans="29:73" s="1" customFormat="1" x14ac:dyDescent="0.25">
      <c r="AC2219" s="4"/>
      <c r="AD2219" s="4"/>
      <c r="AE2219" s="4"/>
      <c r="AF2219" s="4"/>
      <c r="AG2219" s="4"/>
      <c r="AH2219" s="4"/>
      <c r="AI2219" s="4"/>
      <c r="AJ2219" s="4"/>
      <c r="AK2219" s="4"/>
      <c r="AL2219" s="4"/>
      <c r="AM2219" s="4"/>
      <c r="AN2219" s="4"/>
      <c r="AO2219" s="4"/>
      <c r="AP2219" s="4"/>
      <c r="AQ2219" s="4"/>
      <c r="AR2219" s="4"/>
      <c r="AS2219" s="4"/>
      <c r="AT2219" s="4"/>
      <c r="AU2219" s="4"/>
      <c r="AV2219" s="4"/>
      <c r="AW2219" s="4"/>
      <c r="AX2219" s="4"/>
      <c r="AY2219" s="4"/>
      <c r="AZ2219" s="4"/>
      <c r="BA2219" s="4"/>
      <c r="BB2219" s="4"/>
      <c r="BC2219" s="4"/>
      <c r="BD2219" s="4"/>
      <c r="BE2219" s="4"/>
      <c r="BF2219" s="4"/>
      <c r="BG2219" s="4"/>
      <c r="BH2219" s="4"/>
      <c r="BI2219" s="4"/>
      <c r="BJ2219" s="4"/>
      <c r="BK2219" s="4"/>
      <c r="BL2219" s="4"/>
      <c r="BM2219" s="4"/>
      <c r="BN2219" s="4"/>
      <c r="BO2219" s="4"/>
      <c r="BP2219" s="4"/>
      <c r="BQ2219" s="4"/>
      <c r="BR2219" s="4"/>
      <c r="BS2219" s="4"/>
      <c r="BT2219" s="4"/>
      <c r="BU2219" s="4"/>
    </row>
    <row r="2220" spans="29:73" s="1" customFormat="1" x14ac:dyDescent="0.25">
      <c r="AC2220" s="4"/>
      <c r="AD2220" s="4"/>
      <c r="AE2220" s="4"/>
      <c r="AF2220" s="4"/>
      <c r="AG2220" s="4"/>
      <c r="AH2220" s="4"/>
      <c r="AI2220" s="4"/>
      <c r="AJ2220" s="4"/>
      <c r="AK2220" s="4"/>
      <c r="AL2220" s="4"/>
      <c r="AM2220" s="4"/>
      <c r="AN2220" s="4"/>
      <c r="AO2220" s="4"/>
      <c r="AP2220" s="4"/>
      <c r="AQ2220" s="4"/>
      <c r="AR2220" s="4"/>
      <c r="AS2220" s="4"/>
      <c r="AT2220" s="4"/>
      <c r="AU2220" s="4"/>
      <c r="AV2220" s="4"/>
      <c r="AW2220" s="4"/>
      <c r="AX2220" s="4"/>
      <c r="AY2220" s="4"/>
      <c r="AZ2220" s="4"/>
      <c r="BA2220" s="4"/>
      <c r="BB2220" s="4"/>
      <c r="BC2220" s="4"/>
      <c r="BD2220" s="4"/>
      <c r="BE2220" s="4"/>
      <c r="BF2220" s="4"/>
      <c r="BG2220" s="4"/>
      <c r="BH2220" s="4"/>
      <c r="BI2220" s="4"/>
      <c r="BJ2220" s="4"/>
      <c r="BK2220" s="4"/>
      <c r="BL2220" s="4"/>
      <c r="BM2220" s="4"/>
      <c r="BN2220" s="4"/>
      <c r="BO2220" s="4"/>
      <c r="BP2220" s="4"/>
      <c r="BQ2220" s="4"/>
      <c r="BR2220" s="4"/>
      <c r="BS2220" s="4"/>
      <c r="BT2220" s="4"/>
      <c r="BU2220" s="4"/>
    </row>
    <row r="2221" spans="29:73" s="1" customFormat="1" x14ac:dyDescent="0.25">
      <c r="AC2221" s="4"/>
      <c r="AD2221" s="4"/>
      <c r="AE2221" s="4"/>
      <c r="AF2221" s="4"/>
      <c r="AG2221" s="4"/>
      <c r="AH2221" s="4"/>
      <c r="AI2221" s="4"/>
      <c r="AJ2221" s="4"/>
      <c r="AK2221" s="4"/>
      <c r="AL2221" s="4"/>
      <c r="AM2221" s="4"/>
      <c r="AN2221" s="4"/>
      <c r="AO2221" s="4"/>
      <c r="AP2221" s="4"/>
      <c r="AQ2221" s="4"/>
      <c r="AR2221" s="4"/>
      <c r="AS2221" s="4"/>
      <c r="AT2221" s="4"/>
      <c r="AU2221" s="4"/>
      <c r="AV2221" s="4"/>
      <c r="AW2221" s="4"/>
      <c r="AX2221" s="4"/>
      <c r="AY2221" s="4"/>
      <c r="AZ2221" s="4"/>
      <c r="BA2221" s="4"/>
      <c r="BB2221" s="4"/>
      <c r="BC2221" s="4"/>
      <c r="BD2221" s="4"/>
      <c r="BE2221" s="4"/>
      <c r="BF2221" s="4"/>
      <c r="BG2221" s="4"/>
      <c r="BH2221" s="4"/>
      <c r="BI2221" s="4"/>
      <c r="BJ2221" s="4"/>
      <c r="BK2221" s="4"/>
      <c r="BL2221" s="4"/>
      <c r="BM2221" s="4"/>
      <c r="BN2221" s="4"/>
      <c r="BO2221" s="4"/>
      <c r="BP2221" s="4"/>
      <c r="BQ2221" s="4"/>
      <c r="BR2221" s="4"/>
      <c r="BS2221" s="4"/>
      <c r="BT2221" s="4"/>
      <c r="BU2221" s="4"/>
    </row>
    <row r="2222" spans="29:73" s="1" customFormat="1" x14ac:dyDescent="0.25">
      <c r="AC2222" s="4"/>
      <c r="AD2222" s="4"/>
      <c r="AE2222" s="4"/>
      <c r="AF2222" s="4"/>
      <c r="AG2222" s="4"/>
      <c r="AH2222" s="4"/>
      <c r="AI2222" s="4"/>
      <c r="AJ2222" s="4"/>
      <c r="AK2222" s="4"/>
      <c r="AL2222" s="4"/>
      <c r="AM2222" s="4"/>
      <c r="AN2222" s="4"/>
      <c r="AO2222" s="4"/>
      <c r="AP2222" s="4"/>
      <c r="AQ2222" s="4"/>
      <c r="AR2222" s="4"/>
      <c r="AS2222" s="4"/>
      <c r="AT2222" s="4"/>
      <c r="AU2222" s="4"/>
      <c r="AV2222" s="4"/>
      <c r="AW2222" s="4"/>
      <c r="AX2222" s="4"/>
      <c r="AY2222" s="4"/>
      <c r="AZ2222" s="4"/>
      <c r="BA2222" s="4"/>
      <c r="BB2222" s="4"/>
      <c r="BC2222" s="4"/>
      <c r="BD2222" s="4"/>
      <c r="BE2222" s="4"/>
      <c r="BF2222" s="4"/>
      <c r="BG2222" s="4"/>
      <c r="BH2222" s="4"/>
      <c r="BI2222" s="4"/>
      <c r="BJ2222" s="4"/>
      <c r="BK2222" s="4"/>
      <c r="BL2222" s="4"/>
      <c r="BM2222" s="4"/>
      <c r="BN2222" s="4"/>
      <c r="BO2222" s="4"/>
      <c r="BP2222" s="4"/>
      <c r="BQ2222" s="4"/>
      <c r="BR2222" s="4"/>
      <c r="BS2222" s="4"/>
      <c r="BT2222" s="4"/>
      <c r="BU2222" s="4"/>
    </row>
    <row r="2223" spans="29:73" s="1" customFormat="1" x14ac:dyDescent="0.25">
      <c r="AC2223" s="4"/>
      <c r="AD2223" s="4"/>
      <c r="AE2223" s="4"/>
      <c r="AF2223" s="4"/>
      <c r="AG2223" s="4"/>
      <c r="AH2223" s="4"/>
      <c r="AI2223" s="4"/>
      <c r="AJ2223" s="4"/>
      <c r="AK2223" s="4"/>
      <c r="AL2223" s="4"/>
      <c r="AM2223" s="4"/>
      <c r="AN2223" s="4"/>
      <c r="AO2223" s="4"/>
      <c r="AP2223" s="4"/>
      <c r="AQ2223" s="4"/>
      <c r="AR2223" s="4"/>
      <c r="AS2223" s="4"/>
      <c r="AT2223" s="4"/>
      <c r="AU2223" s="4"/>
      <c r="AV2223" s="4"/>
      <c r="AW2223" s="4"/>
      <c r="AX2223" s="4"/>
      <c r="AY2223" s="4"/>
      <c r="AZ2223" s="4"/>
      <c r="BA2223" s="4"/>
      <c r="BB2223" s="4"/>
      <c r="BC2223" s="4"/>
      <c r="BD2223" s="4"/>
      <c r="BE2223" s="4"/>
      <c r="BF2223" s="4"/>
      <c r="BG2223" s="4"/>
      <c r="BH2223" s="4"/>
      <c r="BI2223" s="4"/>
      <c r="BJ2223" s="4"/>
      <c r="BK2223" s="4"/>
      <c r="BL2223" s="4"/>
      <c r="BM2223" s="4"/>
      <c r="BN2223" s="4"/>
      <c r="BO2223" s="4"/>
      <c r="BP2223" s="4"/>
      <c r="BQ2223" s="4"/>
      <c r="BR2223" s="4"/>
      <c r="BS2223" s="4"/>
      <c r="BT2223" s="4"/>
      <c r="BU2223" s="4"/>
    </row>
    <row r="2224" spans="29:73" s="1" customFormat="1" x14ac:dyDescent="0.25">
      <c r="AC2224" s="4"/>
      <c r="AD2224" s="4"/>
      <c r="AE2224" s="4"/>
      <c r="AF2224" s="4"/>
      <c r="AG2224" s="4"/>
      <c r="AH2224" s="4"/>
      <c r="AI2224" s="4"/>
      <c r="AJ2224" s="4"/>
      <c r="AK2224" s="4"/>
      <c r="AL2224" s="4"/>
      <c r="AM2224" s="4"/>
      <c r="AN2224" s="4"/>
      <c r="AO2224" s="4"/>
      <c r="AP2224" s="4"/>
      <c r="AQ2224" s="4"/>
      <c r="AR2224" s="4"/>
      <c r="AS2224" s="4"/>
      <c r="AT2224" s="4"/>
      <c r="AU2224" s="4"/>
      <c r="AV2224" s="4"/>
      <c r="AW2224" s="4"/>
      <c r="AX2224" s="4"/>
      <c r="AY2224" s="4"/>
      <c r="AZ2224" s="4"/>
      <c r="BA2224" s="4"/>
      <c r="BB2224" s="4"/>
      <c r="BC2224" s="4"/>
      <c r="BD2224" s="4"/>
      <c r="BE2224" s="4"/>
      <c r="BF2224" s="4"/>
      <c r="BG2224" s="4"/>
      <c r="BH2224" s="4"/>
      <c r="BI2224" s="4"/>
      <c r="BJ2224" s="4"/>
      <c r="BK2224" s="4"/>
      <c r="BL2224" s="4"/>
      <c r="BM2224" s="4"/>
      <c r="BN2224" s="4"/>
      <c r="BO2224" s="4"/>
      <c r="BP2224" s="4"/>
      <c r="BQ2224" s="4"/>
      <c r="BR2224" s="4"/>
      <c r="BS2224" s="4"/>
      <c r="BT2224" s="4"/>
      <c r="BU2224" s="4"/>
    </row>
    <row r="2225" spans="29:73" s="1" customFormat="1" x14ac:dyDescent="0.25">
      <c r="AC2225" s="4"/>
      <c r="AD2225" s="4"/>
      <c r="AE2225" s="4"/>
      <c r="AF2225" s="4"/>
      <c r="AG2225" s="4"/>
      <c r="AH2225" s="4"/>
      <c r="AI2225" s="4"/>
      <c r="AJ2225" s="4"/>
      <c r="AK2225" s="4"/>
      <c r="AL2225" s="4"/>
      <c r="AM2225" s="4"/>
      <c r="AN2225" s="4"/>
      <c r="AO2225" s="4"/>
      <c r="AP2225" s="4"/>
      <c r="AQ2225" s="4"/>
      <c r="AR2225" s="4"/>
      <c r="AS2225" s="4"/>
      <c r="AT2225" s="4"/>
      <c r="AU2225" s="4"/>
      <c r="AV2225" s="4"/>
      <c r="AW2225" s="4"/>
      <c r="AX2225" s="4"/>
      <c r="AY2225" s="4"/>
      <c r="AZ2225" s="4"/>
      <c r="BA2225" s="4"/>
      <c r="BB2225" s="4"/>
      <c r="BC2225" s="4"/>
      <c r="BD2225" s="4"/>
      <c r="BE2225" s="4"/>
      <c r="BF2225" s="4"/>
      <c r="BG2225" s="4"/>
      <c r="BH2225" s="4"/>
      <c r="BI2225" s="4"/>
      <c r="BJ2225" s="4"/>
      <c r="BK2225" s="4"/>
      <c r="BL2225" s="4"/>
      <c r="BM2225" s="4"/>
      <c r="BN2225" s="4"/>
      <c r="BO2225" s="4"/>
      <c r="BP2225" s="4"/>
      <c r="BQ2225" s="4"/>
      <c r="BR2225" s="4"/>
      <c r="BS2225" s="4"/>
      <c r="BT2225" s="4"/>
      <c r="BU2225" s="4"/>
    </row>
    <row r="2226" spans="29:73" s="1" customFormat="1" x14ac:dyDescent="0.25">
      <c r="AC2226" s="4"/>
      <c r="AD2226" s="4"/>
      <c r="AE2226" s="4"/>
      <c r="AF2226" s="4"/>
      <c r="AG2226" s="4"/>
      <c r="AH2226" s="4"/>
      <c r="AI2226" s="4"/>
      <c r="AJ2226" s="4"/>
      <c r="AK2226" s="4"/>
      <c r="AL2226" s="4"/>
      <c r="AM2226" s="4"/>
      <c r="AN2226" s="4"/>
      <c r="AO2226" s="4"/>
      <c r="AP2226" s="4"/>
      <c r="AQ2226" s="4"/>
      <c r="AR2226" s="4"/>
      <c r="AS2226" s="4"/>
      <c r="AT2226" s="4"/>
      <c r="AU2226" s="4"/>
      <c r="AV2226" s="4"/>
      <c r="AW2226" s="4"/>
      <c r="AX2226" s="4"/>
      <c r="AY2226" s="4"/>
      <c r="AZ2226" s="4"/>
      <c r="BA2226" s="4"/>
      <c r="BB2226" s="4"/>
      <c r="BC2226" s="4"/>
      <c r="BD2226" s="4"/>
      <c r="BE2226" s="4"/>
      <c r="BF2226" s="4"/>
      <c r="BG2226" s="4"/>
      <c r="BH2226" s="4"/>
      <c r="BI2226" s="4"/>
      <c r="BJ2226" s="4"/>
      <c r="BK2226" s="4"/>
      <c r="BL2226" s="4"/>
      <c r="BM2226" s="4"/>
      <c r="BN2226" s="4"/>
      <c r="BO2226" s="4"/>
      <c r="BP2226" s="4"/>
      <c r="BQ2226" s="4"/>
      <c r="BR2226" s="4"/>
      <c r="BS2226" s="4"/>
      <c r="BT2226" s="4"/>
      <c r="BU2226" s="4"/>
    </row>
    <row r="2227" spans="29:73" s="1" customFormat="1" x14ac:dyDescent="0.25">
      <c r="AC2227" s="4"/>
      <c r="AD2227" s="4"/>
      <c r="AE2227" s="4"/>
      <c r="AF2227" s="4"/>
      <c r="AG2227" s="4"/>
      <c r="AH2227" s="4"/>
      <c r="AI2227" s="4"/>
      <c r="AJ2227" s="4"/>
      <c r="AK2227" s="4"/>
      <c r="AL2227" s="4"/>
      <c r="AM2227" s="4"/>
      <c r="AN2227" s="4"/>
      <c r="AO2227" s="4"/>
      <c r="AP2227" s="4"/>
      <c r="AQ2227" s="4"/>
      <c r="AR2227" s="4"/>
      <c r="AS2227" s="4"/>
      <c r="AT2227" s="4"/>
      <c r="AU2227" s="4"/>
      <c r="AV2227" s="4"/>
      <c r="AW2227" s="4"/>
      <c r="AX2227" s="4"/>
      <c r="AY2227" s="4"/>
      <c r="AZ2227" s="4"/>
      <c r="BA2227" s="4"/>
      <c r="BB2227" s="4"/>
      <c r="BC2227" s="4"/>
      <c r="BD2227" s="4"/>
      <c r="BE2227" s="4"/>
      <c r="BF2227" s="4"/>
      <c r="BG2227" s="4"/>
      <c r="BH2227" s="4"/>
      <c r="BI2227" s="4"/>
      <c r="BJ2227" s="4"/>
      <c r="BK2227" s="4"/>
      <c r="BL2227" s="4"/>
      <c r="BM2227" s="4"/>
      <c r="BN2227" s="4"/>
      <c r="BO2227" s="4"/>
      <c r="BP2227" s="4"/>
      <c r="BQ2227" s="4"/>
      <c r="BR2227" s="4"/>
      <c r="BS2227" s="4"/>
      <c r="BT2227" s="4"/>
      <c r="BU2227" s="4"/>
    </row>
    <row r="2228" spans="29:73" s="1" customFormat="1" x14ac:dyDescent="0.25">
      <c r="AC2228" s="4"/>
      <c r="AD2228" s="4"/>
      <c r="AE2228" s="4"/>
      <c r="AF2228" s="4"/>
      <c r="AG2228" s="4"/>
      <c r="AH2228" s="4"/>
      <c r="AI2228" s="4"/>
      <c r="AJ2228" s="4"/>
      <c r="AK2228" s="4"/>
      <c r="AL2228" s="4"/>
      <c r="AM2228" s="4"/>
      <c r="AN2228" s="4"/>
      <c r="AO2228" s="4"/>
      <c r="AP2228" s="4"/>
      <c r="AQ2228" s="4"/>
      <c r="AR2228" s="4"/>
      <c r="AS2228" s="4"/>
      <c r="AT2228" s="4"/>
      <c r="AU2228" s="4"/>
      <c r="AV2228" s="4"/>
      <c r="AW2228" s="4"/>
      <c r="AX2228" s="4"/>
      <c r="AY2228" s="4"/>
      <c r="AZ2228" s="4"/>
      <c r="BA2228" s="4"/>
      <c r="BB2228" s="4"/>
      <c r="BC2228" s="4"/>
      <c r="BD2228" s="4"/>
      <c r="BE2228" s="4"/>
      <c r="BF2228" s="4"/>
      <c r="BG2228" s="4"/>
      <c r="BH2228" s="4"/>
      <c r="BI2228" s="4"/>
      <c r="BJ2228" s="4"/>
      <c r="BK2228" s="4"/>
      <c r="BL2228" s="4"/>
      <c r="BM2228" s="4"/>
      <c r="BN2228" s="4"/>
      <c r="BO2228" s="4"/>
      <c r="BP2228" s="4"/>
      <c r="BQ2228" s="4"/>
      <c r="BR2228" s="4"/>
      <c r="BS2228" s="4"/>
      <c r="BT2228" s="4"/>
      <c r="BU2228" s="4"/>
    </row>
    <row r="2229" spans="29:73" s="1" customFormat="1" x14ac:dyDescent="0.25">
      <c r="AC2229" s="4"/>
      <c r="AD2229" s="4"/>
      <c r="AE2229" s="4"/>
      <c r="AF2229" s="4"/>
      <c r="AG2229" s="4"/>
      <c r="AH2229" s="4"/>
      <c r="AI2229" s="4"/>
      <c r="AJ2229" s="4"/>
      <c r="AK2229" s="4"/>
      <c r="AL2229" s="4"/>
      <c r="AM2229" s="4"/>
      <c r="AN2229" s="4"/>
      <c r="AO2229" s="4"/>
      <c r="AP2229" s="4"/>
      <c r="AQ2229" s="4"/>
      <c r="AR2229" s="4"/>
      <c r="AS2229" s="4"/>
      <c r="AT2229" s="4"/>
      <c r="AU2229" s="4"/>
      <c r="AV2229" s="4"/>
      <c r="AW2229" s="4"/>
      <c r="AX2229" s="4"/>
      <c r="AY2229" s="4"/>
      <c r="AZ2229" s="4"/>
      <c r="BA2229" s="4"/>
      <c r="BB2229" s="4"/>
      <c r="BC2229" s="4"/>
      <c r="BD2229" s="4"/>
      <c r="BE2229" s="4"/>
      <c r="BF2229" s="4"/>
      <c r="BG2229" s="4"/>
      <c r="BH2229" s="4"/>
      <c r="BI2229" s="4"/>
      <c r="BJ2229" s="4"/>
      <c r="BK2229" s="4"/>
      <c r="BL2229" s="4"/>
      <c r="BM2229" s="4"/>
      <c r="BN2229" s="4"/>
      <c r="BO2229" s="4"/>
      <c r="BP2229" s="4"/>
      <c r="BQ2229" s="4"/>
      <c r="BR2229" s="4"/>
      <c r="BS2229" s="4"/>
      <c r="BT2229" s="4"/>
      <c r="BU2229" s="4"/>
    </row>
    <row r="2230" spans="29:73" s="1" customFormat="1" x14ac:dyDescent="0.25">
      <c r="AC2230" s="4"/>
      <c r="AD2230" s="4"/>
      <c r="AE2230" s="4"/>
      <c r="AF2230" s="4"/>
      <c r="AG2230" s="4"/>
      <c r="AH2230" s="4"/>
      <c r="AI2230" s="4"/>
      <c r="AJ2230" s="4"/>
      <c r="AK2230" s="4"/>
      <c r="AL2230" s="4"/>
      <c r="AM2230" s="4"/>
      <c r="AN2230" s="4"/>
      <c r="AO2230" s="4"/>
      <c r="AP2230" s="4"/>
      <c r="AQ2230" s="4"/>
      <c r="AR2230" s="4"/>
      <c r="AS2230" s="4"/>
      <c r="AT2230" s="4"/>
      <c r="AU2230" s="4"/>
      <c r="AV2230" s="4"/>
      <c r="AW2230" s="4"/>
      <c r="AX2230" s="4"/>
      <c r="AY2230" s="4"/>
      <c r="AZ2230" s="4"/>
      <c r="BA2230" s="4"/>
      <c r="BB2230" s="4"/>
      <c r="BC2230" s="4"/>
      <c r="BD2230" s="4"/>
      <c r="BE2230" s="4"/>
      <c r="BF2230" s="4"/>
      <c r="BG2230" s="4"/>
      <c r="BH2230" s="4"/>
      <c r="BI2230" s="4"/>
      <c r="BJ2230" s="4"/>
      <c r="BK2230" s="4"/>
      <c r="BL2230" s="4"/>
      <c r="BM2230" s="4"/>
      <c r="BN2230" s="4"/>
      <c r="BO2230" s="4"/>
      <c r="BP2230" s="4"/>
      <c r="BQ2230" s="4"/>
      <c r="BR2230" s="4"/>
      <c r="BS2230" s="4"/>
      <c r="BT2230" s="4"/>
      <c r="BU2230" s="4"/>
    </row>
    <row r="2231" spans="29:73" s="1" customFormat="1" x14ac:dyDescent="0.25">
      <c r="AC2231" s="4"/>
      <c r="AD2231" s="4"/>
      <c r="AE2231" s="4"/>
      <c r="AF2231" s="4"/>
      <c r="AG2231" s="4"/>
      <c r="AH2231" s="4"/>
      <c r="AI2231" s="4"/>
      <c r="AJ2231" s="4"/>
      <c r="AK2231" s="4"/>
      <c r="AL2231" s="4"/>
      <c r="AM2231" s="4"/>
      <c r="AN2231" s="4"/>
      <c r="AO2231" s="4"/>
      <c r="AP2231" s="4"/>
      <c r="AQ2231" s="4"/>
      <c r="AR2231" s="4"/>
      <c r="AS2231" s="4"/>
      <c r="AT2231" s="4"/>
      <c r="AU2231" s="4"/>
      <c r="AV2231" s="4"/>
      <c r="AW2231" s="4"/>
      <c r="AX2231" s="4"/>
      <c r="AY2231" s="4"/>
      <c r="AZ2231" s="4"/>
      <c r="BA2231" s="4"/>
      <c r="BB2231" s="4"/>
      <c r="BC2231" s="4"/>
      <c r="BD2231" s="4"/>
      <c r="BE2231" s="4"/>
      <c r="BF2231" s="4"/>
      <c r="BG2231" s="4"/>
      <c r="BH2231" s="4"/>
      <c r="BI2231" s="4"/>
      <c r="BJ2231" s="4"/>
      <c r="BK2231" s="4"/>
      <c r="BL2231" s="4"/>
      <c r="BM2231" s="4"/>
      <c r="BN2231" s="4"/>
      <c r="BO2231" s="4"/>
      <c r="BP2231" s="4"/>
      <c r="BQ2231" s="4"/>
      <c r="BR2231" s="4"/>
      <c r="BS2231" s="4"/>
      <c r="BT2231" s="4"/>
      <c r="BU2231" s="4"/>
    </row>
    <row r="2232" spans="29:73" s="1" customFormat="1" x14ac:dyDescent="0.25">
      <c r="AC2232" s="4"/>
      <c r="AD2232" s="4"/>
      <c r="AE2232" s="4"/>
      <c r="AF2232" s="4"/>
      <c r="AG2232" s="4"/>
      <c r="AH2232" s="4"/>
      <c r="AI2232" s="4"/>
      <c r="AJ2232" s="4"/>
      <c r="AK2232" s="4"/>
      <c r="AL2232" s="4"/>
      <c r="AM2232" s="4"/>
      <c r="AN2232" s="4"/>
      <c r="AO2232" s="4"/>
      <c r="AP2232" s="4"/>
      <c r="AQ2232" s="4"/>
      <c r="AR2232" s="4"/>
      <c r="AS2232" s="4"/>
      <c r="AT2232" s="4"/>
      <c r="AU2232" s="4"/>
      <c r="AV2232" s="4"/>
      <c r="AW2232" s="4"/>
      <c r="AX2232" s="4"/>
      <c r="AY2232" s="4"/>
      <c r="AZ2232" s="4"/>
      <c r="BA2232" s="4"/>
      <c r="BB2232" s="4"/>
      <c r="BC2232" s="4"/>
      <c r="BD2232" s="4"/>
      <c r="BE2232" s="4"/>
      <c r="BF2232" s="4"/>
      <c r="BG2232" s="4"/>
      <c r="BH2232" s="4"/>
      <c r="BI2232" s="4"/>
      <c r="BJ2232" s="4"/>
      <c r="BK2232" s="4"/>
      <c r="BL2232" s="4"/>
      <c r="BM2232" s="4"/>
      <c r="BN2232" s="4"/>
      <c r="BO2232" s="4"/>
      <c r="BP2232" s="4"/>
      <c r="BQ2232" s="4"/>
      <c r="BR2232" s="4"/>
      <c r="BS2232" s="4"/>
      <c r="BT2232" s="4"/>
      <c r="BU2232" s="4"/>
    </row>
    <row r="2233" spans="29:73" s="1" customFormat="1" x14ac:dyDescent="0.25">
      <c r="AC2233" s="4"/>
      <c r="AD2233" s="4"/>
      <c r="AE2233" s="4"/>
      <c r="AF2233" s="4"/>
      <c r="AG2233" s="4"/>
      <c r="AH2233" s="4"/>
      <c r="AI2233" s="4"/>
      <c r="AJ2233" s="4"/>
      <c r="AK2233" s="4"/>
      <c r="AL2233" s="4"/>
      <c r="AM2233" s="4"/>
      <c r="AN2233" s="4"/>
      <c r="AO2233" s="4"/>
      <c r="AP2233" s="4"/>
      <c r="AQ2233" s="4"/>
      <c r="AR2233" s="4"/>
      <c r="AS2233" s="4"/>
      <c r="AT2233" s="4"/>
      <c r="AU2233" s="4"/>
      <c r="AV2233" s="4"/>
      <c r="AW2233" s="4"/>
      <c r="AX2233" s="4"/>
      <c r="AY2233" s="4"/>
      <c r="AZ2233" s="4"/>
      <c r="BA2233" s="4"/>
      <c r="BB2233" s="4"/>
      <c r="BC2233" s="4"/>
      <c r="BD2233" s="4"/>
      <c r="BE2233" s="4"/>
      <c r="BF2233" s="4"/>
      <c r="BG2233" s="4"/>
      <c r="BH2233" s="4"/>
      <c r="BI2233" s="4"/>
      <c r="BJ2233" s="4"/>
      <c r="BK2233" s="4"/>
      <c r="BL2233" s="4"/>
      <c r="BM2233" s="4"/>
      <c r="BN2233" s="4"/>
      <c r="BO2233" s="4"/>
      <c r="BP2233" s="4"/>
      <c r="BQ2233" s="4"/>
      <c r="BR2233" s="4"/>
      <c r="BS2233" s="4"/>
      <c r="BT2233" s="4"/>
      <c r="BU2233" s="4"/>
    </row>
    <row r="2234" spans="29:73" s="1" customFormat="1" x14ac:dyDescent="0.25">
      <c r="AC2234" s="4"/>
      <c r="AD2234" s="4"/>
      <c r="AE2234" s="4"/>
      <c r="AF2234" s="4"/>
      <c r="AG2234" s="4"/>
      <c r="AH2234" s="4"/>
      <c r="AI2234" s="4"/>
      <c r="AJ2234" s="4"/>
      <c r="AK2234" s="4"/>
      <c r="AL2234" s="4"/>
      <c r="AM2234" s="4"/>
      <c r="AN2234" s="4"/>
      <c r="AO2234" s="4"/>
      <c r="AP2234" s="4"/>
      <c r="AQ2234" s="4"/>
      <c r="AR2234" s="4"/>
      <c r="AS2234" s="4"/>
      <c r="AT2234" s="4"/>
      <c r="AU2234" s="4"/>
      <c r="AV2234" s="4"/>
      <c r="AW2234" s="4"/>
      <c r="AX2234" s="4"/>
      <c r="AY2234" s="4"/>
      <c r="AZ2234" s="4"/>
      <c r="BA2234" s="4"/>
      <c r="BB2234" s="4"/>
      <c r="BC2234" s="4"/>
      <c r="BD2234" s="4"/>
      <c r="BE2234" s="4"/>
      <c r="BF2234" s="4"/>
      <c r="BG2234" s="4"/>
      <c r="BH2234" s="4"/>
      <c r="BI2234" s="4"/>
      <c r="BJ2234" s="4"/>
      <c r="BK2234" s="4"/>
      <c r="BL2234" s="4"/>
      <c r="BM2234" s="4"/>
      <c r="BN2234" s="4"/>
      <c r="BO2234" s="4"/>
      <c r="BP2234" s="4"/>
      <c r="BQ2234" s="4"/>
      <c r="BR2234" s="4"/>
      <c r="BS2234" s="4"/>
      <c r="BT2234" s="4"/>
      <c r="BU2234" s="4"/>
    </row>
    <row r="2235" spans="29:73" s="1" customFormat="1" x14ac:dyDescent="0.25">
      <c r="AC2235" s="4"/>
      <c r="AD2235" s="4"/>
      <c r="AE2235" s="4"/>
      <c r="AF2235" s="4"/>
      <c r="AG2235" s="4"/>
      <c r="AH2235" s="4"/>
      <c r="AI2235" s="4"/>
      <c r="AJ2235" s="4"/>
      <c r="AK2235" s="4"/>
      <c r="AL2235" s="4"/>
      <c r="AM2235" s="4"/>
      <c r="AN2235" s="4"/>
      <c r="AO2235" s="4"/>
      <c r="AP2235" s="4"/>
      <c r="AQ2235" s="4"/>
      <c r="AR2235" s="4"/>
      <c r="AS2235" s="4"/>
      <c r="AT2235" s="4"/>
      <c r="AU2235" s="4"/>
      <c r="AV2235" s="4"/>
      <c r="AW2235" s="4"/>
      <c r="AX2235" s="4"/>
      <c r="AY2235" s="4"/>
      <c r="AZ2235" s="4"/>
      <c r="BA2235" s="4"/>
      <c r="BB2235" s="4"/>
      <c r="BC2235" s="4"/>
      <c r="BD2235" s="4"/>
      <c r="BE2235" s="4"/>
      <c r="BF2235" s="4"/>
      <c r="BG2235" s="4"/>
      <c r="BH2235" s="4"/>
      <c r="BI2235" s="4"/>
      <c r="BJ2235" s="4"/>
      <c r="BK2235" s="4"/>
      <c r="BL2235" s="4"/>
      <c r="BM2235" s="4"/>
      <c r="BN2235" s="4"/>
      <c r="BO2235" s="4"/>
      <c r="BP2235" s="4"/>
      <c r="BQ2235" s="4"/>
      <c r="BR2235" s="4"/>
      <c r="BS2235" s="4"/>
      <c r="BT2235" s="4"/>
      <c r="BU2235" s="4"/>
    </row>
    <row r="2236" spans="29:73" s="1" customFormat="1" x14ac:dyDescent="0.25">
      <c r="AC2236" s="4"/>
      <c r="AD2236" s="4"/>
      <c r="AE2236" s="4"/>
      <c r="AF2236" s="4"/>
      <c r="AG2236" s="4"/>
      <c r="AH2236" s="4"/>
      <c r="AI2236" s="4"/>
      <c r="AJ2236" s="4"/>
      <c r="AK2236" s="4"/>
      <c r="AL2236" s="4"/>
      <c r="AM2236" s="4"/>
      <c r="AN2236" s="4"/>
      <c r="AO2236" s="4"/>
      <c r="AP2236" s="4"/>
      <c r="AQ2236" s="4"/>
      <c r="AR2236" s="4"/>
      <c r="AS2236" s="4"/>
      <c r="AT2236" s="4"/>
      <c r="AU2236" s="4"/>
      <c r="AV2236" s="4"/>
      <c r="AW2236" s="4"/>
      <c r="AX2236" s="4"/>
      <c r="AY2236" s="4"/>
      <c r="AZ2236" s="4"/>
      <c r="BA2236" s="4"/>
      <c r="BB2236" s="4"/>
      <c r="BC2236" s="4"/>
      <c r="BD2236" s="4"/>
      <c r="BE2236" s="4"/>
      <c r="BF2236" s="4"/>
      <c r="BG2236" s="4"/>
      <c r="BH2236" s="4"/>
      <c r="BI2236" s="4"/>
      <c r="BJ2236" s="4"/>
      <c r="BK2236" s="4"/>
      <c r="BL2236" s="4"/>
      <c r="BM2236" s="4"/>
      <c r="BN2236" s="4"/>
      <c r="BO2236" s="4"/>
      <c r="BP2236" s="4"/>
      <c r="BQ2236" s="4"/>
      <c r="BR2236" s="4"/>
      <c r="BS2236" s="4"/>
      <c r="BT2236" s="4"/>
      <c r="BU2236" s="4"/>
    </row>
    <row r="2237" spans="29:73" s="1" customFormat="1" x14ac:dyDescent="0.25">
      <c r="AC2237" s="4"/>
      <c r="AD2237" s="4"/>
      <c r="AE2237" s="4"/>
      <c r="AF2237" s="4"/>
      <c r="AG2237" s="4"/>
      <c r="AH2237" s="4"/>
      <c r="AI2237" s="4"/>
      <c r="AJ2237" s="4"/>
      <c r="AK2237" s="4"/>
      <c r="AL2237" s="4"/>
      <c r="AM2237" s="4"/>
      <c r="AN2237" s="4"/>
      <c r="AO2237" s="4"/>
      <c r="AP2237" s="4"/>
      <c r="AQ2237" s="4"/>
      <c r="AR2237" s="4"/>
      <c r="AS2237" s="4"/>
      <c r="AT2237" s="4"/>
      <c r="AU2237" s="4"/>
      <c r="AV2237" s="4"/>
      <c r="AW2237" s="4"/>
      <c r="AX2237" s="4"/>
      <c r="AY2237" s="4"/>
      <c r="AZ2237" s="4"/>
      <c r="BA2237" s="4"/>
      <c r="BB2237" s="4"/>
      <c r="BC2237" s="4"/>
      <c r="BD2237" s="4"/>
      <c r="BE2237" s="4"/>
      <c r="BF2237" s="4"/>
      <c r="BG2237" s="4"/>
      <c r="BH2237" s="4"/>
      <c r="BI2237" s="4"/>
      <c r="BJ2237" s="4"/>
      <c r="BK2237" s="4"/>
      <c r="BL2237" s="4"/>
      <c r="BM2237" s="4"/>
      <c r="BN2237" s="4"/>
      <c r="BO2237" s="4"/>
      <c r="BP2237" s="4"/>
      <c r="BQ2237" s="4"/>
      <c r="BR2237" s="4"/>
      <c r="BS2237" s="4"/>
      <c r="BT2237" s="4"/>
      <c r="BU2237" s="4"/>
    </row>
    <row r="2238" spans="29:73" s="1" customFormat="1" x14ac:dyDescent="0.25">
      <c r="AC2238" s="4"/>
      <c r="AD2238" s="4"/>
      <c r="AE2238" s="4"/>
      <c r="AF2238" s="4"/>
      <c r="AG2238" s="4"/>
      <c r="AH2238" s="4"/>
      <c r="AI2238" s="4"/>
      <c r="AJ2238" s="4"/>
      <c r="AK2238" s="4"/>
      <c r="AL2238" s="4"/>
      <c r="AM2238" s="4"/>
      <c r="AN2238" s="4"/>
      <c r="AO2238" s="4"/>
      <c r="AP2238" s="4"/>
      <c r="AQ2238" s="4"/>
      <c r="AR2238" s="4"/>
      <c r="AS2238" s="4"/>
      <c r="AT2238" s="4"/>
      <c r="AU2238" s="4"/>
      <c r="AV2238" s="4"/>
      <c r="AW2238" s="4"/>
      <c r="AX2238" s="4"/>
      <c r="AY2238" s="4"/>
      <c r="AZ2238" s="4"/>
      <c r="BA2238" s="4"/>
      <c r="BB2238" s="4"/>
      <c r="BC2238" s="4"/>
      <c r="BD2238" s="4"/>
      <c r="BE2238" s="4"/>
      <c r="BF2238" s="4"/>
      <c r="BG2238" s="4"/>
      <c r="BH2238" s="4"/>
      <c r="BI2238" s="4"/>
      <c r="BJ2238" s="4"/>
      <c r="BK2238" s="4"/>
      <c r="BL2238" s="4"/>
      <c r="BM2238" s="4"/>
      <c r="BN2238" s="4"/>
      <c r="BO2238" s="4"/>
      <c r="BP2238" s="4"/>
      <c r="BQ2238" s="4"/>
      <c r="BR2238" s="4"/>
      <c r="BS2238" s="4"/>
      <c r="BT2238" s="4"/>
      <c r="BU2238" s="4"/>
    </row>
    <row r="2239" spans="29:73" s="1" customFormat="1" x14ac:dyDescent="0.25">
      <c r="AC2239" s="4"/>
      <c r="AD2239" s="4"/>
      <c r="AE2239" s="4"/>
      <c r="AF2239" s="4"/>
      <c r="AG2239" s="4"/>
      <c r="AH2239" s="4"/>
      <c r="AI2239" s="4"/>
      <c r="AJ2239" s="4"/>
      <c r="AK2239" s="4"/>
      <c r="AL2239" s="4"/>
      <c r="AM2239" s="4"/>
      <c r="AN2239" s="4"/>
      <c r="AO2239" s="4"/>
      <c r="AP2239" s="4"/>
      <c r="AQ2239" s="4"/>
      <c r="AR2239" s="4"/>
      <c r="AS2239" s="4"/>
      <c r="AT2239" s="4"/>
      <c r="AU2239" s="4"/>
      <c r="AV2239" s="4"/>
      <c r="AW2239" s="4"/>
      <c r="AX2239" s="4"/>
      <c r="AY2239" s="4"/>
      <c r="AZ2239" s="4"/>
      <c r="BA2239" s="4"/>
      <c r="BB2239" s="4"/>
      <c r="BC2239" s="4"/>
      <c r="BD2239" s="4"/>
      <c r="BE2239" s="4"/>
      <c r="BF2239" s="4"/>
      <c r="BG2239" s="4"/>
      <c r="BH2239" s="4"/>
      <c r="BI2239" s="4"/>
      <c r="BJ2239" s="4"/>
      <c r="BK2239" s="4"/>
      <c r="BL2239" s="4"/>
      <c r="BM2239" s="4"/>
      <c r="BN2239" s="4"/>
      <c r="BO2239" s="4"/>
      <c r="BP2239" s="4"/>
      <c r="BQ2239" s="4"/>
      <c r="BR2239" s="4"/>
      <c r="BS2239" s="4"/>
      <c r="BT2239" s="4"/>
      <c r="BU2239" s="4"/>
    </row>
    <row r="2240" spans="29:73" s="1" customFormat="1" x14ac:dyDescent="0.25">
      <c r="AC2240" s="4"/>
      <c r="AD2240" s="4"/>
      <c r="AE2240" s="4"/>
      <c r="AF2240" s="4"/>
      <c r="AG2240" s="4"/>
      <c r="AH2240" s="4"/>
      <c r="AI2240" s="4"/>
      <c r="AJ2240" s="4"/>
      <c r="AK2240" s="4"/>
      <c r="AL2240" s="4"/>
      <c r="AM2240" s="4"/>
      <c r="AN2240" s="4"/>
      <c r="AO2240" s="4"/>
      <c r="AP2240" s="4"/>
      <c r="AQ2240" s="4"/>
      <c r="AR2240" s="4"/>
      <c r="AS2240" s="4"/>
      <c r="AT2240" s="4"/>
      <c r="AU2240" s="4"/>
      <c r="AV2240" s="4"/>
      <c r="AW2240" s="4"/>
      <c r="AX2240" s="4"/>
      <c r="AY2240" s="4"/>
      <c r="AZ2240" s="4"/>
      <c r="BA2240" s="4"/>
      <c r="BB2240" s="4"/>
      <c r="BC2240" s="4"/>
      <c r="BD2240" s="4"/>
      <c r="BE2240" s="4"/>
      <c r="BF2240" s="4"/>
      <c r="BG2240" s="4"/>
      <c r="BH2240" s="4"/>
      <c r="BI2240" s="4"/>
      <c r="BJ2240" s="4"/>
      <c r="BK2240" s="4"/>
      <c r="BL2240" s="4"/>
      <c r="BM2240" s="4"/>
      <c r="BN2240" s="4"/>
      <c r="BO2240" s="4"/>
      <c r="BP2240" s="4"/>
      <c r="BQ2240" s="4"/>
      <c r="BR2240" s="4"/>
      <c r="BS2240" s="4"/>
      <c r="BT2240" s="4"/>
      <c r="BU2240" s="4"/>
    </row>
    <row r="2241" spans="29:73" s="1" customFormat="1" x14ac:dyDescent="0.25">
      <c r="AC2241" s="4"/>
      <c r="AD2241" s="4"/>
      <c r="AE2241" s="4"/>
      <c r="AF2241" s="4"/>
      <c r="AG2241" s="4"/>
      <c r="AH2241" s="4"/>
      <c r="AI2241" s="4"/>
      <c r="AJ2241" s="4"/>
      <c r="AK2241" s="4"/>
      <c r="AL2241" s="4"/>
      <c r="AM2241" s="4"/>
      <c r="AN2241" s="4"/>
      <c r="AO2241" s="4"/>
      <c r="AP2241" s="4"/>
      <c r="AQ2241" s="4"/>
      <c r="AR2241" s="4"/>
      <c r="AS2241" s="4"/>
      <c r="AT2241" s="4"/>
      <c r="AU2241" s="4"/>
      <c r="AV2241" s="4"/>
      <c r="AW2241" s="4"/>
      <c r="AX2241" s="4"/>
      <c r="AY2241" s="4"/>
      <c r="AZ2241" s="4"/>
      <c r="BA2241" s="4"/>
      <c r="BB2241" s="4"/>
      <c r="BC2241" s="4"/>
      <c r="BD2241" s="4"/>
      <c r="BE2241" s="4"/>
      <c r="BF2241" s="4"/>
      <c r="BG2241" s="4"/>
      <c r="BH2241" s="4"/>
      <c r="BI2241" s="4"/>
      <c r="BJ2241" s="4"/>
      <c r="BK2241" s="4"/>
      <c r="BL2241" s="4"/>
      <c r="BM2241" s="4"/>
      <c r="BN2241" s="4"/>
      <c r="BO2241" s="4"/>
      <c r="BP2241" s="4"/>
      <c r="BQ2241" s="4"/>
      <c r="BR2241" s="4"/>
      <c r="BS2241" s="4"/>
      <c r="BT2241" s="4"/>
      <c r="BU2241" s="4"/>
    </row>
    <row r="2242" spans="29:73" s="1" customFormat="1" x14ac:dyDescent="0.25">
      <c r="AC2242" s="4"/>
      <c r="AD2242" s="4"/>
      <c r="AE2242" s="4"/>
      <c r="AF2242" s="4"/>
      <c r="AG2242" s="4"/>
      <c r="AH2242" s="4"/>
      <c r="AI2242" s="4"/>
      <c r="AJ2242" s="4"/>
      <c r="AK2242" s="4"/>
      <c r="AL2242" s="4"/>
      <c r="AM2242" s="4"/>
      <c r="AN2242" s="4"/>
      <c r="AO2242" s="4"/>
      <c r="AP2242" s="4"/>
      <c r="AQ2242" s="4"/>
      <c r="AR2242" s="4"/>
      <c r="AS2242" s="4"/>
      <c r="AT2242" s="4"/>
      <c r="AU2242" s="4"/>
      <c r="AV2242" s="4"/>
      <c r="AW2242" s="4"/>
      <c r="AX2242" s="4"/>
      <c r="AY2242" s="4"/>
      <c r="AZ2242" s="4"/>
      <c r="BA2242" s="4"/>
      <c r="BB2242" s="4"/>
      <c r="BC2242" s="4"/>
      <c r="BD2242" s="4"/>
      <c r="BE2242" s="4"/>
      <c r="BF2242" s="4"/>
      <c r="BG2242" s="4"/>
      <c r="BH2242" s="4"/>
      <c r="BI2242" s="4"/>
      <c r="BJ2242" s="4"/>
      <c r="BK2242" s="4"/>
      <c r="BL2242" s="4"/>
      <c r="BM2242" s="4"/>
      <c r="BN2242" s="4"/>
      <c r="BO2242" s="4"/>
      <c r="BP2242" s="4"/>
      <c r="BQ2242" s="4"/>
      <c r="BR2242" s="4"/>
      <c r="BS2242" s="4"/>
      <c r="BT2242" s="4"/>
      <c r="BU2242" s="4"/>
    </row>
    <row r="2243" spans="29:73" s="1" customFormat="1" x14ac:dyDescent="0.25">
      <c r="AC2243" s="4"/>
      <c r="AD2243" s="4"/>
      <c r="AE2243" s="4"/>
      <c r="AF2243" s="4"/>
      <c r="AG2243" s="4"/>
      <c r="AH2243" s="4"/>
      <c r="AI2243" s="4"/>
      <c r="AJ2243" s="4"/>
      <c r="AK2243" s="4"/>
      <c r="AL2243" s="4"/>
      <c r="AM2243" s="4"/>
      <c r="AN2243" s="4"/>
      <c r="AO2243" s="4"/>
      <c r="AP2243" s="4"/>
      <c r="AQ2243" s="4"/>
      <c r="AR2243" s="4"/>
      <c r="AS2243" s="4"/>
      <c r="AT2243" s="4"/>
      <c r="AU2243" s="4"/>
      <c r="AV2243" s="4"/>
      <c r="AW2243" s="4"/>
      <c r="AX2243" s="4"/>
      <c r="AY2243" s="4"/>
      <c r="AZ2243" s="4"/>
      <c r="BA2243" s="4"/>
      <c r="BB2243" s="4"/>
      <c r="BC2243" s="4"/>
      <c r="BD2243" s="4"/>
      <c r="BE2243" s="4"/>
      <c r="BF2243" s="4"/>
      <c r="BG2243" s="4"/>
      <c r="BH2243" s="4"/>
      <c r="BI2243" s="4"/>
      <c r="BJ2243" s="4"/>
      <c r="BK2243" s="4"/>
      <c r="BL2243" s="4"/>
      <c r="BM2243" s="4"/>
      <c r="BN2243" s="4"/>
      <c r="BO2243" s="4"/>
      <c r="BP2243" s="4"/>
      <c r="BQ2243" s="4"/>
      <c r="BR2243" s="4"/>
      <c r="BS2243" s="4"/>
      <c r="BT2243" s="4"/>
      <c r="BU2243" s="4"/>
    </row>
    <row r="2244" spans="29:73" s="1" customFormat="1" x14ac:dyDescent="0.25">
      <c r="AC2244" s="4"/>
      <c r="AD2244" s="4"/>
      <c r="AE2244" s="4"/>
      <c r="AF2244" s="4"/>
      <c r="AG2244" s="4"/>
      <c r="AH2244" s="4"/>
      <c r="AI2244" s="4"/>
      <c r="AJ2244" s="4"/>
      <c r="AK2244" s="4"/>
      <c r="AL2244" s="4"/>
      <c r="AM2244" s="4"/>
      <c r="AN2244" s="4"/>
      <c r="AO2244" s="4"/>
      <c r="AP2244" s="4"/>
      <c r="AQ2244" s="4"/>
      <c r="AR2244" s="4"/>
      <c r="AS2244" s="4"/>
      <c r="AT2244" s="4"/>
      <c r="AU2244" s="4"/>
      <c r="AV2244" s="4"/>
      <c r="AW2244" s="4"/>
      <c r="AX2244" s="4"/>
      <c r="AY2244" s="4"/>
      <c r="AZ2244" s="4"/>
      <c r="BA2244" s="4"/>
      <c r="BB2244" s="4"/>
      <c r="BC2244" s="4"/>
      <c r="BD2244" s="4"/>
      <c r="BE2244" s="4"/>
      <c r="BF2244" s="4"/>
      <c r="BG2244" s="4"/>
      <c r="BH2244" s="4"/>
      <c r="BI2244" s="4"/>
      <c r="BJ2244" s="4"/>
      <c r="BK2244" s="4"/>
      <c r="BL2244" s="4"/>
      <c r="BM2244" s="4"/>
      <c r="BN2244" s="4"/>
      <c r="BO2244" s="4"/>
      <c r="BP2244" s="4"/>
      <c r="BQ2244" s="4"/>
      <c r="BR2244" s="4"/>
      <c r="BS2244" s="4"/>
      <c r="BT2244" s="4"/>
      <c r="BU2244" s="4"/>
    </row>
    <row r="2245" spans="29:73" s="1" customFormat="1" x14ac:dyDescent="0.25">
      <c r="AC2245" s="4"/>
      <c r="AD2245" s="4"/>
      <c r="AE2245" s="4"/>
      <c r="AF2245" s="4"/>
      <c r="AG2245" s="4"/>
      <c r="AH2245" s="4"/>
      <c r="AI2245" s="4"/>
      <c r="AJ2245" s="4"/>
      <c r="AK2245" s="4"/>
      <c r="AL2245" s="4"/>
      <c r="AM2245" s="4"/>
      <c r="AN2245" s="4"/>
      <c r="AO2245" s="4"/>
      <c r="AP2245" s="4"/>
      <c r="AQ2245" s="4"/>
      <c r="AR2245" s="4"/>
      <c r="AS2245" s="4"/>
      <c r="AT2245" s="4"/>
      <c r="AU2245" s="4"/>
      <c r="AV2245" s="4"/>
      <c r="AW2245" s="4"/>
      <c r="AX2245" s="4"/>
      <c r="AY2245" s="4"/>
      <c r="AZ2245" s="4"/>
      <c r="BA2245" s="4"/>
      <c r="BB2245" s="4"/>
      <c r="BC2245" s="4"/>
      <c r="BD2245" s="4"/>
      <c r="BE2245" s="4"/>
      <c r="BF2245" s="4"/>
      <c r="BG2245" s="4"/>
      <c r="BH2245" s="4"/>
      <c r="BI2245" s="4"/>
      <c r="BJ2245" s="4"/>
      <c r="BK2245" s="4"/>
      <c r="BL2245" s="4"/>
      <c r="BM2245" s="4"/>
      <c r="BN2245" s="4"/>
      <c r="BO2245" s="4"/>
      <c r="BP2245" s="4"/>
      <c r="BQ2245" s="4"/>
      <c r="BR2245" s="4"/>
      <c r="BS2245" s="4"/>
      <c r="BT2245" s="4"/>
      <c r="BU2245" s="4"/>
    </row>
    <row r="2246" spans="29:73" s="1" customFormat="1" x14ac:dyDescent="0.25">
      <c r="AC2246" s="4"/>
      <c r="AD2246" s="4"/>
      <c r="AE2246" s="4"/>
      <c r="AF2246" s="4"/>
      <c r="AG2246" s="4"/>
      <c r="AH2246" s="4"/>
      <c r="AI2246" s="4"/>
      <c r="AJ2246" s="4"/>
      <c r="AK2246" s="4"/>
      <c r="AL2246" s="4"/>
      <c r="AM2246" s="4"/>
      <c r="AN2246" s="4"/>
      <c r="AO2246" s="4"/>
      <c r="AP2246" s="4"/>
      <c r="AQ2246" s="4"/>
      <c r="AR2246" s="4"/>
      <c r="AS2246" s="4"/>
      <c r="AT2246" s="4"/>
      <c r="AU2246" s="4"/>
      <c r="AV2246" s="4"/>
      <c r="AW2246" s="4"/>
      <c r="AX2246" s="4"/>
      <c r="AY2246" s="4"/>
      <c r="AZ2246" s="4"/>
      <c r="BA2246" s="4"/>
      <c r="BB2246" s="4"/>
      <c r="BC2246" s="4"/>
      <c r="BD2246" s="4"/>
      <c r="BE2246" s="4"/>
      <c r="BF2246" s="4"/>
      <c r="BG2246" s="4"/>
      <c r="BH2246" s="4"/>
      <c r="BI2246" s="4"/>
      <c r="BJ2246" s="4"/>
      <c r="BK2246" s="4"/>
      <c r="BL2246" s="4"/>
      <c r="BM2246" s="4"/>
      <c r="BN2246" s="4"/>
      <c r="BO2246" s="4"/>
      <c r="BP2246" s="4"/>
      <c r="BQ2246" s="4"/>
      <c r="BR2246" s="4"/>
      <c r="BS2246" s="4"/>
      <c r="BT2246" s="4"/>
      <c r="BU2246" s="4"/>
    </row>
    <row r="2247" spans="29:73" s="1" customFormat="1" x14ac:dyDescent="0.25">
      <c r="AC2247" s="4"/>
      <c r="AD2247" s="4"/>
      <c r="AE2247" s="4"/>
      <c r="AF2247" s="4"/>
      <c r="AG2247" s="4"/>
      <c r="AH2247" s="4"/>
      <c r="AI2247" s="4"/>
      <c r="AJ2247" s="4"/>
      <c r="AK2247" s="4"/>
      <c r="AL2247" s="4"/>
      <c r="AM2247" s="4"/>
      <c r="AN2247" s="4"/>
      <c r="AO2247" s="4"/>
      <c r="AP2247" s="4"/>
      <c r="AQ2247" s="4"/>
      <c r="AR2247" s="4"/>
      <c r="AS2247" s="4"/>
      <c r="AT2247" s="4"/>
      <c r="AU2247" s="4"/>
      <c r="AV2247" s="4"/>
      <c r="AW2247" s="4"/>
      <c r="AX2247" s="4"/>
      <c r="AY2247" s="4"/>
      <c r="AZ2247" s="4"/>
      <c r="BA2247" s="4"/>
      <c r="BB2247" s="4"/>
      <c r="BC2247" s="4"/>
      <c r="BD2247" s="4"/>
      <c r="BE2247" s="4"/>
      <c r="BF2247" s="4"/>
      <c r="BG2247" s="4"/>
      <c r="BH2247" s="4"/>
      <c r="BI2247" s="4"/>
      <c r="BJ2247" s="4"/>
      <c r="BK2247" s="4"/>
      <c r="BL2247" s="4"/>
      <c r="BM2247" s="4"/>
      <c r="BN2247" s="4"/>
      <c r="BO2247" s="4"/>
      <c r="BP2247" s="4"/>
      <c r="BQ2247" s="4"/>
      <c r="BR2247" s="4"/>
      <c r="BS2247" s="4"/>
      <c r="BT2247" s="4"/>
      <c r="BU2247" s="4"/>
    </row>
    <row r="2248" spans="29:73" s="1" customFormat="1" x14ac:dyDescent="0.25">
      <c r="AC2248" s="4"/>
      <c r="AD2248" s="4"/>
      <c r="AE2248" s="4"/>
      <c r="AF2248" s="4"/>
      <c r="AG2248" s="4"/>
      <c r="AH2248" s="4"/>
      <c r="AI2248" s="4"/>
      <c r="AJ2248" s="4"/>
      <c r="AK2248" s="4"/>
      <c r="AL2248" s="4"/>
      <c r="AM2248" s="4"/>
      <c r="AN2248" s="4"/>
      <c r="AO2248" s="4"/>
      <c r="AP2248" s="4"/>
      <c r="AQ2248" s="4"/>
      <c r="AR2248" s="4"/>
      <c r="AS2248" s="4"/>
      <c r="AT2248" s="4"/>
      <c r="AU2248" s="4"/>
      <c r="AV2248" s="4"/>
      <c r="AW2248" s="4"/>
      <c r="AX2248" s="4"/>
      <c r="AY2248" s="4"/>
      <c r="AZ2248" s="4"/>
      <c r="BA2248" s="4"/>
      <c r="BB2248" s="4"/>
      <c r="BC2248" s="4"/>
      <c r="BD2248" s="4"/>
      <c r="BE2248" s="4"/>
      <c r="BF2248" s="4"/>
      <c r="BG2248" s="4"/>
      <c r="BH2248" s="4"/>
      <c r="BI2248" s="4"/>
      <c r="BJ2248" s="4"/>
      <c r="BK2248" s="4"/>
      <c r="BL2248" s="4"/>
      <c r="BM2248" s="4"/>
      <c r="BN2248" s="4"/>
      <c r="BO2248" s="4"/>
      <c r="BP2248" s="4"/>
      <c r="BQ2248" s="4"/>
      <c r="BR2248" s="4"/>
      <c r="BS2248" s="4"/>
      <c r="BT2248" s="4"/>
      <c r="BU2248" s="4"/>
    </row>
    <row r="2249" spans="29:73" s="1" customFormat="1" x14ac:dyDescent="0.25">
      <c r="AC2249" s="4"/>
      <c r="AD2249" s="4"/>
      <c r="AE2249" s="4"/>
      <c r="AF2249" s="4"/>
      <c r="AG2249" s="4"/>
      <c r="AH2249" s="4"/>
      <c r="AI2249" s="4"/>
      <c r="AJ2249" s="4"/>
      <c r="AK2249" s="4"/>
      <c r="AL2249" s="4"/>
      <c r="AM2249" s="4"/>
      <c r="AN2249" s="4"/>
      <c r="AO2249" s="4"/>
      <c r="AP2249" s="4"/>
      <c r="AQ2249" s="4"/>
      <c r="AR2249" s="4"/>
      <c r="AS2249" s="4"/>
      <c r="AT2249" s="4"/>
      <c r="AU2249" s="4"/>
      <c r="AV2249" s="4"/>
      <c r="AW2249" s="4"/>
      <c r="AX2249" s="4"/>
      <c r="AY2249" s="4"/>
      <c r="AZ2249" s="4"/>
      <c r="BA2249" s="4"/>
      <c r="BB2249" s="4"/>
      <c r="BC2249" s="4"/>
      <c r="BD2249" s="4"/>
      <c r="BE2249" s="4"/>
      <c r="BF2249" s="4"/>
      <c r="BG2249" s="4"/>
      <c r="BH2249" s="4"/>
      <c r="BI2249" s="4"/>
      <c r="BJ2249" s="4"/>
      <c r="BK2249" s="4"/>
      <c r="BL2249" s="4"/>
      <c r="BM2249" s="4"/>
      <c r="BN2249" s="4"/>
      <c r="BO2249" s="4"/>
      <c r="BP2249" s="4"/>
      <c r="BQ2249" s="4"/>
      <c r="BR2249" s="4"/>
      <c r="BS2249" s="4"/>
      <c r="BT2249" s="4"/>
      <c r="BU2249" s="4"/>
    </row>
    <row r="2250" spans="29:73" s="1" customFormat="1" x14ac:dyDescent="0.25">
      <c r="AC2250" s="4"/>
      <c r="AD2250" s="4"/>
      <c r="AE2250" s="4"/>
      <c r="AF2250" s="4"/>
      <c r="AG2250" s="4"/>
      <c r="AH2250" s="4"/>
      <c r="AI2250" s="4"/>
      <c r="AJ2250" s="4"/>
      <c r="AK2250" s="4"/>
      <c r="AL2250" s="4"/>
      <c r="AM2250" s="4"/>
      <c r="AN2250" s="4"/>
      <c r="AO2250" s="4"/>
      <c r="AP2250" s="4"/>
      <c r="AQ2250" s="4"/>
      <c r="AR2250" s="4"/>
      <c r="AS2250" s="4"/>
      <c r="AT2250" s="4"/>
      <c r="AU2250" s="4"/>
      <c r="AV2250" s="4"/>
      <c r="AW2250" s="4"/>
      <c r="AX2250" s="4"/>
      <c r="AY2250" s="4"/>
      <c r="AZ2250" s="4"/>
      <c r="BA2250" s="4"/>
      <c r="BB2250" s="4"/>
      <c r="BC2250" s="4"/>
      <c r="BD2250" s="4"/>
      <c r="BE2250" s="4"/>
      <c r="BF2250" s="4"/>
      <c r="BG2250" s="4"/>
      <c r="BH2250" s="4"/>
      <c r="BI2250" s="4"/>
      <c r="BJ2250" s="4"/>
      <c r="BK2250" s="4"/>
      <c r="BL2250" s="4"/>
      <c r="BM2250" s="4"/>
      <c r="BN2250" s="4"/>
      <c r="BO2250" s="4"/>
      <c r="BP2250" s="4"/>
      <c r="BQ2250" s="4"/>
      <c r="BR2250" s="4"/>
      <c r="BS2250" s="4"/>
      <c r="BT2250" s="4"/>
      <c r="BU2250" s="4"/>
    </row>
    <row r="2251" spans="29:73" s="1" customFormat="1" x14ac:dyDescent="0.25">
      <c r="AC2251" s="4"/>
      <c r="AD2251" s="4"/>
      <c r="AE2251" s="4"/>
      <c r="AF2251" s="4"/>
      <c r="AG2251" s="4"/>
      <c r="AH2251" s="4"/>
      <c r="AI2251" s="4"/>
      <c r="AJ2251" s="4"/>
      <c r="AK2251" s="4"/>
      <c r="AL2251" s="4"/>
      <c r="AM2251" s="4"/>
      <c r="AN2251" s="4"/>
      <c r="AO2251" s="4"/>
      <c r="AP2251" s="4"/>
      <c r="AQ2251" s="4"/>
      <c r="AR2251" s="4"/>
      <c r="AS2251" s="4"/>
      <c r="AT2251" s="4"/>
      <c r="AU2251" s="4"/>
      <c r="AV2251" s="4"/>
      <c r="AW2251" s="4"/>
      <c r="AX2251" s="4"/>
      <c r="AY2251" s="4"/>
      <c r="AZ2251" s="4"/>
      <c r="BA2251" s="4"/>
      <c r="BB2251" s="4"/>
      <c r="BC2251" s="4"/>
      <c r="BD2251" s="4"/>
      <c r="BE2251" s="4"/>
      <c r="BF2251" s="4"/>
      <c r="BG2251" s="4"/>
      <c r="BH2251" s="4"/>
      <c r="BI2251" s="4"/>
      <c r="BJ2251" s="4"/>
      <c r="BK2251" s="4"/>
      <c r="BL2251" s="4"/>
      <c r="BM2251" s="4"/>
      <c r="BN2251" s="4"/>
      <c r="BO2251" s="4"/>
      <c r="BP2251" s="4"/>
      <c r="BQ2251" s="4"/>
      <c r="BR2251" s="4"/>
      <c r="BS2251" s="4"/>
      <c r="BT2251" s="4"/>
      <c r="BU2251" s="4"/>
    </row>
    <row r="2252" spans="29:73" s="1" customFormat="1" x14ac:dyDescent="0.25">
      <c r="AC2252" s="4"/>
      <c r="AD2252" s="4"/>
      <c r="AE2252" s="4"/>
      <c r="AF2252" s="4"/>
      <c r="AG2252" s="4"/>
      <c r="AH2252" s="4"/>
      <c r="AI2252" s="4"/>
      <c r="AJ2252" s="4"/>
      <c r="AK2252" s="4"/>
      <c r="AL2252" s="4"/>
      <c r="AM2252" s="4"/>
      <c r="AN2252" s="4"/>
      <c r="AO2252" s="4"/>
      <c r="AP2252" s="4"/>
      <c r="AQ2252" s="4"/>
      <c r="AR2252" s="4"/>
      <c r="AS2252" s="4"/>
      <c r="AT2252" s="4"/>
      <c r="AU2252" s="4"/>
      <c r="AV2252" s="4"/>
      <c r="AW2252" s="4"/>
      <c r="AX2252" s="4"/>
      <c r="AY2252" s="4"/>
      <c r="AZ2252" s="4"/>
      <c r="BA2252" s="4"/>
      <c r="BB2252" s="4"/>
      <c r="BC2252" s="4"/>
      <c r="BD2252" s="4"/>
      <c r="BE2252" s="4"/>
      <c r="BF2252" s="4"/>
      <c r="BG2252" s="4"/>
      <c r="BH2252" s="4"/>
      <c r="BI2252" s="4"/>
      <c r="BJ2252" s="4"/>
      <c r="BK2252" s="4"/>
      <c r="BL2252" s="4"/>
      <c r="BM2252" s="4"/>
      <c r="BN2252" s="4"/>
      <c r="BO2252" s="4"/>
      <c r="BP2252" s="4"/>
      <c r="BQ2252" s="4"/>
      <c r="BR2252" s="4"/>
      <c r="BS2252" s="4"/>
      <c r="BT2252" s="4"/>
      <c r="BU2252" s="4"/>
    </row>
    <row r="2253" spans="29:73" s="1" customFormat="1" x14ac:dyDescent="0.25">
      <c r="AC2253" s="4"/>
      <c r="AD2253" s="4"/>
      <c r="AE2253" s="4"/>
      <c r="AF2253" s="4"/>
      <c r="AG2253" s="4"/>
      <c r="AH2253" s="4"/>
      <c r="AI2253" s="4"/>
      <c r="AJ2253" s="4"/>
      <c r="AK2253" s="4"/>
      <c r="AL2253" s="4"/>
      <c r="AM2253" s="4"/>
      <c r="AN2253" s="4"/>
      <c r="AO2253" s="4"/>
      <c r="AP2253" s="4"/>
      <c r="AQ2253" s="4"/>
      <c r="AR2253" s="4"/>
      <c r="AS2253" s="4"/>
      <c r="AT2253" s="4"/>
      <c r="AU2253" s="4"/>
      <c r="AV2253" s="4"/>
      <c r="AW2253" s="4"/>
      <c r="AX2253" s="4"/>
      <c r="AY2253" s="4"/>
      <c r="AZ2253" s="4"/>
      <c r="BA2253" s="4"/>
      <c r="BB2253" s="4"/>
      <c r="BC2253" s="4"/>
      <c r="BD2253" s="4"/>
      <c r="BE2253" s="4"/>
      <c r="BF2253" s="4"/>
      <c r="BG2253" s="4"/>
      <c r="BH2253" s="4"/>
      <c r="BI2253" s="4"/>
      <c r="BJ2253" s="4"/>
      <c r="BK2253" s="4"/>
      <c r="BL2253" s="4"/>
      <c r="BM2253" s="4"/>
      <c r="BN2253" s="4"/>
      <c r="BO2253" s="4"/>
      <c r="BP2253" s="4"/>
      <c r="BQ2253" s="4"/>
      <c r="BR2253" s="4"/>
      <c r="BS2253" s="4"/>
      <c r="BT2253" s="4"/>
      <c r="BU2253" s="4"/>
    </row>
    <row r="2254" spans="29:73" s="1" customFormat="1" x14ac:dyDescent="0.25">
      <c r="AC2254" s="4"/>
      <c r="AD2254" s="4"/>
      <c r="AE2254" s="4"/>
      <c r="AF2254" s="4"/>
      <c r="AG2254" s="4"/>
      <c r="AH2254" s="4"/>
      <c r="AI2254" s="4"/>
      <c r="AJ2254" s="4"/>
      <c r="AK2254" s="4"/>
      <c r="AL2254" s="4"/>
      <c r="AM2254" s="4"/>
      <c r="AN2254" s="4"/>
      <c r="AO2254" s="4"/>
      <c r="AP2254" s="4"/>
      <c r="AQ2254" s="4"/>
      <c r="AR2254" s="4"/>
      <c r="AS2254" s="4"/>
      <c r="AT2254" s="4"/>
      <c r="AU2254" s="4"/>
      <c r="AV2254" s="4"/>
      <c r="AW2254" s="4"/>
      <c r="AX2254" s="4"/>
      <c r="AY2254" s="4"/>
      <c r="AZ2254" s="4"/>
      <c r="BA2254" s="4"/>
      <c r="BB2254" s="4"/>
      <c r="BC2254" s="4"/>
      <c r="BD2254" s="4"/>
      <c r="BE2254" s="4"/>
      <c r="BF2254" s="4"/>
      <c r="BG2254" s="4"/>
      <c r="BH2254" s="4"/>
      <c r="BI2254" s="4"/>
      <c r="BJ2254" s="4"/>
      <c r="BK2254" s="4"/>
      <c r="BL2254" s="4"/>
      <c r="BM2254" s="4"/>
      <c r="BN2254" s="4"/>
      <c r="BO2254" s="4"/>
      <c r="BP2254" s="4"/>
      <c r="BQ2254" s="4"/>
      <c r="BR2254" s="4"/>
      <c r="BS2254" s="4"/>
      <c r="BT2254" s="4"/>
      <c r="BU2254" s="4"/>
    </row>
    <row r="2255" spans="29:73" s="1" customFormat="1" x14ac:dyDescent="0.25">
      <c r="AC2255" s="4"/>
      <c r="AD2255" s="4"/>
      <c r="AE2255" s="4"/>
      <c r="AF2255" s="4"/>
      <c r="AG2255" s="4"/>
      <c r="AH2255" s="4"/>
      <c r="AI2255" s="4"/>
      <c r="AJ2255" s="4"/>
      <c r="AK2255" s="4"/>
      <c r="AL2255" s="4"/>
      <c r="AM2255" s="4"/>
      <c r="AN2255" s="4"/>
      <c r="AO2255" s="4"/>
      <c r="AP2255" s="4"/>
      <c r="AQ2255" s="4"/>
      <c r="AR2255" s="4"/>
      <c r="AS2255" s="4"/>
      <c r="AT2255" s="4"/>
      <c r="AU2255" s="4"/>
      <c r="AV2255" s="4"/>
      <c r="AW2255" s="4"/>
      <c r="AX2255" s="4"/>
      <c r="AY2255" s="4"/>
      <c r="AZ2255" s="4"/>
      <c r="BA2255" s="4"/>
      <c r="BB2255" s="4"/>
      <c r="BC2255" s="4"/>
      <c r="BD2255" s="4"/>
      <c r="BE2255" s="4"/>
      <c r="BF2255" s="4"/>
      <c r="BG2255" s="4"/>
      <c r="BH2255" s="4"/>
      <c r="BI2255" s="4"/>
      <c r="BJ2255" s="4"/>
      <c r="BK2255" s="4"/>
      <c r="BL2255" s="4"/>
      <c r="BM2255" s="4"/>
      <c r="BN2255" s="4"/>
      <c r="BO2255" s="4"/>
      <c r="BP2255" s="4"/>
      <c r="BQ2255" s="4"/>
      <c r="BR2255" s="4"/>
      <c r="BS2255" s="4"/>
      <c r="BT2255" s="4"/>
      <c r="BU2255" s="4"/>
    </row>
    <row r="2256" spans="29:73" s="1" customFormat="1" x14ac:dyDescent="0.25">
      <c r="AC2256" s="4"/>
      <c r="AD2256" s="4"/>
      <c r="AE2256" s="4"/>
      <c r="AF2256" s="4"/>
      <c r="AG2256" s="4"/>
      <c r="AH2256" s="4"/>
      <c r="AI2256" s="4"/>
      <c r="AJ2256" s="4"/>
      <c r="AK2256" s="4"/>
      <c r="AL2256" s="4"/>
      <c r="AM2256" s="4"/>
      <c r="AN2256" s="4"/>
      <c r="AO2256" s="4"/>
      <c r="AP2256" s="4"/>
      <c r="AQ2256" s="4"/>
      <c r="AR2256" s="4"/>
      <c r="AS2256" s="4"/>
      <c r="AT2256" s="4"/>
      <c r="AU2256" s="4"/>
      <c r="AV2256" s="4"/>
      <c r="AW2256" s="4"/>
      <c r="AX2256" s="4"/>
      <c r="AY2256" s="4"/>
      <c r="AZ2256" s="4"/>
      <c r="BA2256" s="4"/>
      <c r="BB2256" s="4"/>
      <c r="BC2256" s="4"/>
      <c r="BD2256" s="4"/>
      <c r="BE2256" s="4"/>
      <c r="BF2256" s="4"/>
      <c r="BG2256" s="4"/>
      <c r="BH2256" s="4"/>
      <c r="BI2256" s="4"/>
      <c r="BJ2256" s="4"/>
      <c r="BK2256" s="4"/>
      <c r="BL2256" s="4"/>
      <c r="BM2256" s="4"/>
      <c r="BN2256" s="4"/>
      <c r="BO2256" s="4"/>
      <c r="BP2256" s="4"/>
      <c r="BQ2256" s="4"/>
      <c r="BR2256" s="4"/>
      <c r="BS2256" s="4"/>
      <c r="BT2256" s="4"/>
      <c r="BU2256" s="4"/>
    </row>
    <row r="2257" spans="29:73" s="1" customFormat="1" x14ac:dyDescent="0.25">
      <c r="AC2257" s="4"/>
      <c r="AD2257" s="4"/>
      <c r="AE2257" s="4"/>
      <c r="AF2257" s="4"/>
      <c r="AG2257" s="4"/>
      <c r="AH2257" s="4"/>
      <c r="AI2257" s="4"/>
      <c r="AJ2257" s="4"/>
      <c r="AK2257" s="4"/>
      <c r="AL2257" s="4"/>
      <c r="AM2257" s="4"/>
      <c r="AN2257" s="4"/>
      <c r="AO2257" s="4"/>
      <c r="AP2257" s="4"/>
      <c r="AQ2257" s="4"/>
      <c r="AR2257" s="4"/>
      <c r="AS2257" s="4"/>
      <c r="AT2257" s="4"/>
      <c r="AU2257" s="4"/>
      <c r="AV2257" s="4"/>
      <c r="AW2257" s="4"/>
      <c r="AX2257" s="4"/>
      <c r="AY2257" s="4"/>
      <c r="AZ2257" s="4"/>
      <c r="BA2257" s="4"/>
      <c r="BB2257" s="4"/>
      <c r="BC2257" s="4"/>
      <c r="BD2257" s="4"/>
      <c r="BE2257" s="4"/>
      <c r="BF2257" s="4"/>
      <c r="BG2257" s="4"/>
      <c r="BH2257" s="4"/>
      <c r="BI2257" s="4"/>
      <c r="BJ2257" s="4"/>
      <c r="BK2257" s="4"/>
      <c r="BL2257" s="4"/>
      <c r="BM2257" s="4"/>
      <c r="BN2257" s="4"/>
      <c r="BO2257" s="4"/>
      <c r="BP2257" s="4"/>
      <c r="BQ2257" s="4"/>
      <c r="BR2257" s="4"/>
      <c r="BS2257" s="4"/>
      <c r="BT2257" s="4"/>
      <c r="BU2257" s="4"/>
    </row>
    <row r="2258" spans="29:73" s="1" customFormat="1" x14ac:dyDescent="0.25">
      <c r="AC2258" s="4"/>
      <c r="AD2258" s="4"/>
      <c r="AE2258" s="4"/>
      <c r="AF2258" s="4"/>
      <c r="AG2258" s="4"/>
      <c r="AH2258" s="4"/>
      <c r="AI2258" s="4"/>
      <c r="AJ2258" s="4"/>
      <c r="AK2258" s="4"/>
      <c r="AL2258" s="4"/>
      <c r="AM2258" s="4"/>
      <c r="AN2258" s="4"/>
      <c r="AO2258" s="4"/>
      <c r="AP2258" s="4"/>
      <c r="AQ2258" s="4"/>
      <c r="AR2258" s="4"/>
      <c r="AS2258" s="4"/>
      <c r="AT2258" s="4"/>
      <c r="AU2258" s="4"/>
      <c r="AV2258" s="4"/>
      <c r="AW2258" s="4"/>
      <c r="AX2258" s="4"/>
      <c r="AY2258" s="4"/>
      <c r="AZ2258" s="4"/>
      <c r="BA2258" s="4"/>
      <c r="BB2258" s="4"/>
      <c r="BC2258" s="4"/>
      <c r="BD2258" s="4"/>
      <c r="BE2258" s="4"/>
      <c r="BF2258" s="4"/>
      <c r="BG2258" s="4"/>
      <c r="BH2258" s="4"/>
      <c r="BI2258" s="4"/>
      <c r="BJ2258" s="4"/>
      <c r="BK2258" s="4"/>
      <c r="BL2258" s="4"/>
      <c r="BM2258" s="4"/>
      <c r="BN2258" s="4"/>
      <c r="BO2258" s="4"/>
      <c r="BP2258" s="4"/>
      <c r="BQ2258" s="4"/>
      <c r="BR2258" s="4"/>
      <c r="BS2258" s="4"/>
      <c r="BT2258" s="4"/>
      <c r="BU2258" s="4"/>
    </row>
    <row r="2259" spans="29:73" s="1" customFormat="1" x14ac:dyDescent="0.25">
      <c r="AC2259" s="4"/>
      <c r="AD2259" s="4"/>
      <c r="AE2259" s="4"/>
      <c r="AF2259" s="4"/>
      <c r="AG2259" s="4"/>
      <c r="AH2259" s="4"/>
      <c r="AI2259" s="4"/>
      <c r="AJ2259" s="4"/>
      <c r="AK2259" s="4"/>
      <c r="AL2259" s="4"/>
      <c r="AM2259" s="4"/>
      <c r="AN2259" s="4"/>
      <c r="AO2259" s="4"/>
      <c r="AP2259" s="4"/>
      <c r="AQ2259" s="4"/>
      <c r="AR2259" s="4"/>
      <c r="AS2259" s="4"/>
      <c r="AT2259" s="4"/>
      <c r="AU2259" s="4"/>
      <c r="AV2259" s="4"/>
      <c r="AW2259" s="4"/>
      <c r="AX2259" s="4"/>
      <c r="AY2259" s="4"/>
      <c r="AZ2259" s="4"/>
      <c r="BA2259" s="4"/>
      <c r="BB2259" s="4"/>
      <c r="BC2259" s="4"/>
      <c r="BD2259" s="4"/>
      <c r="BE2259" s="4"/>
      <c r="BF2259" s="4"/>
      <c r="BG2259" s="4"/>
      <c r="BH2259" s="4"/>
      <c r="BI2259" s="4"/>
      <c r="BJ2259" s="4"/>
      <c r="BK2259" s="4"/>
      <c r="BL2259" s="4"/>
      <c r="BM2259" s="4"/>
      <c r="BN2259" s="4"/>
      <c r="BO2259" s="4"/>
      <c r="BP2259" s="4"/>
      <c r="BQ2259" s="4"/>
      <c r="BR2259" s="4"/>
      <c r="BS2259" s="4"/>
      <c r="BT2259" s="4"/>
      <c r="BU2259" s="4"/>
    </row>
    <row r="2260" spans="29:73" s="1" customFormat="1" x14ac:dyDescent="0.25">
      <c r="AC2260" s="4"/>
      <c r="AD2260" s="4"/>
      <c r="AE2260" s="4"/>
      <c r="AF2260" s="4"/>
      <c r="AG2260" s="4"/>
      <c r="AH2260" s="4"/>
      <c r="AI2260" s="4"/>
      <c r="AJ2260" s="4"/>
      <c r="AK2260" s="4"/>
      <c r="AL2260" s="4"/>
      <c r="AM2260" s="4"/>
      <c r="AN2260" s="4"/>
      <c r="AO2260" s="4"/>
      <c r="AP2260" s="4"/>
      <c r="AQ2260" s="4"/>
      <c r="AR2260" s="4"/>
      <c r="AS2260" s="4"/>
      <c r="AT2260" s="4"/>
      <c r="AU2260" s="4"/>
      <c r="AV2260" s="4"/>
      <c r="AW2260" s="4"/>
      <c r="AX2260" s="4"/>
      <c r="AY2260" s="4"/>
      <c r="AZ2260" s="4"/>
      <c r="BA2260" s="4"/>
      <c r="BB2260" s="4"/>
      <c r="BC2260" s="4"/>
      <c r="BD2260" s="4"/>
      <c r="BE2260" s="4"/>
      <c r="BF2260" s="4"/>
      <c r="BG2260" s="4"/>
      <c r="BH2260" s="4"/>
      <c r="BI2260" s="4"/>
      <c r="BJ2260" s="4"/>
      <c r="BK2260" s="4"/>
      <c r="BL2260" s="4"/>
      <c r="BM2260" s="4"/>
      <c r="BN2260" s="4"/>
      <c r="BO2260" s="4"/>
      <c r="BP2260" s="4"/>
      <c r="BQ2260" s="4"/>
      <c r="BR2260" s="4"/>
      <c r="BS2260" s="4"/>
      <c r="BT2260" s="4"/>
      <c r="BU2260" s="4"/>
    </row>
    <row r="2261" spans="29:73" s="1" customFormat="1" x14ac:dyDescent="0.25">
      <c r="AC2261" s="4"/>
      <c r="AD2261" s="4"/>
      <c r="AE2261" s="4"/>
      <c r="AF2261" s="4"/>
      <c r="AG2261" s="4"/>
      <c r="AH2261" s="4"/>
      <c r="AI2261" s="4"/>
      <c r="AJ2261" s="4"/>
      <c r="AK2261" s="4"/>
      <c r="AL2261" s="4"/>
      <c r="AM2261" s="4"/>
      <c r="AN2261" s="4"/>
      <c r="AO2261" s="4"/>
      <c r="AP2261" s="4"/>
      <c r="AQ2261" s="4"/>
      <c r="AR2261" s="4"/>
      <c r="AS2261" s="4"/>
      <c r="AT2261" s="4"/>
      <c r="AU2261" s="4"/>
      <c r="AV2261" s="4"/>
      <c r="AW2261" s="4"/>
      <c r="AX2261" s="4"/>
      <c r="AY2261" s="4"/>
      <c r="AZ2261" s="4"/>
      <c r="BA2261" s="4"/>
      <c r="BB2261" s="4"/>
      <c r="BC2261" s="4"/>
      <c r="BD2261" s="4"/>
      <c r="BE2261" s="4"/>
      <c r="BF2261" s="4"/>
      <c r="BG2261" s="4"/>
      <c r="BH2261" s="4"/>
      <c r="BI2261" s="4"/>
      <c r="BJ2261" s="4"/>
      <c r="BK2261" s="4"/>
      <c r="BL2261" s="4"/>
      <c r="BM2261" s="4"/>
      <c r="BN2261" s="4"/>
      <c r="BO2261" s="4"/>
      <c r="BP2261" s="4"/>
      <c r="BQ2261" s="4"/>
      <c r="BR2261" s="4"/>
      <c r="BS2261" s="4"/>
      <c r="BT2261" s="4"/>
      <c r="BU2261" s="4"/>
    </row>
    <row r="2262" spans="29:73" s="1" customFormat="1" x14ac:dyDescent="0.25">
      <c r="AC2262" s="4"/>
      <c r="AD2262" s="4"/>
      <c r="AE2262" s="4"/>
      <c r="AF2262" s="4"/>
      <c r="AG2262" s="4"/>
      <c r="AH2262" s="4"/>
      <c r="AI2262" s="4"/>
      <c r="AJ2262" s="4"/>
      <c r="AK2262" s="4"/>
      <c r="AL2262" s="4"/>
      <c r="AM2262" s="4"/>
      <c r="AN2262" s="4"/>
      <c r="AO2262" s="4"/>
      <c r="AP2262" s="4"/>
      <c r="AQ2262" s="4"/>
      <c r="AR2262" s="4"/>
      <c r="AS2262" s="4"/>
      <c r="AT2262" s="4"/>
      <c r="AU2262" s="4"/>
      <c r="AV2262" s="4"/>
      <c r="AW2262" s="4"/>
      <c r="AX2262" s="4"/>
      <c r="AY2262" s="4"/>
      <c r="AZ2262" s="4"/>
      <c r="BA2262" s="4"/>
      <c r="BB2262" s="4"/>
      <c r="BC2262" s="4"/>
      <c r="BD2262" s="4"/>
      <c r="BE2262" s="4"/>
      <c r="BF2262" s="4"/>
      <c r="BG2262" s="4"/>
      <c r="BH2262" s="4"/>
      <c r="BI2262" s="4"/>
      <c r="BJ2262" s="4"/>
      <c r="BK2262" s="4"/>
      <c r="BL2262" s="4"/>
      <c r="BM2262" s="4"/>
      <c r="BN2262" s="4"/>
      <c r="BO2262" s="4"/>
      <c r="BP2262" s="4"/>
      <c r="BQ2262" s="4"/>
      <c r="BR2262" s="4"/>
      <c r="BS2262" s="4"/>
      <c r="BT2262" s="4"/>
      <c r="BU2262" s="4"/>
    </row>
    <row r="2263" spans="29:73" s="1" customFormat="1" x14ac:dyDescent="0.25">
      <c r="AC2263" s="4"/>
      <c r="AD2263" s="4"/>
      <c r="AE2263" s="4"/>
      <c r="AF2263" s="4"/>
      <c r="AG2263" s="4"/>
      <c r="AH2263" s="4"/>
      <c r="AI2263" s="4"/>
      <c r="AJ2263" s="4"/>
      <c r="AK2263" s="4"/>
      <c r="AL2263" s="4"/>
      <c r="AM2263" s="4"/>
      <c r="AN2263" s="4"/>
      <c r="AO2263" s="4"/>
      <c r="AP2263" s="4"/>
      <c r="AQ2263" s="4"/>
      <c r="AR2263" s="4"/>
      <c r="AS2263" s="4"/>
      <c r="AT2263" s="4"/>
      <c r="AU2263" s="4"/>
      <c r="AV2263" s="4"/>
      <c r="AW2263" s="4"/>
      <c r="AX2263" s="4"/>
      <c r="AY2263" s="4"/>
      <c r="AZ2263" s="4"/>
      <c r="BA2263" s="4"/>
      <c r="BB2263" s="4"/>
      <c r="BC2263" s="4"/>
      <c r="BD2263" s="4"/>
      <c r="BE2263" s="4"/>
      <c r="BF2263" s="4"/>
      <c r="BG2263" s="4"/>
      <c r="BH2263" s="4"/>
      <c r="BI2263" s="4"/>
      <c r="BJ2263" s="4"/>
      <c r="BK2263" s="4"/>
      <c r="BL2263" s="4"/>
      <c r="BM2263" s="4"/>
      <c r="BN2263" s="4"/>
      <c r="BO2263" s="4"/>
      <c r="BP2263" s="4"/>
      <c r="BQ2263" s="4"/>
      <c r="BR2263" s="4"/>
      <c r="BS2263" s="4"/>
      <c r="BT2263" s="4"/>
      <c r="BU2263" s="4"/>
    </row>
    <row r="2264" spans="29:73" s="1" customFormat="1" x14ac:dyDescent="0.25">
      <c r="AC2264" s="4"/>
      <c r="AD2264" s="4"/>
      <c r="AE2264" s="4"/>
      <c r="AF2264" s="4"/>
      <c r="AG2264" s="4"/>
      <c r="AH2264" s="4"/>
      <c r="AI2264" s="4"/>
      <c r="AJ2264" s="4"/>
      <c r="AK2264" s="4"/>
      <c r="AL2264" s="4"/>
      <c r="AM2264" s="4"/>
      <c r="AN2264" s="4"/>
      <c r="AO2264" s="4"/>
      <c r="AP2264" s="4"/>
      <c r="AQ2264" s="4"/>
      <c r="AR2264" s="4"/>
      <c r="AS2264" s="4"/>
      <c r="AT2264" s="4"/>
      <c r="AU2264" s="4"/>
      <c r="AV2264" s="4"/>
      <c r="AW2264" s="4"/>
      <c r="AX2264" s="4"/>
      <c r="AY2264" s="4"/>
      <c r="AZ2264" s="4"/>
      <c r="BA2264" s="4"/>
      <c r="BB2264" s="4"/>
      <c r="BC2264" s="4"/>
      <c r="BD2264" s="4"/>
      <c r="BE2264" s="4"/>
      <c r="BF2264" s="4"/>
      <c r="BG2264" s="4"/>
      <c r="BH2264" s="4"/>
      <c r="BI2264" s="4"/>
      <c r="BJ2264" s="4"/>
      <c r="BK2264" s="4"/>
      <c r="BL2264" s="4"/>
      <c r="BM2264" s="4"/>
      <c r="BN2264" s="4"/>
      <c r="BO2264" s="4"/>
      <c r="BP2264" s="4"/>
      <c r="BQ2264" s="4"/>
      <c r="BR2264" s="4"/>
      <c r="BS2264" s="4"/>
      <c r="BT2264" s="4"/>
      <c r="BU2264" s="4"/>
    </row>
    <row r="2265" spans="29:73" s="1" customFormat="1" x14ac:dyDescent="0.25">
      <c r="AC2265" s="4"/>
      <c r="AD2265" s="4"/>
      <c r="AE2265" s="4"/>
      <c r="AF2265" s="4"/>
      <c r="AG2265" s="4"/>
      <c r="AH2265" s="4"/>
      <c r="AI2265" s="4"/>
      <c r="AJ2265" s="4"/>
      <c r="AK2265" s="4"/>
      <c r="AL2265" s="4"/>
      <c r="AM2265" s="4"/>
      <c r="AN2265" s="4"/>
      <c r="AO2265" s="4"/>
      <c r="AP2265" s="4"/>
      <c r="AQ2265" s="4"/>
      <c r="AR2265" s="4"/>
      <c r="AS2265" s="4"/>
      <c r="AT2265" s="4"/>
      <c r="AU2265" s="4"/>
      <c r="AV2265" s="4"/>
      <c r="AW2265" s="4"/>
      <c r="AX2265" s="4"/>
      <c r="AY2265" s="4"/>
      <c r="AZ2265" s="4"/>
      <c r="BA2265" s="4"/>
      <c r="BB2265" s="4"/>
      <c r="BC2265" s="4"/>
      <c r="BD2265" s="4"/>
      <c r="BE2265" s="4"/>
      <c r="BF2265" s="4"/>
      <c r="BG2265" s="4"/>
      <c r="BH2265" s="4"/>
      <c r="BI2265" s="4"/>
      <c r="BJ2265" s="4"/>
      <c r="BK2265" s="4"/>
      <c r="BL2265" s="4"/>
      <c r="BM2265" s="4"/>
      <c r="BN2265" s="4"/>
      <c r="BO2265" s="4"/>
      <c r="BP2265" s="4"/>
      <c r="BQ2265" s="4"/>
      <c r="BR2265" s="4"/>
      <c r="BS2265" s="4"/>
      <c r="BT2265" s="4"/>
      <c r="BU2265" s="4"/>
    </row>
    <row r="2266" spans="29:73" s="1" customFormat="1" x14ac:dyDescent="0.25">
      <c r="AC2266" s="4"/>
      <c r="AD2266" s="4"/>
      <c r="AE2266" s="4"/>
      <c r="AF2266" s="4"/>
      <c r="AG2266" s="4"/>
      <c r="AH2266" s="4"/>
      <c r="AI2266" s="4"/>
      <c r="AJ2266" s="4"/>
      <c r="AK2266" s="4"/>
      <c r="AL2266" s="4"/>
      <c r="AM2266" s="4"/>
      <c r="AN2266" s="4"/>
      <c r="AO2266" s="4"/>
      <c r="AP2266" s="4"/>
      <c r="AQ2266" s="4"/>
      <c r="AR2266" s="4"/>
      <c r="AS2266" s="4"/>
      <c r="AT2266" s="4"/>
      <c r="AU2266" s="4"/>
      <c r="AV2266" s="4"/>
      <c r="AW2266" s="4"/>
      <c r="AX2266" s="4"/>
      <c r="AY2266" s="4"/>
      <c r="AZ2266" s="4"/>
      <c r="BA2266" s="4"/>
      <c r="BB2266" s="4"/>
      <c r="BC2266" s="4"/>
      <c r="BD2266" s="4"/>
      <c r="BE2266" s="4"/>
      <c r="BF2266" s="4"/>
      <c r="BG2266" s="4"/>
      <c r="BH2266" s="4"/>
      <c r="BI2266" s="4"/>
      <c r="BJ2266" s="4"/>
      <c r="BK2266" s="4"/>
      <c r="BL2266" s="4"/>
      <c r="BM2266" s="4"/>
      <c r="BN2266" s="4"/>
      <c r="BO2266" s="4"/>
      <c r="BP2266" s="4"/>
      <c r="BQ2266" s="4"/>
      <c r="BR2266" s="4"/>
      <c r="BS2266" s="4"/>
      <c r="BT2266" s="4"/>
      <c r="BU2266" s="4"/>
    </row>
    <row r="2267" spans="29:73" s="1" customFormat="1" x14ac:dyDescent="0.25">
      <c r="AC2267" s="4"/>
      <c r="AD2267" s="4"/>
      <c r="AE2267" s="4"/>
      <c r="AF2267" s="4"/>
      <c r="AG2267" s="4"/>
      <c r="AH2267" s="4"/>
      <c r="AI2267" s="4"/>
      <c r="AJ2267" s="4"/>
      <c r="AK2267" s="4"/>
      <c r="AL2267" s="4"/>
      <c r="AM2267" s="4"/>
      <c r="AN2267" s="4"/>
      <c r="AO2267" s="4"/>
      <c r="AP2267" s="4"/>
      <c r="AQ2267" s="4"/>
      <c r="AR2267" s="4"/>
      <c r="AS2267" s="4"/>
      <c r="AT2267" s="4"/>
      <c r="AU2267" s="4"/>
      <c r="AV2267" s="4"/>
      <c r="AW2267" s="4"/>
      <c r="AX2267" s="4"/>
      <c r="AY2267" s="4"/>
      <c r="AZ2267" s="4"/>
      <c r="BA2267" s="4"/>
      <c r="BB2267" s="4"/>
      <c r="BC2267" s="4"/>
      <c r="BD2267" s="4"/>
      <c r="BE2267" s="4"/>
      <c r="BF2267" s="4"/>
      <c r="BG2267" s="4"/>
      <c r="BH2267" s="4"/>
      <c r="BI2267" s="4"/>
      <c r="BJ2267" s="4"/>
      <c r="BK2267" s="4"/>
      <c r="BL2267" s="4"/>
      <c r="BM2267" s="4"/>
      <c r="BN2267" s="4"/>
      <c r="BO2267" s="4"/>
      <c r="BP2267" s="4"/>
      <c r="BQ2267" s="4"/>
      <c r="BR2267" s="4"/>
      <c r="BS2267" s="4"/>
      <c r="BT2267" s="4"/>
      <c r="BU2267" s="4"/>
    </row>
    <row r="2268" spans="29:73" s="1" customFormat="1" x14ac:dyDescent="0.25">
      <c r="AC2268" s="4"/>
      <c r="AD2268" s="4"/>
      <c r="AE2268" s="4"/>
      <c r="AF2268" s="4"/>
      <c r="AG2268" s="4"/>
      <c r="AH2268" s="4"/>
      <c r="AI2268" s="4"/>
      <c r="AJ2268" s="4"/>
      <c r="AK2268" s="4"/>
      <c r="AL2268" s="4"/>
      <c r="AM2268" s="4"/>
      <c r="AN2268" s="4"/>
      <c r="AO2268" s="4"/>
      <c r="AP2268" s="4"/>
      <c r="AQ2268" s="4"/>
      <c r="AR2268" s="4"/>
      <c r="AS2268" s="4"/>
      <c r="AT2268" s="4"/>
      <c r="AU2268" s="4"/>
      <c r="AV2268" s="4"/>
      <c r="AW2268" s="4"/>
      <c r="AX2268" s="4"/>
      <c r="AY2268" s="4"/>
      <c r="AZ2268" s="4"/>
      <c r="BA2268" s="4"/>
      <c r="BB2268" s="4"/>
      <c r="BC2268" s="4"/>
      <c r="BD2268" s="4"/>
      <c r="BE2268" s="4"/>
      <c r="BF2268" s="4"/>
      <c r="BG2268" s="4"/>
      <c r="BH2268" s="4"/>
      <c r="BI2268" s="4"/>
      <c r="BJ2268" s="4"/>
      <c r="BK2268" s="4"/>
      <c r="BL2268" s="4"/>
      <c r="BM2268" s="4"/>
      <c r="BN2268" s="4"/>
      <c r="BO2268" s="4"/>
      <c r="BP2268" s="4"/>
      <c r="BQ2268" s="4"/>
      <c r="BR2268" s="4"/>
      <c r="BS2268" s="4"/>
      <c r="BT2268" s="4"/>
      <c r="BU2268" s="4"/>
    </row>
    <row r="2269" spans="29:73" s="1" customFormat="1" x14ac:dyDescent="0.25">
      <c r="AC2269" s="4"/>
      <c r="AD2269" s="4"/>
      <c r="AE2269" s="4"/>
      <c r="AF2269" s="4"/>
      <c r="AG2269" s="4"/>
      <c r="AH2269" s="4"/>
      <c r="AI2269" s="4"/>
      <c r="AJ2269" s="4"/>
      <c r="AK2269" s="4"/>
      <c r="AL2269" s="4"/>
      <c r="AM2269" s="4"/>
      <c r="AN2269" s="4"/>
      <c r="AO2269" s="4"/>
      <c r="AP2269" s="4"/>
      <c r="AQ2269" s="4"/>
      <c r="AR2269" s="4"/>
      <c r="AS2269" s="4"/>
      <c r="AT2269" s="4"/>
      <c r="AU2269" s="4"/>
      <c r="AV2269" s="4"/>
      <c r="AW2269" s="4"/>
      <c r="AX2269" s="4"/>
      <c r="AY2269" s="4"/>
      <c r="AZ2269" s="4"/>
      <c r="BA2269" s="4"/>
      <c r="BB2269" s="4"/>
      <c r="BC2269" s="4"/>
      <c r="BD2269" s="4"/>
      <c r="BE2269" s="4"/>
      <c r="BF2269" s="4"/>
      <c r="BG2269" s="4"/>
      <c r="BH2269" s="4"/>
      <c r="BI2269" s="4"/>
      <c r="BJ2269" s="4"/>
      <c r="BK2269" s="4"/>
      <c r="BL2269" s="4"/>
      <c r="BM2269" s="4"/>
      <c r="BN2269" s="4"/>
      <c r="BO2269" s="4"/>
      <c r="BP2269" s="4"/>
      <c r="BQ2269" s="4"/>
      <c r="BR2269" s="4"/>
      <c r="BS2269" s="4"/>
      <c r="BT2269" s="4"/>
      <c r="BU2269" s="4"/>
    </row>
    <row r="2270" spans="29:73" s="1" customFormat="1" x14ac:dyDescent="0.25">
      <c r="AC2270" s="4"/>
      <c r="AD2270" s="4"/>
      <c r="AE2270" s="4"/>
      <c r="AF2270" s="4"/>
      <c r="AG2270" s="4"/>
      <c r="AH2270" s="4"/>
      <c r="AI2270" s="4"/>
      <c r="AJ2270" s="4"/>
      <c r="AK2270" s="4"/>
      <c r="AL2270" s="4"/>
      <c r="AM2270" s="4"/>
      <c r="AN2270" s="4"/>
      <c r="AO2270" s="4"/>
      <c r="AP2270" s="4"/>
      <c r="AQ2270" s="4"/>
      <c r="AR2270" s="4"/>
      <c r="AS2270" s="4"/>
      <c r="AT2270" s="4"/>
      <c r="AU2270" s="4"/>
      <c r="AV2270" s="4"/>
      <c r="AW2270" s="4"/>
      <c r="AX2270" s="4"/>
      <c r="AY2270" s="4"/>
      <c r="AZ2270" s="4"/>
      <c r="BA2270" s="4"/>
      <c r="BB2270" s="4"/>
      <c r="BC2270" s="4"/>
      <c r="BD2270" s="4"/>
      <c r="BE2270" s="4"/>
      <c r="BF2270" s="4"/>
      <c r="BG2270" s="4"/>
      <c r="BH2270" s="4"/>
      <c r="BI2270" s="4"/>
      <c r="BJ2270" s="4"/>
      <c r="BK2270" s="4"/>
      <c r="BL2270" s="4"/>
      <c r="BM2270" s="4"/>
      <c r="BN2270" s="4"/>
      <c r="BO2270" s="4"/>
      <c r="BP2270" s="4"/>
      <c r="BQ2270" s="4"/>
      <c r="BR2270" s="4"/>
      <c r="BS2270" s="4"/>
      <c r="BT2270" s="4"/>
      <c r="BU2270" s="4"/>
    </row>
    <row r="2271" spans="29:73" s="1" customFormat="1" x14ac:dyDescent="0.25">
      <c r="AC2271" s="4"/>
      <c r="AD2271" s="4"/>
      <c r="AE2271" s="4"/>
      <c r="AF2271" s="4"/>
      <c r="AG2271" s="4"/>
      <c r="AH2271" s="4"/>
      <c r="AI2271" s="4"/>
      <c r="AJ2271" s="4"/>
      <c r="AK2271" s="4"/>
      <c r="AL2271" s="4"/>
      <c r="AM2271" s="4"/>
      <c r="AN2271" s="4"/>
      <c r="AO2271" s="4"/>
      <c r="AP2271" s="4"/>
      <c r="AQ2271" s="4"/>
      <c r="AR2271" s="4"/>
      <c r="AS2271" s="4"/>
      <c r="AT2271" s="4"/>
      <c r="AU2271" s="4"/>
      <c r="AV2271" s="4"/>
      <c r="AW2271" s="4"/>
      <c r="AX2271" s="4"/>
      <c r="AY2271" s="4"/>
      <c r="AZ2271" s="4"/>
      <c r="BA2271" s="4"/>
      <c r="BB2271" s="4"/>
      <c r="BC2271" s="4"/>
      <c r="BD2271" s="4"/>
      <c r="BE2271" s="4"/>
      <c r="BF2271" s="4"/>
      <c r="BG2271" s="4"/>
      <c r="BH2271" s="4"/>
      <c r="BI2271" s="4"/>
      <c r="BJ2271" s="4"/>
      <c r="BK2271" s="4"/>
      <c r="BL2271" s="4"/>
      <c r="BM2271" s="4"/>
      <c r="BN2271" s="4"/>
      <c r="BO2271" s="4"/>
      <c r="BP2271" s="4"/>
      <c r="BQ2271" s="4"/>
      <c r="BR2271" s="4"/>
      <c r="BS2271" s="4"/>
      <c r="BT2271" s="4"/>
      <c r="BU2271" s="4"/>
    </row>
    <row r="2272" spans="29:73" s="1" customFormat="1" x14ac:dyDescent="0.25">
      <c r="AC2272" s="4"/>
      <c r="AD2272" s="4"/>
      <c r="AE2272" s="4"/>
      <c r="AF2272" s="4"/>
      <c r="AG2272" s="4"/>
      <c r="AH2272" s="4"/>
      <c r="AI2272" s="4"/>
      <c r="AJ2272" s="4"/>
      <c r="AK2272" s="4"/>
      <c r="AL2272" s="4"/>
      <c r="AM2272" s="4"/>
      <c r="AN2272" s="4"/>
      <c r="AO2272" s="4"/>
      <c r="AP2272" s="4"/>
      <c r="AQ2272" s="4"/>
      <c r="AR2272" s="4"/>
      <c r="AS2272" s="4"/>
      <c r="AT2272" s="4"/>
      <c r="AU2272" s="4"/>
      <c r="AV2272" s="4"/>
      <c r="AW2272" s="4"/>
      <c r="AX2272" s="4"/>
      <c r="AY2272" s="4"/>
      <c r="AZ2272" s="4"/>
      <c r="BA2272" s="4"/>
      <c r="BB2272" s="4"/>
      <c r="BC2272" s="4"/>
      <c r="BD2272" s="4"/>
      <c r="BE2272" s="4"/>
      <c r="BF2272" s="4"/>
      <c r="BG2272" s="4"/>
      <c r="BH2272" s="4"/>
      <c r="BI2272" s="4"/>
      <c r="BJ2272" s="4"/>
      <c r="BK2272" s="4"/>
      <c r="BL2272" s="4"/>
      <c r="BM2272" s="4"/>
      <c r="BN2272" s="4"/>
      <c r="BO2272" s="4"/>
      <c r="BP2272" s="4"/>
      <c r="BQ2272" s="4"/>
      <c r="BR2272" s="4"/>
      <c r="BS2272" s="4"/>
      <c r="BT2272" s="4"/>
      <c r="BU2272" s="4"/>
    </row>
    <row r="2273" spans="29:73" s="1" customFormat="1" x14ac:dyDescent="0.25">
      <c r="AC2273" s="4"/>
      <c r="AD2273" s="4"/>
      <c r="AE2273" s="4"/>
      <c r="AF2273" s="4"/>
      <c r="AG2273" s="4"/>
      <c r="AH2273" s="4"/>
      <c r="AI2273" s="4"/>
      <c r="AJ2273" s="4"/>
      <c r="AK2273" s="4"/>
      <c r="AL2273" s="4"/>
      <c r="AM2273" s="4"/>
      <c r="AN2273" s="4"/>
      <c r="AO2273" s="4"/>
      <c r="AP2273" s="4"/>
      <c r="AQ2273" s="4"/>
      <c r="AR2273" s="4"/>
      <c r="AS2273" s="4"/>
      <c r="AT2273" s="4"/>
      <c r="AU2273" s="4"/>
      <c r="AV2273" s="4"/>
      <c r="AW2273" s="4"/>
      <c r="AX2273" s="4"/>
      <c r="AY2273" s="4"/>
      <c r="AZ2273" s="4"/>
      <c r="BA2273" s="4"/>
      <c r="BB2273" s="4"/>
      <c r="BC2273" s="4"/>
      <c r="BD2273" s="4"/>
      <c r="BE2273" s="4"/>
      <c r="BF2273" s="4"/>
      <c r="BG2273" s="4"/>
      <c r="BH2273" s="4"/>
      <c r="BI2273" s="4"/>
      <c r="BJ2273" s="4"/>
      <c r="BK2273" s="4"/>
      <c r="BL2273" s="4"/>
      <c r="BM2273" s="4"/>
      <c r="BN2273" s="4"/>
      <c r="BO2273" s="4"/>
      <c r="BP2273" s="4"/>
      <c r="BQ2273" s="4"/>
      <c r="BR2273" s="4"/>
      <c r="BS2273" s="4"/>
      <c r="BT2273" s="4"/>
      <c r="BU2273" s="4"/>
    </row>
    <row r="2274" spans="29:73" s="1" customFormat="1" x14ac:dyDescent="0.25">
      <c r="AC2274" s="4"/>
      <c r="AD2274" s="4"/>
      <c r="AE2274" s="4"/>
      <c r="AF2274" s="4"/>
      <c r="AG2274" s="4"/>
      <c r="AH2274" s="4"/>
      <c r="AI2274" s="4"/>
      <c r="AJ2274" s="4"/>
      <c r="AK2274" s="4"/>
      <c r="AL2274" s="4"/>
      <c r="AM2274" s="4"/>
      <c r="AN2274" s="4"/>
      <c r="AO2274" s="4"/>
      <c r="AP2274" s="4"/>
      <c r="AQ2274" s="4"/>
      <c r="AR2274" s="4"/>
      <c r="AS2274" s="4"/>
      <c r="AT2274" s="4"/>
      <c r="AU2274" s="4"/>
      <c r="AV2274" s="4"/>
      <c r="AW2274" s="4"/>
      <c r="AX2274" s="4"/>
      <c r="AY2274" s="4"/>
      <c r="AZ2274" s="4"/>
      <c r="BA2274" s="4"/>
      <c r="BB2274" s="4"/>
      <c r="BC2274" s="4"/>
      <c r="BD2274" s="4"/>
      <c r="BE2274" s="4"/>
      <c r="BF2274" s="4"/>
      <c r="BG2274" s="4"/>
      <c r="BH2274" s="4"/>
      <c r="BI2274" s="4"/>
      <c r="BJ2274" s="4"/>
      <c r="BK2274" s="4"/>
      <c r="BL2274" s="4"/>
      <c r="BM2274" s="4"/>
      <c r="BN2274" s="4"/>
      <c r="BO2274" s="4"/>
      <c r="BP2274" s="4"/>
      <c r="BQ2274" s="4"/>
      <c r="BR2274" s="4"/>
      <c r="BS2274" s="4"/>
      <c r="BT2274" s="4"/>
      <c r="BU2274" s="4"/>
    </row>
    <row r="2275" spans="29:73" s="1" customFormat="1" x14ac:dyDescent="0.25">
      <c r="AC2275" s="4"/>
      <c r="AD2275" s="4"/>
      <c r="AE2275" s="4"/>
      <c r="AF2275" s="4"/>
      <c r="AG2275" s="4"/>
      <c r="AH2275" s="4"/>
      <c r="AI2275" s="4"/>
      <c r="AJ2275" s="4"/>
      <c r="AK2275" s="4"/>
      <c r="AL2275" s="4"/>
      <c r="AM2275" s="4"/>
      <c r="AN2275" s="4"/>
      <c r="AO2275" s="4"/>
      <c r="AP2275" s="4"/>
      <c r="AQ2275" s="4"/>
      <c r="AR2275" s="4"/>
      <c r="AS2275" s="4"/>
      <c r="AT2275" s="4"/>
      <c r="AU2275" s="4"/>
      <c r="AV2275" s="4"/>
      <c r="AW2275" s="4"/>
      <c r="AX2275" s="4"/>
      <c r="AY2275" s="4"/>
      <c r="AZ2275" s="4"/>
      <c r="BA2275" s="4"/>
      <c r="BB2275" s="4"/>
      <c r="BC2275" s="4"/>
      <c r="BD2275" s="4"/>
      <c r="BE2275" s="4"/>
      <c r="BF2275" s="4"/>
      <c r="BG2275" s="4"/>
      <c r="BH2275" s="4"/>
      <c r="BI2275" s="4"/>
      <c r="BJ2275" s="4"/>
      <c r="BK2275" s="4"/>
      <c r="BL2275" s="4"/>
      <c r="BM2275" s="4"/>
      <c r="BN2275" s="4"/>
      <c r="BO2275" s="4"/>
      <c r="BP2275" s="4"/>
      <c r="BQ2275" s="4"/>
      <c r="BR2275" s="4"/>
      <c r="BS2275" s="4"/>
      <c r="BT2275" s="4"/>
      <c r="BU2275" s="4"/>
    </row>
    <row r="2276" spans="29:73" s="1" customFormat="1" x14ac:dyDescent="0.25">
      <c r="AC2276" s="4"/>
      <c r="AD2276" s="4"/>
      <c r="AE2276" s="4"/>
      <c r="AF2276" s="4"/>
      <c r="AG2276" s="4"/>
      <c r="AH2276" s="4"/>
      <c r="AI2276" s="4"/>
      <c r="AJ2276" s="4"/>
      <c r="AK2276" s="4"/>
      <c r="AL2276" s="4"/>
      <c r="AM2276" s="4"/>
      <c r="AN2276" s="4"/>
      <c r="AO2276" s="4"/>
      <c r="AP2276" s="4"/>
      <c r="AQ2276" s="4"/>
      <c r="AR2276" s="4"/>
      <c r="AS2276" s="4"/>
      <c r="AT2276" s="4"/>
      <c r="AU2276" s="4"/>
      <c r="AV2276" s="4"/>
      <c r="AW2276" s="4"/>
      <c r="AX2276" s="4"/>
      <c r="AY2276" s="4"/>
      <c r="AZ2276" s="4"/>
      <c r="BA2276" s="4"/>
      <c r="BB2276" s="4"/>
      <c r="BC2276" s="4"/>
      <c r="BD2276" s="4"/>
      <c r="BE2276" s="4"/>
      <c r="BF2276" s="4"/>
      <c r="BG2276" s="4"/>
      <c r="BH2276" s="4"/>
      <c r="BI2276" s="4"/>
      <c r="BJ2276" s="4"/>
      <c r="BK2276" s="4"/>
      <c r="BL2276" s="4"/>
      <c r="BM2276" s="4"/>
      <c r="BN2276" s="4"/>
      <c r="BO2276" s="4"/>
      <c r="BP2276" s="4"/>
      <c r="BQ2276" s="4"/>
      <c r="BR2276" s="4"/>
      <c r="BS2276" s="4"/>
      <c r="BT2276" s="4"/>
      <c r="BU2276" s="4"/>
    </row>
    <row r="2277" spans="29:73" s="1" customFormat="1" x14ac:dyDescent="0.25">
      <c r="AC2277" s="4"/>
      <c r="AD2277" s="4"/>
      <c r="AE2277" s="4"/>
      <c r="AF2277" s="4"/>
      <c r="AG2277" s="4"/>
      <c r="AH2277" s="4"/>
      <c r="AI2277" s="4"/>
      <c r="AJ2277" s="4"/>
      <c r="AK2277" s="4"/>
      <c r="AL2277" s="4"/>
      <c r="AM2277" s="4"/>
      <c r="AN2277" s="4"/>
      <c r="AO2277" s="4"/>
      <c r="AP2277" s="4"/>
      <c r="AQ2277" s="4"/>
      <c r="AR2277" s="4"/>
      <c r="AS2277" s="4"/>
      <c r="AT2277" s="4"/>
      <c r="AU2277" s="4"/>
      <c r="AV2277" s="4"/>
      <c r="AW2277" s="4"/>
      <c r="AX2277" s="4"/>
      <c r="AY2277" s="4"/>
      <c r="AZ2277" s="4"/>
      <c r="BA2277" s="4"/>
      <c r="BB2277" s="4"/>
      <c r="BC2277" s="4"/>
      <c r="BD2277" s="4"/>
      <c r="BE2277" s="4"/>
      <c r="BF2277" s="4"/>
      <c r="BG2277" s="4"/>
      <c r="BH2277" s="4"/>
      <c r="BI2277" s="4"/>
      <c r="BJ2277" s="4"/>
      <c r="BK2277" s="4"/>
      <c r="BL2277" s="4"/>
      <c r="BM2277" s="4"/>
      <c r="BN2277" s="4"/>
      <c r="BO2277" s="4"/>
      <c r="BP2277" s="4"/>
      <c r="BQ2277" s="4"/>
      <c r="BR2277" s="4"/>
      <c r="BS2277" s="4"/>
      <c r="BT2277" s="4"/>
      <c r="BU2277" s="4"/>
    </row>
    <row r="2278" spans="29:73" s="1" customFormat="1" x14ac:dyDescent="0.25">
      <c r="AC2278" s="4"/>
      <c r="AD2278" s="4"/>
      <c r="AE2278" s="4"/>
      <c r="AF2278" s="4"/>
      <c r="AG2278" s="4"/>
      <c r="AH2278" s="4"/>
      <c r="AI2278" s="4"/>
      <c r="AJ2278" s="4"/>
      <c r="AK2278" s="4"/>
      <c r="AL2278" s="4"/>
      <c r="AM2278" s="4"/>
      <c r="AN2278" s="4"/>
      <c r="AO2278" s="4"/>
      <c r="AP2278" s="4"/>
      <c r="AQ2278" s="4"/>
      <c r="AR2278" s="4"/>
      <c r="AS2278" s="4"/>
      <c r="AT2278" s="4"/>
      <c r="AU2278" s="4"/>
      <c r="AV2278" s="4"/>
      <c r="AW2278" s="4"/>
      <c r="AX2278" s="4"/>
      <c r="AY2278" s="4"/>
      <c r="AZ2278" s="4"/>
      <c r="BA2278" s="4"/>
      <c r="BB2278" s="4"/>
      <c r="BC2278" s="4"/>
      <c r="BD2278" s="4"/>
      <c r="BE2278" s="4"/>
      <c r="BF2278" s="4"/>
      <c r="BG2278" s="4"/>
      <c r="BH2278" s="4"/>
      <c r="BI2278" s="4"/>
      <c r="BJ2278" s="4"/>
      <c r="BK2278" s="4"/>
      <c r="BL2278" s="4"/>
      <c r="BM2278" s="4"/>
      <c r="BN2278" s="4"/>
      <c r="BO2278" s="4"/>
      <c r="BP2278" s="4"/>
      <c r="BQ2278" s="4"/>
      <c r="BR2278" s="4"/>
      <c r="BS2278" s="4"/>
      <c r="BT2278" s="4"/>
      <c r="BU2278" s="4"/>
    </row>
    <row r="2279" spans="29:73" s="1" customFormat="1" x14ac:dyDescent="0.25">
      <c r="AC2279" s="4"/>
      <c r="AD2279" s="4"/>
      <c r="AE2279" s="4"/>
      <c r="AF2279" s="4"/>
      <c r="AG2279" s="4"/>
      <c r="AH2279" s="4"/>
      <c r="AI2279" s="4"/>
      <c r="AJ2279" s="4"/>
      <c r="AK2279" s="4"/>
      <c r="AL2279" s="4"/>
      <c r="AM2279" s="4"/>
      <c r="AN2279" s="4"/>
      <c r="AO2279" s="4"/>
      <c r="AP2279" s="4"/>
      <c r="AQ2279" s="4"/>
      <c r="AR2279" s="4"/>
      <c r="AS2279" s="4"/>
      <c r="AT2279" s="4"/>
      <c r="AU2279" s="4"/>
      <c r="AV2279" s="4"/>
      <c r="AW2279" s="4"/>
      <c r="AX2279" s="4"/>
      <c r="AY2279" s="4"/>
      <c r="AZ2279" s="4"/>
      <c r="BA2279" s="4"/>
      <c r="BB2279" s="4"/>
      <c r="BC2279" s="4"/>
      <c r="BD2279" s="4"/>
      <c r="BE2279" s="4"/>
      <c r="BF2279" s="4"/>
      <c r="BG2279" s="4"/>
      <c r="BH2279" s="4"/>
      <c r="BI2279" s="4"/>
      <c r="BJ2279" s="4"/>
      <c r="BK2279" s="4"/>
      <c r="BL2279" s="4"/>
      <c r="BM2279" s="4"/>
      <c r="BN2279" s="4"/>
      <c r="BO2279" s="4"/>
      <c r="BP2279" s="4"/>
      <c r="BQ2279" s="4"/>
      <c r="BR2279" s="4"/>
      <c r="BS2279" s="4"/>
      <c r="BT2279" s="4"/>
      <c r="BU2279" s="4"/>
    </row>
    <row r="2280" spans="29:73" s="1" customFormat="1" x14ac:dyDescent="0.25">
      <c r="AC2280" s="4"/>
      <c r="AD2280" s="4"/>
      <c r="AE2280" s="4"/>
      <c r="AF2280" s="4"/>
      <c r="AG2280" s="4"/>
      <c r="AH2280" s="4"/>
      <c r="AI2280" s="4"/>
      <c r="AJ2280" s="4"/>
      <c r="AK2280" s="4"/>
      <c r="AL2280" s="4"/>
      <c r="AM2280" s="4"/>
      <c r="AN2280" s="4"/>
      <c r="AO2280" s="4"/>
      <c r="AP2280" s="4"/>
      <c r="AQ2280" s="4"/>
      <c r="AR2280" s="4"/>
      <c r="AS2280" s="4"/>
      <c r="AT2280" s="4"/>
      <c r="AU2280" s="4"/>
      <c r="AV2280" s="4"/>
      <c r="AW2280" s="4"/>
      <c r="AX2280" s="4"/>
      <c r="AY2280" s="4"/>
      <c r="AZ2280" s="4"/>
      <c r="BA2280" s="4"/>
      <c r="BB2280" s="4"/>
      <c r="BC2280" s="4"/>
      <c r="BD2280" s="4"/>
      <c r="BE2280" s="4"/>
      <c r="BF2280" s="4"/>
      <c r="BG2280" s="4"/>
      <c r="BH2280" s="4"/>
      <c r="BI2280" s="4"/>
      <c r="BJ2280" s="4"/>
      <c r="BK2280" s="4"/>
      <c r="BL2280" s="4"/>
      <c r="BM2280" s="4"/>
      <c r="BN2280" s="4"/>
      <c r="BO2280" s="4"/>
      <c r="BP2280" s="4"/>
      <c r="BQ2280" s="4"/>
      <c r="BR2280" s="4"/>
      <c r="BS2280" s="4"/>
      <c r="BT2280" s="4"/>
      <c r="BU2280" s="4"/>
    </row>
    <row r="2281" spans="29:73" s="1" customFormat="1" x14ac:dyDescent="0.25">
      <c r="AC2281" s="4"/>
      <c r="AD2281" s="4"/>
      <c r="AE2281" s="4"/>
      <c r="AF2281" s="4"/>
      <c r="AG2281" s="4"/>
      <c r="AH2281" s="4"/>
      <c r="AI2281" s="4"/>
      <c r="AJ2281" s="4"/>
      <c r="AK2281" s="4"/>
      <c r="AL2281" s="4"/>
      <c r="AM2281" s="4"/>
      <c r="AN2281" s="4"/>
      <c r="AO2281" s="4"/>
      <c r="AP2281" s="4"/>
      <c r="AQ2281" s="4"/>
      <c r="AR2281" s="4"/>
      <c r="AS2281" s="4"/>
      <c r="AT2281" s="4"/>
      <c r="AU2281" s="4"/>
      <c r="AV2281" s="4"/>
      <c r="AW2281" s="4"/>
      <c r="AX2281" s="4"/>
      <c r="AY2281" s="4"/>
      <c r="AZ2281" s="4"/>
      <c r="BA2281" s="4"/>
      <c r="BB2281" s="4"/>
      <c r="BC2281" s="4"/>
      <c r="BD2281" s="4"/>
      <c r="BE2281" s="4"/>
      <c r="BF2281" s="4"/>
      <c r="BG2281" s="4"/>
      <c r="BH2281" s="4"/>
      <c r="BI2281" s="4"/>
      <c r="BJ2281" s="4"/>
      <c r="BK2281" s="4"/>
      <c r="BL2281" s="4"/>
      <c r="BM2281" s="4"/>
      <c r="BN2281" s="4"/>
      <c r="BO2281" s="4"/>
      <c r="BP2281" s="4"/>
      <c r="BQ2281" s="4"/>
      <c r="BR2281" s="4"/>
      <c r="BS2281" s="4"/>
      <c r="BT2281" s="4"/>
      <c r="BU2281" s="4"/>
    </row>
    <row r="2282" spans="29:73" s="1" customFormat="1" x14ac:dyDescent="0.25">
      <c r="AC2282" s="4"/>
      <c r="AD2282" s="4"/>
      <c r="AE2282" s="4"/>
      <c r="AF2282" s="4"/>
      <c r="AG2282" s="4"/>
      <c r="AH2282" s="4"/>
      <c r="AI2282" s="4"/>
      <c r="AJ2282" s="4"/>
      <c r="AK2282" s="4"/>
      <c r="AL2282" s="4"/>
      <c r="AM2282" s="4"/>
      <c r="AN2282" s="4"/>
      <c r="AO2282" s="4"/>
      <c r="AP2282" s="4"/>
      <c r="AQ2282" s="4"/>
      <c r="AR2282" s="4"/>
      <c r="AS2282" s="4"/>
      <c r="AT2282" s="4"/>
      <c r="AU2282" s="4"/>
      <c r="AV2282" s="4"/>
      <c r="AW2282" s="4"/>
      <c r="AX2282" s="4"/>
      <c r="AY2282" s="4"/>
      <c r="AZ2282" s="4"/>
      <c r="BA2282" s="4"/>
      <c r="BB2282" s="4"/>
      <c r="BC2282" s="4"/>
      <c r="BD2282" s="4"/>
      <c r="BE2282" s="4"/>
      <c r="BF2282" s="4"/>
      <c r="BG2282" s="4"/>
      <c r="BH2282" s="4"/>
      <c r="BI2282" s="4"/>
      <c r="BJ2282" s="4"/>
      <c r="BK2282" s="4"/>
      <c r="BL2282" s="4"/>
      <c r="BM2282" s="4"/>
      <c r="BN2282" s="4"/>
      <c r="BO2282" s="4"/>
      <c r="BP2282" s="4"/>
      <c r="BQ2282" s="4"/>
      <c r="BR2282" s="4"/>
      <c r="BS2282" s="4"/>
      <c r="BT2282" s="4"/>
      <c r="BU2282" s="4"/>
    </row>
    <row r="2283" spans="29:73" s="1" customFormat="1" x14ac:dyDescent="0.25">
      <c r="AC2283" s="4"/>
      <c r="AD2283" s="4"/>
      <c r="AE2283" s="4"/>
      <c r="AF2283" s="4"/>
      <c r="AG2283" s="4"/>
      <c r="AH2283" s="4"/>
      <c r="AI2283" s="4"/>
      <c r="AJ2283" s="4"/>
      <c r="AK2283" s="4"/>
      <c r="AL2283" s="4"/>
      <c r="AM2283" s="4"/>
      <c r="AN2283" s="4"/>
      <c r="AO2283" s="4"/>
      <c r="AP2283" s="4"/>
      <c r="AQ2283" s="4"/>
      <c r="AR2283" s="4"/>
      <c r="AS2283" s="4"/>
      <c r="AT2283" s="4"/>
      <c r="AU2283" s="4"/>
      <c r="AV2283" s="4"/>
      <c r="AW2283" s="4"/>
      <c r="AX2283" s="4"/>
      <c r="AY2283" s="4"/>
      <c r="AZ2283" s="4"/>
      <c r="BA2283" s="4"/>
      <c r="BB2283" s="4"/>
      <c r="BC2283" s="4"/>
      <c r="BD2283" s="4"/>
      <c r="BE2283" s="4"/>
      <c r="BF2283" s="4"/>
      <c r="BG2283" s="4"/>
      <c r="BH2283" s="4"/>
      <c r="BI2283" s="4"/>
      <c r="BJ2283" s="4"/>
      <c r="BK2283" s="4"/>
      <c r="BL2283" s="4"/>
      <c r="BM2283" s="4"/>
      <c r="BN2283" s="4"/>
      <c r="BO2283" s="4"/>
      <c r="BP2283" s="4"/>
      <c r="BQ2283" s="4"/>
      <c r="BR2283" s="4"/>
      <c r="BS2283" s="4"/>
      <c r="BT2283" s="4"/>
      <c r="BU2283" s="4"/>
    </row>
    <row r="2284" spans="29:73" s="1" customFormat="1" x14ac:dyDescent="0.25">
      <c r="AC2284" s="4"/>
      <c r="AD2284" s="4"/>
      <c r="AE2284" s="4"/>
      <c r="AF2284" s="4"/>
      <c r="AG2284" s="4"/>
      <c r="AH2284" s="4"/>
      <c r="AI2284" s="4"/>
      <c r="AJ2284" s="4"/>
      <c r="AK2284" s="4"/>
      <c r="AL2284" s="4"/>
      <c r="AM2284" s="4"/>
      <c r="AN2284" s="4"/>
      <c r="AO2284" s="4"/>
      <c r="AP2284" s="4"/>
      <c r="AQ2284" s="4"/>
      <c r="AR2284" s="4"/>
      <c r="AS2284" s="4"/>
      <c r="AT2284" s="4"/>
      <c r="AU2284" s="4"/>
      <c r="AV2284" s="4"/>
      <c r="AW2284" s="4"/>
      <c r="AX2284" s="4"/>
      <c r="AY2284" s="4"/>
      <c r="AZ2284" s="4"/>
      <c r="BA2284" s="4"/>
      <c r="BB2284" s="4"/>
      <c r="BC2284" s="4"/>
      <c r="BD2284" s="4"/>
      <c r="BE2284" s="4"/>
      <c r="BF2284" s="4"/>
      <c r="BG2284" s="4"/>
      <c r="BH2284" s="4"/>
      <c r="BI2284" s="4"/>
      <c r="BJ2284" s="4"/>
      <c r="BK2284" s="4"/>
      <c r="BL2284" s="4"/>
      <c r="BM2284" s="4"/>
      <c r="BN2284" s="4"/>
      <c r="BO2284" s="4"/>
      <c r="BP2284" s="4"/>
      <c r="BQ2284" s="4"/>
      <c r="BR2284" s="4"/>
      <c r="BS2284" s="4"/>
      <c r="BT2284" s="4"/>
      <c r="BU2284" s="4"/>
    </row>
    <row r="2285" spans="29:73" s="1" customFormat="1" x14ac:dyDescent="0.25">
      <c r="AC2285" s="4"/>
      <c r="AD2285" s="4"/>
      <c r="AE2285" s="4"/>
      <c r="AF2285" s="4"/>
      <c r="AG2285" s="4"/>
      <c r="AH2285" s="4"/>
      <c r="AI2285" s="4"/>
      <c r="AJ2285" s="4"/>
      <c r="AK2285" s="4"/>
      <c r="AL2285" s="4"/>
      <c r="AM2285" s="4"/>
      <c r="AN2285" s="4"/>
      <c r="AO2285" s="4"/>
      <c r="AP2285" s="4"/>
      <c r="AQ2285" s="4"/>
      <c r="AR2285" s="4"/>
      <c r="AS2285" s="4"/>
      <c r="AT2285" s="4"/>
      <c r="AU2285" s="4"/>
      <c r="AV2285" s="4"/>
      <c r="AW2285" s="4"/>
      <c r="AX2285" s="4"/>
      <c r="AY2285" s="4"/>
      <c r="AZ2285" s="4"/>
      <c r="BA2285" s="4"/>
      <c r="BB2285" s="4"/>
      <c r="BC2285" s="4"/>
      <c r="BD2285" s="4"/>
      <c r="BE2285" s="4"/>
      <c r="BF2285" s="4"/>
      <c r="BG2285" s="4"/>
      <c r="BH2285" s="4"/>
      <c r="BI2285" s="4"/>
      <c r="BJ2285" s="4"/>
      <c r="BK2285" s="4"/>
      <c r="BL2285" s="4"/>
      <c r="BM2285" s="4"/>
      <c r="BN2285" s="4"/>
      <c r="BO2285" s="4"/>
      <c r="BP2285" s="4"/>
      <c r="BQ2285" s="4"/>
      <c r="BR2285" s="4"/>
      <c r="BS2285" s="4"/>
      <c r="BT2285" s="4"/>
      <c r="BU2285" s="4"/>
    </row>
    <row r="2286" spans="29:73" s="1" customFormat="1" x14ac:dyDescent="0.25">
      <c r="AC2286" s="4"/>
      <c r="AD2286" s="4"/>
      <c r="AE2286" s="4"/>
      <c r="AF2286" s="4"/>
      <c r="AG2286" s="4"/>
      <c r="AH2286" s="4"/>
      <c r="AI2286" s="4"/>
      <c r="AJ2286" s="4"/>
      <c r="AK2286" s="4"/>
      <c r="AL2286" s="4"/>
      <c r="AM2286" s="4"/>
      <c r="AN2286" s="4"/>
      <c r="AO2286" s="4"/>
      <c r="AP2286" s="4"/>
      <c r="AQ2286" s="4"/>
      <c r="AR2286" s="4"/>
      <c r="AS2286" s="4"/>
      <c r="AT2286" s="4"/>
      <c r="AU2286" s="4"/>
      <c r="AV2286" s="4"/>
      <c r="AW2286" s="4"/>
      <c r="AX2286" s="4"/>
      <c r="AY2286" s="4"/>
      <c r="AZ2286" s="4"/>
      <c r="BA2286" s="4"/>
      <c r="BB2286" s="4"/>
      <c r="BC2286" s="4"/>
      <c r="BD2286" s="4"/>
      <c r="BE2286" s="4"/>
      <c r="BF2286" s="4"/>
      <c r="BG2286" s="4"/>
      <c r="BH2286" s="4"/>
      <c r="BI2286" s="4"/>
      <c r="BJ2286" s="4"/>
      <c r="BK2286" s="4"/>
      <c r="BL2286" s="4"/>
      <c r="BM2286" s="4"/>
      <c r="BN2286" s="4"/>
      <c r="BO2286" s="4"/>
      <c r="BP2286" s="4"/>
      <c r="BQ2286" s="4"/>
      <c r="BR2286" s="4"/>
      <c r="BS2286" s="4"/>
      <c r="BT2286" s="4"/>
      <c r="BU2286" s="4"/>
    </row>
    <row r="2287" spans="29:73" s="1" customFormat="1" x14ac:dyDescent="0.25">
      <c r="AC2287" s="4"/>
      <c r="AD2287" s="4"/>
      <c r="AE2287" s="4"/>
      <c r="AF2287" s="4"/>
      <c r="AG2287" s="4"/>
      <c r="AH2287" s="4"/>
      <c r="AI2287" s="4"/>
      <c r="AJ2287" s="4"/>
      <c r="AK2287" s="4"/>
      <c r="AL2287" s="4"/>
      <c r="AM2287" s="4"/>
      <c r="AN2287" s="4"/>
      <c r="AO2287" s="4"/>
      <c r="AP2287" s="4"/>
      <c r="AQ2287" s="4"/>
      <c r="AR2287" s="4"/>
      <c r="AS2287" s="4"/>
      <c r="AT2287" s="4"/>
      <c r="AU2287" s="4"/>
      <c r="AV2287" s="4"/>
      <c r="AW2287" s="4"/>
      <c r="AX2287" s="4"/>
      <c r="AY2287" s="4"/>
      <c r="AZ2287" s="4"/>
      <c r="BA2287" s="4"/>
      <c r="BB2287" s="4"/>
      <c r="BC2287" s="4"/>
      <c r="BD2287" s="4"/>
      <c r="BE2287" s="4"/>
      <c r="BF2287" s="4"/>
      <c r="BG2287" s="4"/>
      <c r="BH2287" s="4"/>
      <c r="BI2287" s="4"/>
      <c r="BJ2287" s="4"/>
      <c r="BK2287" s="4"/>
      <c r="BL2287" s="4"/>
      <c r="BM2287" s="4"/>
      <c r="BN2287" s="4"/>
      <c r="BO2287" s="4"/>
      <c r="BP2287" s="4"/>
      <c r="BQ2287" s="4"/>
      <c r="BR2287" s="4"/>
      <c r="BS2287" s="4"/>
      <c r="BT2287" s="4"/>
      <c r="BU2287" s="4"/>
    </row>
    <row r="2288" spans="29:73" s="1" customFormat="1" x14ac:dyDescent="0.25">
      <c r="AC2288" s="4"/>
      <c r="AD2288" s="4"/>
      <c r="AE2288" s="4"/>
      <c r="AF2288" s="4"/>
      <c r="AG2288" s="4"/>
      <c r="AH2288" s="4"/>
      <c r="AI2288" s="4"/>
      <c r="AJ2288" s="4"/>
      <c r="AK2288" s="4"/>
      <c r="AL2288" s="4"/>
      <c r="AM2288" s="4"/>
      <c r="AN2288" s="4"/>
      <c r="AO2288" s="4"/>
      <c r="AP2288" s="4"/>
      <c r="AQ2288" s="4"/>
      <c r="AR2288" s="4"/>
      <c r="AS2288" s="4"/>
      <c r="AT2288" s="4"/>
      <c r="AU2288" s="4"/>
      <c r="AV2288" s="4"/>
      <c r="AW2288" s="4"/>
      <c r="AX2288" s="4"/>
      <c r="AY2288" s="4"/>
      <c r="AZ2288" s="4"/>
      <c r="BA2288" s="4"/>
      <c r="BB2288" s="4"/>
      <c r="BC2288" s="4"/>
      <c r="BD2288" s="4"/>
      <c r="BE2288" s="4"/>
      <c r="BF2288" s="4"/>
      <c r="BG2288" s="4"/>
      <c r="BH2288" s="4"/>
      <c r="BI2288" s="4"/>
      <c r="BJ2288" s="4"/>
      <c r="BK2288" s="4"/>
      <c r="BL2288" s="4"/>
      <c r="BM2288" s="4"/>
      <c r="BN2288" s="4"/>
      <c r="BO2288" s="4"/>
      <c r="BP2288" s="4"/>
      <c r="BQ2288" s="4"/>
      <c r="BR2288" s="4"/>
      <c r="BS2288" s="4"/>
      <c r="BT2288" s="4"/>
      <c r="BU2288" s="4"/>
    </row>
    <row r="2289" spans="29:73" s="1" customFormat="1" x14ac:dyDescent="0.25">
      <c r="AC2289" s="4"/>
      <c r="AD2289" s="4"/>
      <c r="AE2289" s="4"/>
      <c r="AF2289" s="4"/>
      <c r="AG2289" s="4"/>
      <c r="AH2289" s="4"/>
      <c r="AI2289" s="4"/>
      <c r="AJ2289" s="4"/>
      <c r="AK2289" s="4"/>
      <c r="AL2289" s="4"/>
      <c r="AM2289" s="4"/>
      <c r="AN2289" s="4"/>
      <c r="AO2289" s="4"/>
      <c r="AP2289" s="4"/>
      <c r="AQ2289" s="4"/>
      <c r="AR2289" s="4"/>
      <c r="AS2289" s="4"/>
      <c r="AT2289" s="4"/>
      <c r="AU2289" s="4"/>
      <c r="AV2289" s="4"/>
      <c r="AW2289" s="4"/>
      <c r="AX2289" s="4"/>
      <c r="AY2289" s="4"/>
      <c r="AZ2289" s="4"/>
      <c r="BA2289" s="4"/>
      <c r="BB2289" s="4"/>
      <c r="BC2289" s="4"/>
      <c r="BD2289" s="4"/>
      <c r="BE2289" s="4"/>
      <c r="BF2289" s="4"/>
      <c r="BG2289" s="4"/>
      <c r="BH2289" s="4"/>
      <c r="BI2289" s="4"/>
      <c r="BJ2289" s="4"/>
      <c r="BK2289" s="4"/>
      <c r="BL2289" s="4"/>
      <c r="BM2289" s="4"/>
      <c r="BN2289" s="4"/>
      <c r="BO2289" s="4"/>
      <c r="BP2289" s="4"/>
      <c r="BQ2289" s="4"/>
      <c r="BR2289" s="4"/>
      <c r="BS2289" s="4"/>
      <c r="BT2289" s="4"/>
      <c r="BU2289" s="4"/>
    </row>
    <row r="2290" spans="29:73" s="1" customFormat="1" x14ac:dyDescent="0.25">
      <c r="AC2290" s="4"/>
      <c r="AD2290" s="4"/>
      <c r="AE2290" s="4"/>
      <c r="AF2290" s="4"/>
      <c r="AG2290" s="4"/>
      <c r="AH2290" s="4"/>
      <c r="AI2290" s="4"/>
      <c r="AJ2290" s="4"/>
      <c r="AK2290" s="4"/>
      <c r="AL2290" s="4"/>
      <c r="AM2290" s="4"/>
      <c r="AN2290" s="4"/>
      <c r="AO2290" s="4"/>
      <c r="AP2290" s="4"/>
      <c r="AQ2290" s="4"/>
      <c r="AR2290" s="4"/>
      <c r="AS2290" s="4"/>
      <c r="AT2290" s="4"/>
      <c r="AU2290" s="4"/>
      <c r="AV2290" s="4"/>
      <c r="AW2290" s="4"/>
      <c r="AX2290" s="4"/>
      <c r="AY2290" s="4"/>
      <c r="AZ2290" s="4"/>
      <c r="BA2290" s="4"/>
      <c r="BB2290" s="4"/>
      <c r="BC2290" s="4"/>
      <c r="BD2290" s="4"/>
      <c r="BE2290" s="4"/>
      <c r="BF2290" s="4"/>
      <c r="BG2290" s="4"/>
      <c r="BH2290" s="4"/>
      <c r="BI2290" s="4"/>
      <c r="BJ2290" s="4"/>
      <c r="BK2290" s="4"/>
      <c r="BL2290" s="4"/>
      <c r="BM2290" s="4"/>
      <c r="BN2290" s="4"/>
      <c r="BO2290" s="4"/>
      <c r="BP2290" s="4"/>
      <c r="BQ2290" s="4"/>
      <c r="BR2290" s="4"/>
      <c r="BS2290" s="4"/>
      <c r="BT2290" s="4"/>
      <c r="BU2290" s="4"/>
    </row>
    <row r="2291" spans="29:73" s="1" customFormat="1" x14ac:dyDescent="0.25">
      <c r="AC2291" s="4"/>
      <c r="AD2291" s="4"/>
      <c r="AE2291" s="4"/>
      <c r="AF2291" s="4"/>
      <c r="AG2291" s="4"/>
      <c r="AH2291" s="4"/>
      <c r="AI2291" s="4"/>
      <c r="AJ2291" s="4"/>
      <c r="AK2291" s="4"/>
      <c r="AL2291" s="4"/>
      <c r="AM2291" s="4"/>
      <c r="AN2291" s="4"/>
      <c r="AO2291" s="4"/>
      <c r="AP2291" s="4"/>
      <c r="AQ2291" s="4"/>
      <c r="AR2291" s="4"/>
      <c r="AS2291" s="4"/>
      <c r="AT2291" s="4"/>
      <c r="AU2291" s="4"/>
      <c r="AV2291" s="4"/>
      <c r="AW2291" s="4"/>
      <c r="AX2291" s="4"/>
      <c r="AY2291" s="4"/>
      <c r="AZ2291" s="4"/>
      <c r="BA2291" s="4"/>
      <c r="BB2291" s="4"/>
      <c r="BC2291" s="4"/>
      <c r="BD2291" s="4"/>
      <c r="BE2291" s="4"/>
      <c r="BF2291" s="4"/>
      <c r="BG2291" s="4"/>
      <c r="BH2291" s="4"/>
      <c r="BI2291" s="4"/>
      <c r="BJ2291" s="4"/>
      <c r="BK2291" s="4"/>
      <c r="BL2291" s="4"/>
      <c r="BM2291" s="4"/>
      <c r="BN2291" s="4"/>
      <c r="BO2291" s="4"/>
      <c r="BP2291" s="4"/>
      <c r="BQ2291" s="4"/>
      <c r="BR2291" s="4"/>
      <c r="BS2291" s="4"/>
      <c r="BT2291" s="4"/>
      <c r="BU2291" s="4"/>
    </row>
    <row r="2292" spans="29:73" s="1" customFormat="1" x14ac:dyDescent="0.25">
      <c r="AC2292" s="4"/>
      <c r="AD2292" s="4"/>
      <c r="AE2292" s="4"/>
      <c r="AF2292" s="4"/>
      <c r="AG2292" s="4"/>
      <c r="AH2292" s="4"/>
      <c r="AI2292" s="4"/>
      <c r="AJ2292" s="4"/>
      <c r="AK2292" s="4"/>
      <c r="AL2292" s="4"/>
      <c r="AM2292" s="4"/>
      <c r="AN2292" s="4"/>
      <c r="AO2292" s="4"/>
      <c r="AP2292" s="4"/>
      <c r="AQ2292" s="4"/>
      <c r="AR2292" s="4"/>
      <c r="AS2292" s="4"/>
      <c r="AT2292" s="4"/>
      <c r="AU2292" s="4"/>
      <c r="AV2292" s="4"/>
      <c r="AW2292" s="4"/>
      <c r="AX2292" s="4"/>
      <c r="AY2292" s="4"/>
      <c r="AZ2292" s="4"/>
      <c r="BA2292" s="4"/>
      <c r="BB2292" s="4"/>
      <c r="BC2292" s="4"/>
      <c r="BD2292" s="4"/>
      <c r="BE2292" s="4"/>
      <c r="BF2292" s="4"/>
      <c r="BG2292" s="4"/>
      <c r="BH2292" s="4"/>
      <c r="BI2292" s="4"/>
      <c r="BJ2292" s="4"/>
      <c r="BK2292" s="4"/>
      <c r="BL2292" s="4"/>
      <c r="BM2292" s="4"/>
      <c r="BN2292" s="4"/>
      <c r="BO2292" s="4"/>
      <c r="BP2292" s="4"/>
      <c r="BQ2292" s="4"/>
      <c r="BR2292" s="4"/>
      <c r="BS2292" s="4"/>
      <c r="BT2292" s="4"/>
      <c r="BU2292" s="4"/>
    </row>
    <row r="2293" spans="29:73" s="1" customFormat="1" x14ac:dyDescent="0.25">
      <c r="AC2293" s="4"/>
      <c r="AD2293" s="4"/>
      <c r="AE2293" s="4"/>
      <c r="AF2293" s="4"/>
      <c r="AG2293" s="4"/>
      <c r="AH2293" s="4"/>
      <c r="AI2293" s="4"/>
      <c r="AJ2293" s="4"/>
      <c r="AK2293" s="4"/>
      <c r="AL2293" s="4"/>
      <c r="AM2293" s="4"/>
      <c r="AN2293" s="4"/>
      <c r="AO2293" s="4"/>
      <c r="AP2293" s="4"/>
      <c r="AQ2293" s="4"/>
      <c r="AR2293" s="4"/>
      <c r="AS2293" s="4"/>
      <c r="AT2293" s="4"/>
      <c r="AU2293" s="4"/>
      <c r="AV2293" s="4"/>
      <c r="AW2293" s="4"/>
      <c r="AX2293" s="4"/>
      <c r="AY2293" s="4"/>
      <c r="AZ2293" s="4"/>
      <c r="BA2293" s="4"/>
      <c r="BB2293" s="4"/>
      <c r="BC2293" s="4"/>
      <c r="BD2293" s="4"/>
      <c r="BE2293" s="4"/>
      <c r="BF2293" s="4"/>
      <c r="BG2293" s="4"/>
      <c r="BH2293" s="4"/>
      <c r="BI2293" s="4"/>
      <c r="BJ2293" s="4"/>
      <c r="BK2293" s="4"/>
      <c r="BL2293" s="4"/>
      <c r="BM2293" s="4"/>
      <c r="BN2293" s="4"/>
      <c r="BO2293" s="4"/>
      <c r="BP2293" s="4"/>
      <c r="BQ2293" s="4"/>
      <c r="BR2293" s="4"/>
      <c r="BS2293" s="4"/>
      <c r="BT2293" s="4"/>
      <c r="BU2293" s="4"/>
    </row>
    <row r="2294" spans="29:73" s="1" customFormat="1" x14ac:dyDescent="0.25">
      <c r="AC2294" s="4"/>
      <c r="AD2294" s="4"/>
      <c r="AE2294" s="4"/>
      <c r="AF2294" s="4"/>
      <c r="AG2294" s="4"/>
      <c r="AH2294" s="4"/>
      <c r="AI2294" s="4"/>
      <c r="AJ2294" s="4"/>
      <c r="AK2294" s="4"/>
      <c r="AL2294" s="4"/>
      <c r="AM2294" s="4"/>
      <c r="AN2294" s="4"/>
      <c r="AO2294" s="4"/>
      <c r="AP2294" s="4"/>
      <c r="AQ2294" s="4"/>
      <c r="AR2294" s="4"/>
      <c r="AS2294" s="4"/>
      <c r="AT2294" s="4"/>
      <c r="AU2294" s="4"/>
      <c r="AV2294" s="4"/>
      <c r="AW2294" s="4"/>
      <c r="AX2294" s="4"/>
      <c r="AY2294" s="4"/>
      <c r="AZ2294" s="4"/>
      <c r="BA2294" s="4"/>
      <c r="BB2294" s="4"/>
      <c r="BC2294" s="4"/>
      <c r="BD2294" s="4"/>
      <c r="BE2294" s="4"/>
      <c r="BF2294" s="4"/>
      <c r="BG2294" s="4"/>
      <c r="BH2294" s="4"/>
      <c r="BI2294" s="4"/>
      <c r="BJ2294" s="4"/>
      <c r="BK2294" s="4"/>
      <c r="BL2294" s="4"/>
      <c r="BM2294" s="4"/>
      <c r="BN2294" s="4"/>
      <c r="BO2294" s="4"/>
      <c r="BP2294" s="4"/>
      <c r="BQ2294" s="4"/>
      <c r="BR2294" s="4"/>
      <c r="BS2294" s="4"/>
      <c r="BT2294" s="4"/>
      <c r="BU2294" s="4"/>
    </row>
    <row r="2295" spans="29:73" s="1" customFormat="1" x14ac:dyDescent="0.25">
      <c r="AC2295" s="4"/>
      <c r="AD2295" s="4"/>
      <c r="AE2295" s="4"/>
      <c r="AF2295" s="4"/>
      <c r="AG2295" s="4"/>
      <c r="AH2295" s="4"/>
      <c r="AI2295" s="4"/>
      <c r="AJ2295" s="4"/>
      <c r="AK2295" s="4"/>
      <c r="AL2295" s="4"/>
      <c r="AM2295" s="4"/>
      <c r="AN2295" s="4"/>
      <c r="AO2295" s="4"/>
      <c r="AP2295" s="4"/>
      <c r="AQ2295" s="4"/>
      <c r="AR2295" s="4"/>
      <c r="AS2295" s="4"/>
      <c r="AT2295" s="4"/>
      <c r="AU2295" s="4"/>
      <c r="AV2295" s="4"/>
      <c r="AW2295" s="4"/>
      <c r="AX2295" s="4"/>
      <c r="AY2295" s="4"/>
      <c r="AZ2295" s="4"/>
      <c r="BA2295" s="4"/>
      <c r="BB2295" s="4"/>
      <c r="BC2295" s="4"/>
      <c r="BD2295" s="4"/>
      <c r="BE2295" s="4"/>
      <c r="BF2295" s="4"/>
      <c r="BG2295" s="4"/>
      <c r="BH2295" s="4"/>
      <c r="BI2295" s="4"/>
      <c r="BJ2295" s="4"/>
      <c r="BK2295" s="4"/>
      <c r="BL2295" s="4"/>
      <c r="BM2295" s="4"/>
      <c r="BN2295" s="4"/>
      <c r="BO2295" s="4"/>
      <c r="BP2295" s="4"/>
      <c r="BQ2295" s="4"/>
      <c r="BR2295" s="4"/>
      <c r="BS2295" s="4"/>
      <c r="BT2295" s="4"/>
      <c r="BU2295" s="4"/>
    </row>
    <row r="2296" spans="29:73" s="1" customFormat="1" x14ac:dyDescent="0.25">
      <c r="AC2296" s="4"/>
      <c r="AD2296" s="4"/>
      <c r="AE2296" s="4"/>
      <c r="AF2296" s="4"/>
      <c r="AG2296" s="4"/>
      <c r="AH2296" s="4"/>
      <c r="AI2296" s="4"/>
      <c r="AJ2296" s="4"/>
      <c r="AK2296" s="4"/>
      <c r="AL2296" s="4"/>
      <c r="AM2296" s="4"/>
      <c r="AN2296" s="4"/>
      <c r="AO2296" s="4"/>
      <c r="AP2296" s="4"/>
      <c r="AQ2296" s="4"/>
      <c r="AR2296" s="4"/>
      <c r="AS2296" s="4"/>
      <c r="AT2296" s="4"/>
      <c r="AU2296" s="4"/>
      <c r="AV2296" s="4"/>
      <c r="AW2296" s="4"/>
      <c r="AX2296" s="4"/>
      <c r="AY2296" s="4"/>
      <c r="AZ2296" s="4"/>
      <c r="BA2296" s="4"/>
      <c r="BB2296" s="4"/>
      <c r="BC2296" s="4"/>
      <c r="BD2296" s="4"/>
      <c r="BE2296" s="4"/>
      <c r="BF2296" s="4"/>
      <c r="BG2296" s="4"/>
      <c r="BH2296" s="4"/>
      <c r="BI2296" s="4"/>
      <c r="BJ2296" s="4"/>
      <c r="BK2296" s="4"/>
      <c r="BL2296" s="4"/>
      <c r="BM2296" s="4"/>
      <c r="BN2296" s="4"/>
      <c r="BO2296" s="4"/>
      <c r="BP2296" s="4"/>
      <c r="BQ2296" s="4"/>
      <c r="BR2296" s="4"/>
      <c r="BS2296" s="4"/>
      <c r="BT2296" s="4"/>
      <c r="BU2296" s="4"/>
    </row>
    <row r="2297" spans="29:73" s="1" customFormat="1" x14ac:dyDescent="0.25">
      <c r="AC2297" s="4"/>
      <c r="AD2297" s="4"/>
      <c r="AE2297" s="4"/>
      <c r="AF2297" s="4"/>
      <c r="AG2297" s="4"/>
      <c r="AH2297" s="4"/>
      <c r="AI2297" s="4"/>
      <c r="AJ2297" s="4"/>
      <c r="AK2297" s="4"/>
      <c r="AL2297" s="4"/>
      <c r="AM2297" s="4"/>
      <c r="AN2297" s="4"/>
      <c r="AO2297" s="4"/>
      <c r="AP2297" s="4"/>
      <c r="AQ2297" s="4"/>
      <c r="AR2297" s="4"/>
      <c r="AS2297" s="4"/>
      <c r="AT2297" s="4"/>
      <c r="AU2297" s="4"/>
      <c r="AV2297" s="4"/>
      <c r="AW2297" s="4"/>
      <c r="AX2297" s="4"/>
      <c r="AY2297" s="4"/>
      <c r="AZ2297" s="4"/>
      <c r="BA2297" s="4"/>
      <c r="BB2297" s="4"/>
      <c r="BC2297" s="4"/>
      <c r="BD2297" s="4"/>
      <c r="BE2297" s="4"/>
      <c r="BF2297" s="4"/>
      <c r="BG2297" s="4"/>
      <c r="BH2297" s="4"/>
      <c r="BI2297" s="4"/>
      <c r="BJ2297" s="4"/>
      <c r="BK2297" s="4"/>
      <c r="BL2297" s="4"/>
      <c r="BM2297" s="4"/>
      <c r="BN2297" s="4"/>
      <c r="BO2297" s="4"/>
      <c r="BP2297" s="4"/>
      <c r="BQ2297" s="4"/>
      <c r="BR2297" s="4"/>
      <c r="BS2297" s="4"/>
      <c r="BT2297" s="4"/>
      <c r="BU2297" s="4"/>
    </row>
    <row r="2298" spans="29:73" s="1" customFormat="1" x14ac:dyDescent="0.25">
      <c r="AC2298" s="4"/>
      <c r="AD2298" s="4"/>
      <c r="AE2298" s="4"/>
      <c r="AF2298" s="4"/>
      <c r="AG2298" s="4"/>
      <c r="AH2298" s="4"/>
      <c r="AI2298" s="4"/>
      <c r="AJ2298" s="4"/>
      <c r="AK2298" s="4"/>
      <c r="AL2298" s="4"/>
      <c r="AM2298" s="4"/>
      <c r="AN2298" s="4"/>
      <c r="AO2298" s="4"/>
      <c r="AP2298" s="4"/>
      <c r="AQ2298" s="4"/>
      <c r="AR2298" s="4"/>
      <c r="AS2298" s="4"/>
      <c r="AT2298" s="4"/>
      <c r="AU2298" s="4"/>
      <c r="AV2298" s="4"/>
      <c r="AW2298" s="4"/>
      <c r="AX2298" s="4"/>
      <c r="AY2298" s="4"/>
      <c r="AZ2298" s="4"/>
      <c r="BA2298" s="4"/>
      <c r="BB2298" s="4"/>
      <c r="BC2298" s="4"/>
      <c r="BD2298" s="4"/>
      <c r="BE2298" s="4"/>
      <c r="BF2298" s="4"/>
      <c r="BG2298" s="4"/>
      <c r="BH2298" s="4"/>
      <c r="BI2298" s="4"/>
      <c r="BJ2298" s="4"/>
      <c r="BK2298" s="4"/>
      <c r="BL2298" s="4"/>
      <c r="BM2298" s="4"/>
      <c r="BN2298" s="4"/>
      <c r="BO2298" s="4"/>
      <c r="BP2298" s="4"/>
      <c r="BQ2298" s="4"/>
      <c r="BR2298" s="4"/>
      <c r="BS2298" s="4"/>
      <c r="BT2298" s="4"/>
      <c r="BU2298" s="4"/>
    </row>
    <row r="2299" spans="29:73" s="1" customFormat="1" x14ac:dyDescent="0.25">
      <c r="AC2299" s="4"/>
      <c r="AD2299" s="4"/>
      <c r="AE2299" s="4"/>
      <c r="AF2299" s="4"/>
      <c r="AG2299" s="4"/>
      <c r="AH2299" s="4"/>
      <c r="AI2299" s="4"/>
      <c r="AJ2299" s="4"/>
      <c r="AK2299" s="4"/>
      <c r="AL2299" s="4"/>
      <c r="AM2299" s="4"/>
      <c r="AN2299" s="4"/>
      <c r="AO2299" s="4"/>
      <c r="AP2299" s="4"/>
      <c r="AQ2299" s="4"/>
      <c r="AR2299" s="4"/>
      <c r="AS2299" s="4"/>
      <c r="AT2299" s="4"/>
      <c r="AU2299" s="4"/>
      <c r="AV2299" s="4"/>
      <c r="AW2299" s="4"/>
      <c r="AX2299" s="4"/>
      <c r="AY2299" s="4"/>
      <c r="AZ2299" s="4"/>
      <c r="BA2299" s="4"/>
      <c r="BB2299" s="4"/>
      <c r="BC2299" s="4"/>
      <c r="BD2299" s="4"/>
      <c r="BE2299" s="4"/>
      <c r="BF2299" s="4"/>
      <c r="BG2299" s="4"/>
      <c r="BH2299" s="4"/>
      <c r="BI2299" s="4"/>
      <c r="BJ2299" s="4"/>
      <c r="BK2299" s="4"/>
      <c r="BL2299" s="4"/>
      <c r="BM2299" s="4"/>
      <c r="BN2299" s="4"/>
      <c r="BO2299" s="4"/>
      <c r="BP2299" s="4"/>
      <c r="BQ2299" s="4"/>
      <c r="BR2299" s="4"/>
      <c r="BS2299" s="4"/>
      <c r="BT2299" s="4"/>
      <c r="BU2299" s="4"/>
    </row>
    <row r="2300" spans="29:73" s="1" customFormat="1" x14ac:dyDescent="0.25">
      <c r="AC2300" s="4"/>
      <c r="AD2300" s="4"/>
      <c r="AE2300" s="4"/>
      <c r="AF2300" s="4"/>
      <c r="AG2300" s="4"/>
      <c r="AH2300" s="4"/>
      <c r="AI2300" s="4"/>
      <c r="AJ2300" s="4"/>
      <c r="AK2300" s="4"/>
      <c r="AL2300" s="4"/>
      <c r="AM2300" s="4"/>
      <c r="AN2300" s="4"/>
      <c r="AO2300" s="4"/>
      <c r="AP2300" s="4"/>
      <c r="AQ2300" s="4"/>
      <c r="AR2300" s="4"/>
      <c r="AS2300" s="4"/>
      <c r="AT2300" s="4"/>
      <c r="AU2300" s="4"/>
      <c r="AV2300" s="4"/>
      <c r="AW2300" s="4"/>
      <c r="AX2300" s="4"/>
      <c r="AY2300" s="4"/>
      <c r="AZ2300" s="4"/>
      <c r="BA2300" s="4"/>
      <c r="BB2300" s="4"/>
      <c r="BC2300" s="4"/>
      <c r="BD2300" s="4"/>
      <c r="BE2300" s="4"/>
      <c r="BF2300" s="4"/>
      <c r="BG2300" s="4"/>
      <c r="BH2300" s="4"/>
      <c r="BI2300" s="4"/>
      <c r="BJ2300" s="4"/>
      <c r="BK2300" s="4"/>
      <c r="BL2300" s="4"/>
      <c r="BM2300" s="4"/>
      <c r="BN2300" s="4"/>
      <c r="BO2300" s="4"/>
      <c r="BP2300" s="4"/>
      <c r="BQ2300" s="4"/>
      <c r="BR2300" s="4"/>
      <c r="BS2300" s="4"/>
      <c r="BT2300" s="4"/>
      <c r="BU2300" s="4"/>
    </row>
    <row r="2301" spans="29:73" s="1" customFormat="1" x14ac:dyDescent="0.25">
      <c r="AC2301" s="4"/>
      <c r="AD2301" s="4"/>
      <c r="AE2301" s="4"/>
      <c r="AF2301" s="4"/>
      <c r="AG2301" s="4"/>
      <c r="AH2301" s="4"/>
      <c r="AI2301" s="4"/>
      <c r="AJ2301" s="4"/>
      <c r="AK2301" s="4"/>
      <c r="AL2301" s="4"/>
      <c r="AM2301" s="4"/>
      <c r="AN2301" s="4"/>
      <c r="AO2301" s="4"/>
      <c r="AP2301" s="4"/>
      <c r="AQ2301" s="4"/>
      <c r="AR2301" s="4"/>
      <c r="AS2301" s="4"/>
      <c r="AT2301" s="4"/>
      <c r="AU2301" s="4"/>
      <c r="AV2301" s="4"/>
      <c r="AW2301" s="4"/>
      <c r="AX2301" s="4"/>
      <c r="AY2301" s="4"/>
      <c r="AZ2301" s="4"/>
      <c r="BA2301" s="4"/>
      <c r="BB2301" s="4"/>
      <c r="BC2301" s="4"/>
      <c r="BD2301" s="4"/>
      <c r="BE2301" s="4"/>
      <c r="BF2301" s="4"/>
      <c r="BG2301" s="4"/>
      <c r="BH2301" s="4"/>
      <c r="BI2301" s="4"/>
      <c r="BJ2301" s="4"/>
      <c r="BK2301" s="4"/>
      <c r="BL2301" s="4"/>
      <c r="BM2301" s="4"/>
      <c r="BN2301" s="4"/>
      <c r="BO2301" s="4"/>
      <c r="BP2301" s="4"/>
      <c r="BQ2301" s="4"/>
      <c r="BR2301" s="4"/>
      <c r="BS2301" s="4"/>
      <c r="BT2301" s="4"/>
      <c r="BU2301" s="4"/>
    </row>
    <row r="2302" spans="29:73" s="1" customFormat="1" x14ac:dyDescent="0.25">
      <c r="AC2302" s="4"/>
      <c r="AD2302" s="4"/>
      <c r="AE2302" s="4"/>
      <c r="AF2302" s="4"/>
      <c r="AG2302" s="4"/>
      <c r="AH2302" s="4"/>
      <c r="AI2302" s="4"/>
      <c r="AJ2302" s="4"/>
      <c r="AK2302" s="4"/>
      <c r="AL2302" s="4"/>
      <c r="AM2302" s="4"/>
      <c r="AN2302" s="4"/>
      <c r="AO2302" s="4"/>
      <c r="AP2302" s="4"/>
      <c r="AQ2302" s="4"/>
      <c r="AR2302" s="4"/>
      <c r="AS2302" s="4"/>
      <c r="AT2302" s="4"/>
      <c r="AU2302" s="4"/>
      <c r="AV2302" s="4"/>
      <c r="AW2302" s="4"/>
      <c r="AX2302" s="4"/>
      <c r="AY2302" s="4"/>
      <c r="AZ2302" s="4"/>
      <c r="BA2302" s="4"/>
      <c r="BB2302" s="4"/>
      <c r="BC2302" s="4"/>
      <c r="BD2302" s="4"/>
      <c r="BE2302" s="4"/>
      <c r="BF2302" s="4"/>
      <c r="BG2302" s="4"/>
      <c r="BH2302" s="4"/>
      <c r="BI2302" s="4"/>
      <c r="BJ2302" s="4"/>
      <c r="BK2302" s="4"/>
      <c r="BL2302" s="4"/>
      <c r="BM2302" s="4"/>
      <c r="BN2302" s="4"/>
      <c r="BO2302" s="4"/>
      <c r="BP2302" s="4"/>
      <c r="BQ2302" s="4"/>
      <c r="BR2302" s="4"/>
      <c r="BS2302" s="4"/>
      <c r="BT2302" s="4"/>
      <c r="BU2302" s="4"/>
    </row>
    <row r="2303" spans="29:73" s="1" customFormat="1" x14ac:dyDescent="0.25">
      <c r="AC2303" s="4"/>
      <c r="AD2303" s="4"/>
      <c r="AE2303" s="4"/>
      <c r="AF2303" s="4"/>
      <c r="AG2303" s="4"/>
      <c r="AH2303" s="4"/>
      <c r="AI2303" s="4"/>
      <c r="AJ2303" s="4"/>
      <c r="AK2303" s="4"/>
      <c r="AL2303" s="4"/>
      <c r="AM2303" s="4"/>
      <c r="AN2303" s="4"/>
      <c r="AO2303" s="4"/>
      <c r="AP2303" s="4"/>
      <c r="AQ2303" s="4"/>
      <c r="AR2303" s="4"/>
      <c r="AS2303" s="4"/>
      <c r="AT2303" s="4"/>
      <c r="AU2303" s="4"/>
      <c r="AV2303" s="4"/>
      <c r="AW2303" s="4"/>
      <c r="AX2303" s="4"/>
      <c r="AY2303" s="4"/>
      <c r="AZ2303" s="4"/>
      <c r="BA2303" s="4"/>
      <c r="BB2303" s="4"/>
      <c r="BC2303" s="4"/>
      <c r="BD2303" s="4"/>
      <c r="BE2303" s="4"/>
      <c r="BF2303" s="4"/>
      <c r="BG2303" s="4"/>
      <c r="BH2303" s="4"/>
      <c r="BI2303" s="4"/>
      <c r="BJ2303" s="4"/>
      <c r="BK2303" s="4"/>
      <c r="BL2303" s="4"/>
      <c r="BM2303" s="4"/>
      <c r="BN2303" s="4"/>
      <c r="BO2303" s="4"/>
      <c r="BP2303" s="4"/>
      <c r="BQ2303" s="4"/>
      <c r="BR2303" s="4"/>
      <c r="BS2303" s="4"/>
      <c r="BT2303" s="4"/>
      <c r="BU2303" s="4"/>
    </row>
    <row r="2304" spans="29:73" s="1" customFormat="1" x14ac:dyDescent="0.25">
      <c r="AC2304" s="4"/>
      <c r="AD2304" s="4"/>
      <c r="AE2304" s="4"/>
      <c r="AF2304" s="4"/>
      <c r="AG2304" s="4"/>
      <c r="AH2304" s="4"/>
      <c r="AI2304" s="4"/>
      <c r="AJ2304" s="4"/>
      <c r="AK2304" s="4"/>
      <c r="AL2304" s="4"/>
      <c r="AM2304" s="4"/>
      <c r="AN2304" s="4"/>
      <c r="AO2304" s="4"/>
      <c r="AP2304" s="4"/>
      <c r="AQ2304" s="4"/>
      <c r="AR2304" s="4"/>
      <c r="AS2304" s="4"/>
      <c r="AT2304" s="4"/>
      <c r="AU2304" s="4"/>
      <c r="AV2304" s="4"/>
      <c r="AW2304" s="4"/>
      <c r="AX2304" s="4"/>
      <c r="AY2304" s="4"/>
      <c r="AZ2304" s="4"/>
      <c r="BA2304" s="4"/>
      <c r="BB2304" s="4"/>
      <c r="BC2304" s="4"/>
      <c r="BD2304" s="4"/>
      <c r="BE2304" s="4"/>
      <c r="BF2304" s="4"/>
      <c r="BG2304" s="4"/>
      <c r="BH2304" s="4"/>
      <c r="BI2304" s="4"/>
      <c r="BJ2304" s="4"/>
      <c r="BK2304" s="4"/>
      <c r="BL2304" s="4"/>
      <c r="BM2304" s="4"/>
      <c r="BN2304" s="4"/>
      <c r="BO2304" s="4"/>
      <c r="BP2304" s="4"/>
      <c r="BQ2304" s="4"/>
      <c r="BR2304" s="4"/>
      <c r="BS2304" s="4"/>
      <c r="BT2304" s="4"/>
      <c r="BU2304" s="4"/>
    </row>
    <row r="2305" spans="29:73" s="1" customFormat="1" x14ac:dyDescent="0.25">
      <c r="AC2305" s="4"/>
      <c r="AD2305" s="4"/>
      <c r="AE2305" s="4"/>
      <c r="AF2305" s="4"/>
      <c r="AG2305" s="4"/>
      <c r="AH2305" s="4"/>
      <c r="AI2305" s="4"/>
      <c r="AJ2305" s="4"/>
      <c r="AK2305" s="4"/>
      <c r="AL2305" s="4"/>
      <c r="AM2305" s="4"/>
      <c r="AN2305" s="4"/>
      <c r="AO2305" s="4"/>
      <c r="AP2305" s="4"/>
      <c r="AQ2305" s="4"/>
      <c r="AR2305" s="4"/>
      <c r="AS2305" s="4"/>
      <c r="AT2305" s="4"/>
      <c r="AU2305" s="4"/>
      <c r="AV2305" s="4"/>
      <c r="AW2305" s="4"/>
      <c r="AX2305" s="4"/>
      <c r="AY2305" s="4"/>
      <c r="AZ2305" s="4"/>
      <c r="BA2305" s="4"/>
      <c r="BB2305" s="4"/>
      <c r="BC2305" s="4"/>
      <c r="BD2305" s="4"/>
      <c r="BE2305" s="4"/>
      <c r="BF2305" s="4"/>
      <c r="BG2305" s="4"/>
      <c r="BH2305" s="4"/>
      <c r="BI2305" s="4"/>
      <c r="BJ2305" s="4"/>
      <c r="BK2305" s="4"/>
      <c r="BL2305" s="4"/>
      <c r="BM2305" s="4"/>
      <c r="BN2305" s="4"/>
      <c r="BO2305" s="4"/>
      <c r="BP2305" s="4"/>
      <c r="BQ2305" s="4"/>
      <c r="BR2305" s="4"/>
      <c r="BS2305" s="4"/>
      <c r="BT2305" s="4"/>
      <c r="BU2305" s="4"/>
    </row>
    <row r="2306" spans="29:73" s="1" customFormat="1" x14ac:dyDescent="0.25">
      <c r="AC2306" s="4"/>
      <c r="AD2306" s="4"/>
      <c r="AE2306" s="4"/>
      <c r="AF2306" s="4"/>
      <c r="AG2306" s="4"/>
      <c r="AH2306" s="4"/>
      <c r="AI2306" s="4"/>
      <c r="AJ2306" s="4"/>
      <c r="AK2306" s="4"/>
      <c r="AL2306" s="4"/>
      <c r="AM2306" s="4"/>
      <c r="AN2306" s="4"/>
      <c r="AO2306" s="4"/>
      <c r="AP2306" s="4"/>
      <c r="AQ2306" s="4"/>
      <c r="AR2306" s="4"/>
      <c r="AS2306" s="4"/>
      <c r="AT2306" s="4"/>
      <c r="AU2306" s="4"/>
      <c r="AV2306" s="4"/>
      <c r="AW2306" s="4"/>
      <c r="AX2306" s="4"/>
      <c r="AY2306" s="4"/>
      <c r="AZ2306" s="4"/>
      <c r="BA2306" s="4"/>
      <c r="BB2306" s="4"/>
      <c r="BC2306" s="4"/>
      <c r="BD2306" s="4"/>
      <c r="BE2306" s="4"/>
      <c r="BF2306" s="4"/>
      <c r="BG2306" s="4"/>
      <c r="BH2306" s="4"/>
      <c r="BI2306" s="4"/>
      <c r="BJ2306" s="4"/>
      <c r="BK2306" s="4"/>
      <c r="BL2306" s="4"/>
      <c r="BM2306" s="4"/>
      <c r="BN2306" s="4"/>
      <c r="BO2306" s="4"/>
      <c r="BP2306" s="4"/>
      <c r="BQ2306" s="4"/>
      <c r="BR2306" s="4"/>
      <c r="BS2306" s="4"/>
      <c r="BT2306" s="4"/>
      <c r="BU2306" s="4"/>
    </row>
    <row r="2307" spans="29:73" s="1" customFormat="1" x14ac:dyDescent="0.25">
      <c r="AC2307" s="4"/>
      <c r="AD2307" s="4"/>
      <c r="AE2307" s="4"/>
      <c r="AF2307" s="4"/>
      <c r="AG2307" s="4"/>
      <c r="AH2307" s="4"/>
      <c r="AI2307" s="4"/>
      <c r="AJ2307" s="4"/>
      <c r="AK2307" s="4"/>
      <c r="AL2307" s="4"/>
      <c r="AM2307" s="4"/>
      <c r="AN2307" s="4"/>
      <c r="AO2307" s="4"/>
      <c r="AP2307" s="4"/>
      <c r="AQ2307" s="4"/>
      <c r="AR2307" s="4"/>
      <c r="AS2307" s="4"/>
      <c r="AT2307" s="4"/>
      <c r="AU2307" s="4"/>
      <c r="AV2307" s="4"/>
      <c r="AW2307" s="4"/>
      <c r="AX2307" s="4"/>
      <c r="AY2307" s="4"/>
      <c r="AZ2307" s="4"/>
      <c r="BA2307" s="4"/>
      <c r="BB2307" s="4"/>
      <c r="BC2307" s="4"/>
      <c r="BD2307" s="4"/>
      <c r="BE2307" s="4"/>
      <c r="BF2307" s="4"/>
      <c r="BG2307" s="4"/>
      <c r="BH2307" s="4"/>
      <c r="BI2307" s="4"/>
      <c r="BJ2307" s="4"/>
      <c r="BK2307" s="4"/>
      <c r="BL2307" s="4"/>
      <c r="BM2307" s="4"/>
      <c r="BN2307" s="4"/>
      <c r="BO2307" s="4"/>
      <c r="BP2307" s="4"/>
      <c r="BQ2307" s="4"/>
      <c r="BR2307" s="4"/>
      <c r="BS2307" s="4"/>
      <c r="BT2307" s="4"/>
      <c r="BU2307" s="4"/>
    </row>
    <row r="2308" spans="29:73" s="1" customFormat="1" x14ac:dyDescent="0.25">
      <c r="AC2308" s="4"/>
      <c r="AD2308" s="4"/>
      <c r="AE2308" s="4"/>
      <c r="AF2308" s="4"/>
      <c r="AG2308" s="4"/>
      <c r="AH2308" s="4"/>
      <c r="AI2308" s="4"/>
      <c r="AJ2308" s="4"/>
      <c r="AK2308" s="4"/>
      <c r="AL2308" s="4"/>
      <c r="AM2308" s="4"/>
      <c r="AN2308" s="4"/>
      <c r="AO2308" s="4"/>
      <c r="AP2308" s="4"/>
      <c r="AQ2308" s="4"/>
      <c r="AR2308" s="4"/>
      <c r="AS2308" s="4"/>
      <c r="AT2308" s="4"/>
      <c r="AU2308" s="4"/>
      <c r="AV2308" s="4"/>
      <c r="AW2308" s="4"/>
      <c r="AX2308" s="4"/>
      <c r="AY2308" s="4"/>
      <c r="AZ2308" s="4"/>
      <c r="BA2308" s="4"/>
      <c r="BB2308" s="4"/>
      <c r="BC2308" s="4"/>
      <c r="BD2308" s="4"/>
      <c r="BE2308" s="4"/>
      <c r="BF2308" s="4"/>
      <c r="BG2308" s="4"/>
      <c r="BH2308" s="4"/>
      <c r="BI2308" s="4"/>
      <c r="BJ2308" s="4"/>
      <c r="BK2308" s="4"/>
      <c r="BL2308" s="4"/>
      <c r="BM2308" s="4"/>
      <c r="BN2308" s="4"/>
      <c r="BO2308" s="4"/>
      <c r="BP2308" s="4"/>
      <c r="BQ2308" s="4"/>
      <c r="BR2308" s="4"/>
      <c r="BS2308" s="4"/>
      <c r="BT2308" s="4"/>
      <c r="BU2308" s="4"/>
    </row>
    <row r="2309" spans="29:73" s="1" customFormat="1" x14ac:dyDescent="0.25">
      <c r="AC2309" s="4"/>
      <c r="AD2309" s="4"/>
      <c r="AE2309" s="4"/>
      <c r="AF2309" s="4"/>
      <c r="AG2309" s="4"/>
      <c r="AH2309" s="4"/>
      <c r="AI2309" s="4"/>
      <c r="AJ2309" s="4"/>
      <c r="AK2309" s="4"/>
      <c r="AL2309" s="4"/>
      <c r="AM2309" s="4"/>
      <c r="AN2309" s="4"/>
      <c r="AO2309" s="4"/>
      <c r="AP2309" s="4"/>
      <c r="AQ2309" s="4"/>
      <c r="AR2309" s="4"/>
      <c r="AS2309" s="4"/>
      <c r="AT2309" s="4"/>
      <c r="AU2309" s="4"/>
      <c r="AV2309" s="4"/>
      <c r="AW2309" s="4"/>
      <c r="AX2309" s="4"/>
      <c r="AY2309" s="4"/>
      <c r="AZ2309" s="4"/>
      <c r="BA2309" s="4"/>
      <c r="BB2309" s="4"/>
      <c r="BC2309" s="4"/>
      <c r="BD2309" s="4"/>
      <c r="BE2309" s="4"/>
      <c r="BF2309" s="4"/>
      <c r="BG2309" s="4"/>
      <c r="BH2309" s="4"/>
      <c r="BI2309" s="4"/>
      <c r="BJ2309" s="4"/>
      <c r="BK2309" s="4"/>
      <c r="BL2309" s="4"/>
      <c r="BM2309" s="4"/>
      <c r="BN2309" s="4"/>
      <c r="BO2309" s="4"/>
      <c r="BP2309" s="4"/>
      <c r="BQ2309" s="4"/>
      <c r="BR2309" s="4"/>
      <c r="BS2309" s="4"/>
      <c r="BT2309" s="4"/>
      <c r="BU2309" s="4"/>
    </row>
    <row r="2310" spans="29:73" s="1" customFormat="1" x14ac:dyDescent="0.25">
      <c r="AC2310" s="4"/>
      <c r="AD2310" s="4"/>
      <c r="AE2310" s="4"/>
      <c r="AF2310" s="4"/>
      <c r="AG2310" s="4"/>
      <c r="AH2310" s="4"/>
      <c r="AI2310" s="4"/>
      <c r="AJ2310" s="4"/>
      <c r="AK2310" s="4"/>
      <c r="AL2310" s="4"/>
      <c r="AM2310" s="4"/>
      <c r="AN2310" s="4"/>
      <c r="AO2310" s="4"/>
      <c r="AP2310" s="4"/>
      <c r="AQ2310" s="4"/>
      <c r="AR2310" s="4"/>
      <c r="AS2310" s="4"/>
      <c r="AT2310" s="4"/>
      <c r="AU2310" s="4"/>
      <c r="AV2310" s="4"/>
      <c r="AW2310" s="4"/>
      <c r="AX2310" s="4"/>
      <c r="AY2310" s="4"/>
      <c r="AZ2310" s="4"/>
      <c r="BA2310" s="4"/>
      <c r="BB2310" s="4"/>
      <c r="BC2310" s="4"/>
      <c r="BD2310" s="4"/>
      <c r="BE2310" s="4"/>
      <c r="BF2310" s="4"/>
      <c r="BG2310" s="4"/>
      <c r="BH2310" s="4"/>
      <c r="BI2310" s="4"/>
      <c r="BJ2310" s="4"/>
      <c r="BK2310" s="4"/>
      <c r="BL2310" s="4"/>
      <c r="BM2310" s="4"/>
      <c r="BN2310" s="4"/>
      <c r="BO2310" s="4"/>
      <c r="BP2310" s="4"/>
      <c r="BQ2310" s="4"/>
      <c r="BR2310" s="4"/>
      <c r="BS2310" s="4"/>
      <c r="BT2310" s="4"/>
      <c r="BU2310" s="4"/>
    </row>
    <row r="2311" spans="29:73" s="1" customFormat="1" x14ac:dyDescent="0.25">
      <c r="AC2311" s="4"/>
      <c r="AD2311" s="4"/>
      <c r="AE2311" s="4"/>
      <c r="AF2311" s="4"/>
      <c r="AG2311" s="4"/>
      <c r="AH2311" s="4"/>
      <c r="AI2311" s="4"/>
      <c r="AJ2311" s="4"/>
      <c r="AK2311" s="4"/>
      <c r="AL2311" s="4"/>
      <c r="AM2311" s="4"/>
      <c r="AN2311" s="4"/>
      <c r="AO2311" s="4"/>
      <c r="AP2311" s="4"/>
      <c r="AQ2311" s="4"/>
      <c r="AR2311" s="4"/>
      <c r="AS2311" s="4"/>
      <c r="AT2311" s="4"/>
      <c r="AU2311" s="4"/>
      <c r="AV2311" s="4"/>
      <c r="AW2311" s="4"/>
      <c r="AX2311" s="4"/>
      <c r="AY2311" s="4"/>
      <c r="AZ2311" s="4"/>
      <c r="BA2311" s="4"/>
      <c r="BB2311" s="4"/>
      <c r="BC2311" s="4"/>
      <c r="BD2311" s="4"/>
      <c r="BE2311" s="4"/>
      <c r="BF2311" s="4"/>
      <c r="BG2311" s="4"/>
      <c r="BH2311" s="4"/>
      <c r="BI2311" s="4"/>
      <c r="BJ2311" s="4"/>
      <c r="BK2311" s="4"/>
      <c r="BL2311" s="4"/>
      <c r="BM2311" s="4"/>
      <c r="BN2311" s="4"/>
      <c r="BO2311" s="4"/>
      <c r="BP2311" s="4"/>
      <c r="BQ2311" s="4"/>
      <c r="BR2311" s="4"/>
      <c r="BS2311" s="4"/>
      <c r="BT2311" s="4"/>
      <c r="BU2311" s="4"/>
    </row>
    <row r="2312" spans="29:73" s="1" customFormat="1" x14ac:dyDescent="0.25">
      <c r="AC2312" s="4"/>
      <c r="AD2312" s="4"/>
      <c r="AE2312" s="4"/>
      <c r="AF2312" s="4"/>
      <c r="AG2312" s="4"/>
      <c r="AH2312" s="4"/>
      <c r="AI2312" s="4"/>
      <c r="AJ2312" s="4"/>
      <c r="AK2312" s="4"/>
      <c r="AL2312" s="4"/>
      <c r="AM2312" s="4"/>
      <c r="AN2312" s="4"/>
      <c r="AO2312" s="4"/>
      <c r="AP2312" s="4"/>
      <c r="AQ2312" s="4"/>
      <c r="AR2312" s="4"/>
      <c r="AS2312" s="4"/>
      <c r="AT2312" s="4"/>
      <c r="AU2312" s="4"/>
      <c r="AV2312" s="4"/>
      <c r="AW2312" s="4"/>
      <c r="AX2312" s="4"/>
      <c r="AY2312" s="4"/>
      <c r="AZ2312" s="4"/>
      <c r="BA2312" s="4"/>
      <c r="BB2312" s="4"/>
      <c r="BC2312" s="4"/>
      <c r="BD2312" s="4"/>
      <c r="BE2312" s="4"/>
      <c r="BF2312" s="4"/>
      <c r="BG2312" s="4"/>
      <c r="BH2312" s="4"/>
      <c r="BI2312" s="4"/>
      <c r="BJ2312" s="4"/>
      <c r="BK2312" s="4"/>
      <c r="BL2312" s="4"/>
      <c r="BM2312" s="4"/>
      <c r="BN2312" s="4"/>
      <c r="BO2312" s="4"/>
      <c r="BP2312" s="4"/>
      <c r="BQ2312" s="4"/>
      <c r="BR2312" s="4"/>
      <c r="BS2312" s="4"/>
      <c r="BT2312" s="4"/>
      <c r="BU2312" s="4"/>
    </row>
    <row r="2313" spans="29:73" s="1" customFormat="1" x14ac:dyDescent="0.25">
      <c r="AC2313" s="4"/>
      <c r="AD2313" s="4"/>
      <c r="AE2313" s="4"/>
      <c r="AF2313" s="4"/>
      <c r="AG2313" s="4"/>
      <c r="AH2313" s="4"/>
      <c r="AI2313" s="4"/>
      <c r="AJ2313" s="4"/>
      <c r="AK2313" s="4"/>
      <c r="AL2313" s="4"/>
      <c r="AM2313" s="4"/>
      <c r="AN2313" s="4"/>
      <c r="AO2313" s="4"/>
      <c r="AP2313" s="4"/>
      <c r="AQ2313" s="4"/>
      <c r="AR2313" s="4"/>
      <c r="AS2313" s="4"/>
      <c r="AT2313" s="4"/>
      <c r="AU2313" s="4"/>
      <c r="AV2313" s="4"/>
      <c r="AW2313" s="4"/>
      <c r="AX2313" s="4"/>
      <c r="AY2313" s="4"/>
      <c r="AZ2313" s="4"/>
      <c r="BA2313" s="4"/>
      <c r="BB2313" s="4"/>
      <c r="BC2313" s="4"/>
      <c r="BD2313" s="4"/>
      <c r="BE2313" s="4"/>
      <c r="BF2313" s="4"/>
      <c r="BG2313" s="4"/>
      <c r="BH2313" s="4"/>
      <c r="BI2313" s="4"/>
      <c r="BJ2313" s="4"/>
      <c r="BK2313" s="4"/>
      <c r="BL2313" s="4"/>
      <c r="BM2313" s="4"/>
      <c r="BN2313" s="4"/>
      <c r="BO2313" s="4"/>
      <c r="BP2313" s="4"/>
      <c r="BQ2313" s="4"/>
      <c r="BR2313" s="4"/>
      <c r="BS2313" s="4"/>
      <c r="BT2313" s="4"/>
      <c r="BU2313" s="4"/>
    </row>
    <row r="2314" spans="29:73" s="1" customFormat="1" x14ac:dyDescent="0.25">
      <c r="AC2314" s="4"/>
      <c r="AD2314" s="4"/>
      <c r="AE2314" s="4"/>
      <c r="AF2314" s="4"/>
      <c r="AG2314" s="4"/>
      <c r="AH2314" s="4"/>
      <c r="AI2314" s="4"/>
      <c r="AJ2314" s="4"/>
      <c r="AK2314" s="4"/>
      <c r="AL2314" s="4"/>
      <c r="AM2314" s="4"/>
      <c r="AN2314" s="4"/>
      <c r="AO2314" s="4"/>
      <c r="AP2314" s="4"/>
      <c r="AQ2314" s="4"/>
      <c r="AR2314" s="4"/>
      <c r="AS2314" s="4"/>
      <c r="AT2314" s="4"/>
      <c r="AU2314" s="4"/>
      <c r="AV2314" s="4"/>
      <c r="AW2314" s="4"/>
      <c r="AX2314" s="4"/>
      <c r="AY2314" s="4"/>
      <c r="AZ2314" s="4"/>
      <c r="BA2314" s="4"/>
      <c r="BB2314" s="4"/>
      <c r="BC2314" s="4"/>
      <c r="BD2314" s="4"/>
      <c r="BE2314" s="4"/>
      <c r="BF2314" s="4"/>
      <c r="BG2314" s="4"/>
      <c r="BH2314" s="4"/>
      <c r="BI2314" s="4"/>
      <c r="BJ2314" s="4"/>
      <c r="BK2314" s="4"/>
      <c r="BL2314" s="4"/>
      <c r="BM2314" s="4"/>
      <c r="BN2314" s="4"/>
      <c r="BO2314" s="4"/>
      <c r="BP2314" s="4"/>
      <c r="BQ2314" s="4"/>
      <c r="BR2314" s="4"/>
      <c r="BS2314" s="4"/>
      <c r="BT2314" s="4"/>
      <c r="BU2314" s="4"/>
    </row>
    <row r="2315" spans="29:73" s="1" customFormat="1" x14ac:dyDescent="0.25">
      <c r="AC2315" s="4"/>
      <c r="AD2315" s="4"/>
      <c r="AE2315" s="4"/>
      <c r="AF2315" s="4"/>
      <c r="AG2315" s="4"/>
      <c r="AH2315" s="4"/>
      <c r="AI2315" s="4"/>
      <c r="AJ2315" s="4"/>
      <c r="AK2315" s="4"/>
      <c r="AL2315" s="4"/>
      <c r="AM2315" s="4"/>
      <c r="AN2315" s="4"/>
      <c r="AO2315" s="4"/>
      <c r="AP2315" s="4"/>
      <c r="AQ2315" s="4"/>
      <c r="AR2315" s="4"/>
      <c r="AS2315" s="4"/>
      <c r="AT2315" s="4"/>
      <c r="AU2315" s="4"/>
      <c r="AV2315" s="4"/>
      <c r="AW2315" s="4"/>
      <c r="AX2315" s="4"/>
      <c r="AY2315" s="4"/>
      <c r="AZ2315" s="4"/>
      <c r="BA2315" s="4"/>
      <c r="BB2315" s="4"/>
      <c r="BC2315" s="4"/>
      <c r="BD2315" s="4"/>
      <c r="BE2315" s="4"/>
      <c r="BF2315" s="4"/>
      <c r="BG2315" s="4"/>
      <c r="BH2315" s="4"/>
      <c r="BI2315" s="4"/>
      <c r="BJ2315" s="4"/>
      <c r="BK2315" s="4"/>
      <c r="BL2315" s="4"/>
      <c r="BM2315" s="4"/>
      <c r="BN2315" s="4"/>
      <c r="BO2315" s="4"/>
      <c r="BP2315" s="4"/>
      <c r="BQ2315" s="4"/>
      <c r="BR2315" s="4"/>
      <c r="BS2315" s="4"/>
      <c r="BT2315" s="4"/>
      <c r="BU2315" s="4"/>
    </row>
    <row r="2316" spans="29:73" s="1" customFormat="1" x14ac:dyDescent="0.25">
      <c r="AC2316" s="4"/>
      <c r="AD2316" s="4"/>
      <c r="AE2316" s="4"/>
      <c r="AF2316" s="4"/>
      <c r="AG2316" s="4"/>
      <c r="AH2316" s="4"/>
      <c r="AI2316" s="4"/>
      <c r="AJ2316" s="4"/>
      <c r="AK2316" s="4"/>
      <c r="AL2316" s="4"/>
      <c r="AM2316" s="4"/>
      <c r="AN2316" s="4"/>
      <c r="AO2316" s="4"/>
      <c r="AP2316" s="4"/>
      <c r="AQ2316" s="4"/>
      <c r="AR2316" s="4"/>
      <c r="AS2316" s="4"/>
      <c r="AT2316" s="4"/>
      <c r="AU2316" s="4"/>
      <c r="AV2316" s="4"/>
      <c r="AW2316" s="4"/>
      <c r="AX2316" s="4"/>
      <c r="AY2316" s="4"/>
      <c r="AZ2316" s="4"/>
      <c r="BA2316" s="4"/>
      <c r="BB2316" s="4"/>
      <c r="BC2316" s="4"/>
      <c r="BD2316" s="4"/>
      <c r="BE2316" s="4"/>
      <c r="BF2316" s="4"/>
      <c r="BG2316" s="4"/>
      <c r="BH2316" s="4"/>
      <c r="BI2316" s="4"/>
      <c r="BJ2316" s="4"/>
      <c r="BK2316" s="4"/>
      <c r="BL2316" s="4"/>
      <c r="BM2316" s="4"/>
      <c r="BN2316" s="4"/>
      <c r="BO2316" s="4"/>
      <c r="BP2316" s="4"/>
      <c r="BQ2316" s="4"/>
      <c r="BR2316" s="4"/>
      <c r="BS2316" s="4"/>
      <c r="BT2316" s="4"/>
      <c r="BU2316" s="4"/>
    </row>
    <row r="2317" spans="29:73" s="1" customFormat="1" x14ac:dyDescent="0.25">
      <c r="AC2317" s="4"/>
      <c r="AD2317" s="4"/>
      <c r="AE2317" s="4"/>
      <c r="AF2317" s="4"/>
      <c r="AG2317" s="4"/>
      <c r="AH2317" s="4"/>
      <c r="AI2317" s="4"/>
      <c r="AJ2317" s="4"/>
      <c r="AK2317" s="4"/>
      <c r="AL2317" s="4"/>
      <c r="AM2317" s="4"/>
      <c r="AN2317" s="4"/>
      <c r="AO2317" s="4"/>
      <c r="AP2317" s="4"/>
      <c r="AQ2317" s="4"/>
      <c r="AR2317" s="4"/>
      <c r="AS2317" s="4"/>
      <c r="AT2317" s="4"/>
      <c r="AU2317" s="4"/>
      <c r="AV2317" s="4"/>
      <c r="AW2317" s="4"/>
      <c r="AX2317" s="4"/>
      <c r="AY2317" s="4"/>
      <c r="AZ2317" s="4"/>
      <c r="BA2317" s="4"/>
      <c r="BB2317" s="4"/>
      <c r="BC2317" s="4"/>
      <c r="BD2317" s="4"/>
      <c r="BE2317" s="4"/>
      <c r="BF2317" s="4"/>
      <c r="BG2317" s="4"/>
      <c r="BH2317" s="4"/>
      <c r="BI2317" s="4"/>
      <c r="BJ2317" s="4"/>
      <c r="BK2317" s="4"/>
      <c r="BL2317" s="4"/>
      <c r="BM2317" s="4"/>
      <c r="BN2317" s="4"/>
      <c r="BO2317" s="4"/>
      <c r="BP2317" s="4"/>
      <c r="BQ2317" s="4"/>
      <c r="BR2317" s="4"/>
      <c r="BS2317" s="4"/>
      <c r="BT2317" s="4"/>
      <c r="BU2317" s="4"/>
    </row>
    <row r="2318" spans="29:73" s="1" customFormat="1" x14ac:dyDescent="0.25">
      <c r="AC2318" s="4"/>
      <c r="AD2318" s="4"/>
      <c r="AE2318" s="4"/>
      <c r="AF2318" s="4"/>
      <c r="AG2318" s="4"/>
      <c r="AH2318" s="4"/>
      <c r="AI2318" s="4"/>
      <c r="AJ2318" s="4"/>
      <c r="AK2318" s="4"/>
      <c r="AL2318" s="4"/>
      <c r="AM2318" s="4"/>
      <c r="AN2318" s="4"/>
      <c r="AO2318" s="4"/>
      <c r="AP2318" s="4"/>
      <c r="AQ2318" s="4"/>
      <c r="AR2318" s="4"/>
      <c r="AS2318" s="4"/>
      <c r="AT2318" s="4"/>
      <c r="AU2318" s="4"/>
      <c r="AV2318" s="4"/>
      <c r="AW2318" s="4"/>
      <c r="AX2318" s="4"/>
      <c r="AY2318" s="4"/>
      <c r="AZ2318" s="4"/>
      <c r="BA2318" s="4"/>
      <c r="BB2318" s="4"/>
      <c r="BC2318" s="4"/>
      <c r="BD2318" s="4"/>
      <c r="BE2318" s="4"/>
      <c r="BF2318" s="4"/>
      <c r="BG2318" s="4"/>
      <c r="BH2318" s="4"/>
      <c r="BI2318" s="4"/>
      <c r="BJ2318" s="4"/>
      <c r="BK2318" s="4"/>
      <c r="BL2318" s="4"/>
      <c r="BM2318" s="4"/>
      <c r="BN2318" s="4"/>
      <c r="BO2318" s="4"/>
      <c r="BP2318" s="4"/>
      <c r="BQ2318" s="4"/>
      <c r="BR2318" s="4"/>
      <c r="BS2318" s="4"/>
      <c r="BT2318" s="4"/>
      <c r="BU2318" s="4"/>
    </row>
    <row r="2319" spans="29:73" s="1" customFormat="1" x14ac:dyDescent="0.25">
      <c r="AC2319" s="4"/>
      <c r="AD2319" s="4"/>
      <c r="AE2319" s="4"/>
      <c r="AF2319" s="4"/>
      <c r="AG2319" s="4"/>
      <c r="AH2319" s="4"/>
      <c r="AI2319" s="4"/>
      <c r="AJ2319" s="4"/>
      <c r="AK2319" s="4"/>
      <c r="AL2319" s="4"/>
      <c r="AM2319" s="4"/>
      <c r="AN2319" s="4"/>
      <c r="AO2319" s="4"/>
      <c r="AP2319" s="4"/>
      <c r="AQ2319" s="4"/>
      <c r="AR2319" s="4"/>
      <c r="AS2319" s="4"/>
      <c r="AT2319" s="4"/>
      <c r="AU2319" s="4"/>
      <c r="AV2319" s="4"/>
      <c r="AW2319" s="4"/>
      <c r="AX2319" s="4"/>
      <c r="AY2319" s="4"/>
      <c r="AZ2319" s="4"/>
      <c r="BA2319" s="4"/>
      <c r="BB2319" s="4"/>
      <c r="BC2319" s="4"/>
      <c r="BD2319" s="4"/>
      <c r="BE2319" s="4"/>
      <c r="BF2319" s="4"/>
      <c r="BG2319" s="4"/>
      <c r="BH2319" s="4"/>
      <c r="BI2319" s="4"/>
      <c r="BJ2319" s="4"/>
      <c r="BK2319" s="4"/>
      <c r="BL2319" s="4"/>
      <c r="BM2319" s="4"/>
      <c r="BN2319" s="4"/>
      <c r="BO2319" s="4"/>
      <c r="BP2319" s="4"/>
      <c r="BQ2319" s="4"/>
      <c r="BR2319" s="4"/>
      <c r="BS2319" s="4"/>
      <c r="BT2319" s="4"/>
      <c r="BU2319" s="4"/>
    </row>
    <row r="2320" spans="29:73" s="1" customFormat="1" x14ac:dyDescent="0.25">
      <c r="AC2320" s="4"/>
      <c r="AD2320" s="4"/>
      <c r="AE2320" s="4"/>
      <c r="AF2320" s="4"/>
      <c r="AG2320" s="4"/>
      <c r="AH2320" s="4"/>
      <c r="AI2320" s="4"/>
      <c r="AJ2320" s="4"/>
      <c r="AK2320" s="4"/>
      <c r="AL2320" s="4"/>
      <c r="AM2320" s="4"/>
      <c r="AN2320" s="4"/>
      <c r="AO2320" s="4"/>
      <c r="AP2320" s="4"/>
      <c r="AQ2320" s="4"/>
      <c r="AR2320" s="4"/>
      <c r="AS2320" s="4"/>
      <c r="AT2320" s="4"/>
      <c r="AU2320" s="4"/>
      <c r="AV2320" s="4"/>
      <c r="AW2320" s="4"/>
      <c r="AX2320" s="4"/>
      <c r="AY2320" s="4"/>
      <c r="AZ2320" s="4"/>
      <c r="BA2320" s="4"/>
      <c r="BB2320" s="4"/>
      <c r="BC2320" s="4"/>
      <c r="BD2320" s="4"/>
      <c r="BE2320" s="4"/>
      <c r="BF2320" s="4"/>
      <c r="BG2320" s="4"/>
      <c r="BH2320" s="4"/>
      <c r="BI2320" s="4"/>
      <c r="BJ2320" s="4"/>
      <c r="BK2320" s="4"/>
      <c r="BL2320" s="4"/>
      <c r="BM2320" s="4"/>
      <c r="BN2320" s="4"/>
      <c r="BO2320" s="4"/>
      <c r="BP2320" s="4"/>
      <c r="BQ2320" s="4"/>
      <c r="BR2320" s="4"/>
      <c r="BS2320" s="4"/>
      <c r="BT2320" s="4"/>
      <c r="BU2320" s="4"/>
    </row>
    <row r="2321" spans="29:73" s="1" customFormat="1" x14ac:dyDescent="0.25">
      <c r="AC2321" s="4"/>
      <c r="AD2321" s="4"/>
      <c r="AE2321" s="4"/>
      <c r="AF2321" s="4"/>
      <c r="AG2321" s="4"/>
      <c r="AH2321" s="4"/>
      <c r="AI2321" s="4"/>
      <c r="AJ2321" s="4"/>
      <c r="AK2321" s="4"/>
      <c r="AL2321" s="4"/>
      <c r="AM2321" s="4"/>
      <c r="AN2321" s="4"/>
      <c r="AO2321" s="4"/>
      <c r="AP2321" s="4"/>
      <c r="AQ2321" s="4"/>
      <c r="AR2321" s="4"/>
      <c r="AS2321" s="4"/>
      <c r="AT2321" s="4"/>
      <c r="AU2321" s="4"/>
      <c r="AV2321" s="4"/>
      <c r="AW2321" s="4"/>
      <c r="AX2321" s="4"/>
      <c r="AY2321" s="4"/>
      <c r="AZ2321" s="4"/>
      <c r="BA2321" s="4"/>
      <c r="BB2321" s="4"/>
      <c r="BC2321" s="4"/>
      <c r="BD2321" s="4"/>
      <c r="BE2321" s="4"/>
      <c r="BF2321" s="4"/>
      <c r="BG2321" s="4"/>
      <c r="BH2321" s="4"/>
      <c r="BI2321" s="4"/>
      <c r="BJ2321" s="4"/>
      <c r="BK2321" s="4"/>
      <c r="BL2321" s="4"/>
      <c r="BM2321" s="4"/>
      <c r="BN2321" s="4"/>
      <c r="BO2321" s="4"/>
      <c r="BP2321" s="4"/>
      <c r="BQ2321" s="4"/>
      <c r="BR2321" s="4"/>
      <c r="BS2321" s="4"/>
      <c r="BT2321" s="4"/>
      <c r="BU2321" s="4"/>
    </row>
    <row r="2322" spans="29:73" s="1" customFormat="1" x14ac:dyDescent="0.25">
      <c r="AC2322" s="4"/>
      <c r="AD2322" s="4"/>
      <c r="AE2322" s="4"/>
      <c r="AF2322" s="4"/>
      <c r="AG2322" s="4"/>
      <c r="AH2322" s="4"/>
      <c r="AI2322" s="4"/>
      <c r="AJ2322" s="4"/>
      <c r="AK2322" s="4"/>
      <c r="AL2322" s="4"/>
      <c r="AM2322" s="4"/>
      <c r="AN2322" s="4"/>
      <c r="AO2322" s="4"/>
      <c r="AP2322" s="4"/>
      <c r="AQ2322" s="4"/>
      <c r="AR2322" s="4"/>
      <c r="AS2322" s="4"/>
      <c r="AT2322" s="4"/>
      <c r="AU2322" s="4"/>
      <c r="AV2322" s="4"/>
      <c r="AW2322" s="4"/>
      <c r="AX2322" s="4"/>
      <c r="AY2322" s="4"/>
      <c r="AZ2322" s="4"/>
      <c r="BA2322" s="4"/>
      <c r="BB2322" s="4"/>
      <c r="BC2322" s="4"/>
      <c r="BD2322" s="4"/>
      <c r="BE2322" s="4"/>
      <c r="BF2322" s="4"/>
      <c r="BG2322" s="4"/>
      <c r="BH2322" s="4"/>
      <c r="BI2322" s="4"/>
      <c r="BJ2322" s="4"/>
      <c r="BK2322" s="4"/>
      <c r="BL2322" s="4"/>
      <c r="BM2322" s="4"/>
      <c r="BN2322" s="4"/>
      <c r="BO2322" s="4"/>
      <c r="BP2322" s="4"/>
      <c r="BQ2322" s="4"/>
      <c r="BR2322" s="4"/>
      <c r="BS2322" s="4"/>
      <c r="BT2322" s="4"/>
      <c r="BU2322" s="4"/>
    </row>
    <row r="2323" spans="29:73" s="1" customFormat="1" x14ac:dyDescent="0.25">
      <c r="AC2323" s="4"/>
      <c r="AD2323" s="4"/>
      <c r="AE2323" s="4"/>
      <c r="AF2323" s="4"/>
      <c r="AG2323" s="4"/>
      <c r="AH2323" s="4"/>
      <c r="AI2323" s="4"/>
      <c r="AJ2323" s="4"/>
      <c r="AK2323" s="4"/>
      <c r="AL2323" s="4"/>
      <c r="AM2323" s="4"/>
      <c r="AN2323" s="4"/>
      <c r="AO2323" s="4"/>
      <c r="AP2323" s="4"/>
      <c r="AQ2323" s="4"/>
      <c r="AR2323" s="4"/>
      <c r="AS2323" s="4"/>
      <c r="AT2323" s="4"/>
      <c r="AU2323" s="4"/>
      <c r="AV2323" s="4"/>
      <c r="AW2323" s="4"/>
      <c r="AX2323" s="4"/>
      <c r="AY2323" s="4"/>
      <c r="AZ2323" s="4"/>
      <c r="BA2323" s="4"/>
      <c r="BB2323" s="4"/>
      <c r="BC2323" s="4"/>
      <c r="BD2323" s="4"/>
      <c r="BE2323" s="4"/>
      <c r="BF2323" s="4"/>
      <c r="BG2323" s="4"/>
      <c r="BH2323" s="4"/>
      <c r="BI2323" s="4"/>
      <c r="BJ2323" s="4"/>
      <c r="BK2323" s="4"/>
      <c r="BL2323" s="4"/>
      <c r="BM2323" s="4"/>
      <c r="BN2323" s="4"/>
      <c r="BO2323" s="4"/>
      <c r="BP2323" s="4"/>
      <c r="BQ2323" s="4"/>
      <c r="BR2323" s="4"/>
      <c r="BS2323" s="4"/>
      <c r="BT2323" s="4"/>
      <c r="BU2323" s="4"/>
    </row>
    <row r="2324" spans="29:73" s="1" customFormat="1" x14ac:dyDescent="0.25">
      <c r="AC2324" s="4"/>
      <c r="AD2324" s="4"/>
      <c r="AE2324" s="4"/>
      <c r="AF2324" s="4"/>
      <c r="AG2324" s="4"/>
      <c r="AH2324" s="4"/>
      <c r="AI2324" s="4"/>
      <c r="AJ2324" s="4"/>
      <c r="AK2324" s="4"/>
      <c r="AL2324" s="4"/>
      <c r="AM2324" s="4"/>
      <c r="AN2324" s="4"/>
      <c r="AO2324" s="4"/>
      <c r="AP2324" s="4"/>
      <c r="AQ2324" s="4"/>
      <c r="AR2324" s="4"/>
      <c r="AS2324" s="4"/>
      <c r="AT2324" s="4"/>
      <c r="AU2324" s="4"/>
      <c r="AV2324" s="4"/>
      <c r="AW2324" s="4"/>
      <c r="AX2324" s="4"/>
      <c r="AY2324" s="4"/>
      <c r="AZ2324" s="4"/>
      <c r="BA2324" s="4"/>
      <c r="BB2324" s="4"/>
      <c r="BC2324" s="4"/>
      <c r="BD2324" s="4"/>
      <c r="BE2324" s="4"/>
      <c r="BF2324" s="4"/>
      <c r="BG2324" s="4"/>
      <c r="BH2324" s="4"/>
      <c r="BI2324" s="4"/>
      <c r="BJ2324" s="4"/>
      <c r="BK2324" s="4"/>
      <c r="BL2324" s="4"/>
      <c r="BM2324" s="4"/>
      <c r="BN2324" s="4"/>
      <c r="BO2324" s="4"/>
      <c r="BP2324" s="4"/>
      <c r="BQ2324" s="4"/>
      <c r="BR2324" s="4"/>
      <c r="BS2324" s="4"/>
      <c r="BT2324" s="4"/>
      <c r="BU2324" s="4"/>
    </row>
    <row r="2325" spans="29:73" s="1" customFormat="1" x14ac:dyDescent="0.25">
      <c r="AC2325" s="4"/>
      <c r="AD2325" s="4"/>
      <c r="AE2325" s="4"/>
      <c r="AF2325" s="4"/>
      <c r="AG2325" s="4"/>
      <c r="AH2325" s="4"/>
      <c r="AI2325" s="4"/>
      <c r="AJ2325" s="4"/>
      <c r="AK2325" s="4"/>
      <c r="AL2325" s="4"/>
      <c r="AM2325" s="4"/>
      <c r="AN2325" s="4"/>
      <c r="AO2325" s="4"/>
      <c r="AP2325" s="4"/>
      <c r="AQ2325" s="4"/>
      <c r="AR2325" s="4"/>
      <c r="AS2325" s="4"/>
      <c r="AT2325" s="4"/>
      <c r="AU2325" s="4"/>
      <c r="AV2325" s="4"/>
      <c r="AW2325" s="4"/>
      <c r="AX2325" s="4"/>
      <c r="AY2325" s="4"/>
      <c r="AZ2325" s="4"/>
      <c r="BA2325" s="4"/>
      <c r="BB2325" s="4"/>
      <c r="BC2325" s="4"/>
      <c r="BD2325" s="4"/>
      <c r="BE2325" s="4"/>
      <c r="BF2325" s="4"/>
      <c r="BG2325" s="4"/>
      <c r="BH2325" s="4"/>
      <c r="BI2325" s="4"/>
      <c r="BJ2325" s="4"/>
      <c r="BK2325" s="4"/>
      <c r="BL2325" s="4"/>
      <c r="BM2325" s="4"/>
      <c r="BN2325" s="4"/>
      <c r="BO2325" s="4"/>
      <c r="BP2325" s="4"/>
      <c r="BQ2325" s="4"/>
      <c r="BR2325" s="4"/>
      <c r="BS2325" s="4"/>
      <c r="BT2325" s="4"/>
      <c r="BU2325" s="4"/>
    </row>
    <row r="2326" spans="29:73" s="1" customFormat="1" x14ac:dyDescent="0.25">
      <c r="AC2326" s="4"/>
      <c r="AD2326" s="4"/>
      <c r="AE2326" s="4"/>
      <c r="AF2326" s="4"/>
      <c r="AG2326" s="4"/>
      <c r="AH2326" s="4"/>
      <c r="AI2326" s="4"/>
      <c r="AJ2326" s="4"/>
      <c r="AK2326" s="4"/>
      <c r="AL2326" s="4"/>
      <c r="AM2326" s="4"/>
      <c r="AN2326" s="4"/>
      <c r="AO2326" s="4"/>
      <c r="AP2326" s="4"/>
      <c r="AQ2326" s="4"/>
      <c r="AR2326" s="4"/>
      <c r="AS2326" s="4"/>
      <c r="AT2326" s="4"/>
      <c r="AU2326" s="4"/>
      <c r="AV2326" s="4"/>
      <c r="AW2326" s="4"/>
      <c r="AX2326" s="4"/>
      <c r="AY2326" s="4"/>
      <c r="AZ2326" s="4"/>
      <c r="BA2326" s="4"/>
      <c r="BB2326" s="4"/>
      <c r="BC2326" s="4"/>
      <c r="BD2326" s="4"/>
      <c r="BE2326" s="4"/>
      <c r="BF2326" s="4"/>
      <c r="BG2326" s="4"/>
      <c r="BH2326" s="4"/>
      <c r="BI2326" s="4"/>
      <c r="BJ2326" s="4"/>
      <c r="BK2326" s="4"/>
      <c r="BL2326" s="4"/>
      <c r="BM2326" s="4"/>
      <c r="BN2326" s="4"/>
      <c r="BO2326" s="4"/>
      <c r="BP2326" s="4"/>
      <c r="BQ2326" s="4"/>
      <c r="BR2326" s="4"/>
      <c r="BS2326" s="4"/>
      <c r="BT2326" s="4"/>
      <c r="BU2326" s="4"/>
    </row>
    <row r="2327" spans="29:73" s="1" customFormat="1" x14ac:dyDescent="0.25">
      <c r="AC2327" s="4"/>
      <c r="AD2327" s="4"/>
      <c r="AE2327" s="4"/>
      <c r="AF2327" s="4"/>
      <c r="AG2327" s="4"/>
      <c r="AH2327" s="4"/>
      <c r="AI2327" s="4"/>
      <c r="AJ2327" s="4"/>
      <c r="AK2327" s="4"/>
      <c r="AL2327" s="4"/>
      <c r="AM2327" s="4"/>
      <c r="AN2327" s="4"/>
      <c r="AO2327" s="4"/>
      <c r="AP2327" s="4"/>
      <c r="AQ2327" s="4"/>
      <c r="AR2327" s="4"/>
      <c r="AS2327" s="4"/>
      <c r="AT2327" s="4"/>
      <c r="AU2327" s="4"/>
      <c r="AV2327" s="4"/>
      <c r="AW2327" s="4"/>
      <c r="AX2327" s="4"/>
      <c r="AY2327" s="4"/>
      <c r="AZ2327" s="4"/>
      <c r="BA2327" s="4"/>
      <c r="BB2327" s="4"/>
      <c r="BC2327" s="4"/>
      <c r="BD2327" s="4"/>
      <c r="BE2327" s="4"/>
      <c r="BF2327" s="4"/>
      <c r="BG2327" s="4"/>
      <c r="BH2327" s="4"/>
      <c r="BI2327" s="4"/>
      <c r="BJ2327" s="4"/>
      <c r="BK2327" s="4"/>
      <c r="BL2327" s="4"/>
      <c r="BM2327" s="4"/>
      <c r="BN2327" s="4"/>
      <c r="BO2327" s="4"/>
      <c r="BP2327" s="4"/>
      <c r="BQ2327" s="4"/>
      <c r="BR2327" s="4"/>
      <c r="BS2327" s="4"/>
      <c r="BT2327" s="4"/>
      <c r="BU2327" s="4"/>
    </row>
    <row r="2328" spans="29:73" s="1" customFormat="1" x14ac:dyDescent="0.25">
      <c r="AC2328" s="4"/>
      <c r="AD2328" s="4"/>
      <c r="AE2328" s="4"/>
      <c r="AF2328" s="4"/>
      <c r="AG2328" s="4"/>
      <c r="AH2328" s="4"/>
      <c r="AI2328" s="4"/>
      <c r="AJ2328" s="4"/>
      <c r="AK2328" s="4"/>
      <c r="AL2328" s="4"/>
      <c r="AM2328" s="4"/>
      <c r="AN2328" s="4"/>
      <c r="AO2328" s="4"/>
      <c r="AP2328" s="4"/>
      <c r="AQ2328" s="4"/>
      <c r="AR2328" s="4"/>
      <c r="AS2328" s="4"/>
      <c r="AT2328" s="4"/>
      <c r="AU2328" s="4"/>
      <c r="AV2328" s="4"/>
      <c r="AW2328" s="4"/>
      <c r="AX2328" s="4"/>
      <c r="AY2328" s="4"/>
      <c r="AZ2328" s="4"/>
      <c r="BA2328" s="4"/>
      <c r="BB2328" s="4"/>
      <c r="BC2328" s="4"/>
      <c r="BD2328" s="4"/>
      <c r="BE2328" s="4"/>
      <c r="BF2328" s="4"/>
      <c r="BG2328" s="4"/>
      <c r="BH2328" s="4"/>
      <c r="BI2328" s="4"/>
      <c r="BJ2328" s="4"/>
      <c r="BK2328" s="4"/>
      <c r="BL2328" s="4"/>
      <c r="BM2328" s="4"/>
      <c r="BN2328" s="4"/>
      <c r="BO2328" s="4"/>
      <c r="BP2328" s="4"/>
      <c r="BQ2328" s="4"/>
      <c r="BR2328" s="4"/>
      <c r="BS2328" s="4"/>
      <c r="BT2328" s="4"/>
      <c r="BU2328" s="4"/>
    </row>
    <row r="2329" spans="29:73" s="1" customFormat="1" x14ac:dyDescent="0.25">
      <c r="AC2329" s="4"/>
      <c r="AD2329" s="4"/>
      <c r="AE2329" s="4"/>
      <c r="AF2329" s="4"/>
      <c r="AG2329" s="4"/>
      <c r="AH2329" s="4"/>
      <c r="AI2329" s="4"/>
      <c r="AJ2329" s="4"/>
      <c r="AK2329" s="4"/>
      <c r="AL2329" s="4"/>
      <c r="AM2329" s="4"/>
      <c r="AN2329" s="4"/>
      <c r="AO2329" s="4"/>
      <c r="AP2329" s="4"/>
      <c r="AQ2329" s="4"/>
      <c r="AR2329" s="4"/>
      <c r="AS2329" s="4"/>
      <c r="AT2329" s="4"/>
      <c r="AU2329" s="4"/>
      <c r="AV2329" s="4"/>
      <c r="AW2329" s="4"/>
      <c r="AX2329" s="4"/>
      <c r="AY2329" s="4"/>
      <c r="AZ2329" s="4"/>
      <c r="BA2329" s="4"/>
      <c r="BB2329" s="4"/>
      <c r="BC2329" s="4"/>
      <c r="BD2329" s="4"/>
      <c r="BE2329" s="4"/>
      <c r="BF2329" s="4"/>
      <c r="BG2329" s="4"/>
      <c r="BH2329" s="4"/>
      <c r="BI2329" s="4"/>
      <c r="BJ2329" s="4"/>
      <c r="BK2329" s="4"/>
      <c r="BL2329" s="4"/>
      <c r="BM2329" s="4"/>
      <c r="BN2329" s="4"/>
      <c r="BO2329" s="4"/>
      <c r="BP2329" s="4"/>
      <c r="BQ2329" s="4"/>
      <c r="BR2329" s="4"/>
      <c r="BS2329" s="4"/>
      <c r="BT2329" s="4"/>
      <c r="BU2329" s="4"/>
    </row>
    <row r="2330" spans="29:73" s="1" customFormat="1" x14ac:dyDescent="0.25">
      <c r="AC2330" s="4"/>
      <c r="AD2330" s="4"/>
      <c r="AE2330" s="4"/>
      <c r="AF2330" s="4"/>
      <c r="AG2330" s="4"/>
      <c r="AH2330" s="4"/>
      <c r="AI2330" s="4"/>
      <c r="AJ2330" s="4"/>
      <c r="AK2330" s="4"/>
      <c r="AL2330" s="4"/>
      <c r="AM2330" s="4"/>
      <c r="AN2330" s="4"/>
      <c r="AO2330" s="4"/>
      <c r="AP2330" s="4"/>
      <c r="AQ2330" s="4"/>
      <c r="AR2330" s="4"/>
      <c r="AS2330" s="4"/>
      <c r="AT2330" s="4"/>
      <c r="AU2330" s="4"/>
      <c r="AV2330" s="4"/>
      <c r="AW2330" s="4"/>
      <c r="AX2330" s="4"/>
      <c r="AY2330" s="4"/>
      <c r="AZ2330" s="4"/>
      <c r="BA2330" s="4"/>
      <c r="BB2330" s="4"/>
      <c r="BC2330" s="4"/>
      <c r="BD2330" s="4"/>
      <c r="BE2330" s="4"/>
      <c r="BF2330" s="4"/>
      <c r="BG2330" s="4"/>
      <c r="BH2330" s="4"/>
      <c r="BI2330" s="4"/>
      <c r="BJ2330" s="4"/>
      <c r="BK2330" s="4"/>
      <c r="BL2330" s="4"/>
      <c r="BM2330" s="4"/>
      <c r="BN2330" s="4"/>
      <c r="BO2330" s="4"/>
      <c r="BP2330" s="4"/>
      <c r="BQ2330" s="4"/>
      <c r="BR2330" s="4"/>
      <c r="BS2330" s="4"/>
      <c r="BT2330" s="4"/>
      <c r="BU2330" s="4"/>
    </row>
    <row r="2331" spans="29:73" s="1" customFormat="1" x14ac:dyDescent="0.25">
      <c r="AC2331" s="4"/>
      <c r="AD2331" s="4"/>
      <c r="AE2331" s="4"/>
      <c r="AF2331" s="4"/>
      <c r="AG2331" s="4"/>
      <c r="AH2331" s="4"/>
      <c r="AI2331" s="4"/>
      <c r="AJ2331" s="4"/>
      <c r="AK2331" s="4"/>
      <c r="AL2331" s="4"/>
      <c r="AM2331" s="4"/>
      <c r="AN2331" s="4"/>
      <c r="AO2331" s="4"/>
      <c r="AP2331" s="4"/>
      <c r="AQ2331" s="4"/>
      <c r="AR2331" s="4"/>
      <c r="AS2331" s="4"/>
      <c r="AT2331" s="4"/>
      <c r="AU2331" s="4"/>
      <c r="AV2331" s="4"/>
      <c r="AW2331" s="4"/>
      <c r="AX2331" s="4"/>
      <c r="AY2331" s="4"/>
      <c r="AZ2331" s="4"/>
      <c r="BA2331" s="4"/>
      <c r="BB2331" s="4"/>
      <c r="BC2331" s="4"/>
      <c r="BD2331" s="4"/>
      <c r="BE2331" s="4"/>
      <c r="BF2331" s="4"/>
      <c r="BG2331" s="4"/>
      <c r="BH2331" s="4"/>
      <c r="BI2331" s="4"/>
      <c r="BJ2331" s="4"/>
      <c r="BK2331" s="4"/>
      <c r="BL2331" s="4"/>
      <c r="BM2331" s="4"/>
      <c r="BN2331" s="4"/>
      <c r="BO2331" s="4"/>
      <c r="BP2331" s="4"/>
      <c r="BQ2331" s="4"/>
      <c r="BR2331" s="4"/>
      <c r="BS2331" s="4"/>
      <c r="BT2331" s="4"/>
      <c r="BU2331" s="4"/>
    </row>
    <row r="2332" spans="29:73" s="1" customFormat="1" x14ac:dyDescent="0.25">
      <c r="AC2332" s="4"/>
      <c r="AD2332" s="4"/>
      <c r="AE2332" s="4"/>
      <c r="AF2332" s="4"/>
      <c r="AG2332" s="4"/>
      <c r="AH2332" s="4"/>
      <c r="AI2332" s="4"/>
      <c r="AJ2332" s="4"/>
      <c r="AK2332" s="4"/>
      <c r="AL2332" s="4"/>
      <c r="AM2332" s="4"/>
      <c r="AN2332" s="4"/>
      <c r="AO2332" s="4"/>
      <c r="AP2332" s="4"/>
      <c r="AQ2332" s="4"/>
      <c r="AR2332" s="4"/>
      <c r="AS2332" s="4"/>
      <c r="AT2332" s="4"/>
      <c r="AU2332" s="4"/>
      <c r="AV2332" s="4"/>
      <c r="AW2332" s="4"/>
      <c r="AX2332" s="4"/>
      <c r="AY2332" s="4"/>
      <c r="AZ2332" s="4"/>
      <c r="BA2332" s="4"/>
      <c r="BB2332" s="4"/>
      <c r="BC2332" s="4"/>
      <c r="BD2332" s="4"/>
      <c r="BE2332" s="4"/>
      <c r="BF2332" s="4"/>
      <c r="BG2332" s="4"/>
      <c r="BH2332" s="4"/>
      <c r="BI2332" s="4"/>
      <c r="BJ2332" s="4"/>
      <c r="BK2332" s="4"/>
      <c r="BL2332" s="4"/>
      <c r="BM2332" s="4"/>
      <c r="BN2332" s="4"/>
      <c r="BO2332" s="4"/>
      <c r="BP2332" s="4"/>
      <c r="BQ2332" s="4"/>
      <c r="BR2332" s="4"/>
      <c r="BS2332" s="4"/>
      <c r="BT2332" s="4"/>
      <c r="BU2332" s="4"/>
    </row>
    <row r="2333" spans="29:73" s="1" customFormat="1" x14ac:dyDescent="0.25">
      <c r="AC2333" s="4"/>
      <c r="AD2333" s="4"/>
      <c r="AE2333" s="4"/>
      <c r="AF2333" s="4"/>
      <c r="AG2333" s="4"/>
      <c r="AH2333" s="4"/>
      <c r="AI2333" s="4"/>
      <c r="AJ2333" s="4"/>
      <c r="AK2333" s="4"/>
      <c r="AL2333" s="4"/>
      <c r="AM2333" s="4"/>
      <c r="AN2333" s="4"/>
      <c r="AO2333" s="4"/>
      <c r="AP2333" s="4"/>
      <c r="AQ2333" s="4"/>
      <c r="AR2333" s="4"/>
      <c r="AS2333" s="4"/>
      <c r="AT2333" s="4"/>
      <c r="AU2333" s="4"/>
      <c r="AV2333" s="4"/>
      <c r="AW2333" s="4"/>
      <c r="AX2333" s="4"/>
      <c r="AY2333" s="4"/>
      <c r="AZ2333" s="4"/>
      <c r="BA2333" s="4"/>
      <c r="BB2333" s="4"/>
      <c r="BC2333" s="4"/>
      <c r="BD2333" s="4"/>
      <c r="BE2333" s="4"/>
      <c r="BF2333" s="4"/>
      <c r="BG2333" s="4"/>
      <c r="BH2333" s="4"/>
      <c r="BI2333" s="4"/>
      <c r="BJ2333" s="4"/>
      <c r="BK2333" s="4"/>
      <c r="BL2333" s="4"/>
      <c r="BM2333" s="4"/>
      <c r="BN2333" s="4"/>
      <c r="BO2333" s="4"/>
      <c r="BP2333" s="4"/>
      <c r="BQ2333" s="4"/>
      <c r="BR2333" s="4"/>
      <c r="BS2333" s="4"/>
      <c r="BT2333" s="4"/>
      <c r="BU2333" s="4"/>
    </row>
    <row r="2334" spans="29:73" s="1" customFormat="1" x14ac:dyDescent="0.25">
      <c r="AC2334" s="4"/>
      <c r="AD2334" s="4"/>
      <c r="AE2334" s="4"/>
      <c r="AF2334" s="4"/>
      <c r="AG2334" s="4"/>
      <c r="AH2334" s="4"/>
      <c r="AI2334" s="4"/>
      <c r="AJ2334" s="4"/>
      <c r="AK2334" s="4"/>
      <c r="AL2334" s="4"/>
      <c r="AM2334" s="4"/>
      <c r="AN2334" s="4"/>
      <c r="AO2334" s="4"/>
      <c r="AP2334" s="4"/>
      <c r="AQ2334" s="4"/>
      <c r="AR2334" s="4"/>
      <c r="AS2334" s="4"/>
      <c r="AT2334" s="4"/>
      <c r="AU2334" s="4"/>
      <c r="AV2334" s="4"/>
      <c r="AW2334" s="4"/>
      <c r="AX2334" s="4"/>
      <c r="AY2334" s="4"/>
      <c r="AZ2334" s="4"/>
      <c r="BA2334" s="4"/>
      <c r="BB2334" s="4"/>
      <c r="BC2334" s="4"/>
      <c r="BD2334" s="4"/>
      <c r="BE2334" s="4"/>
      <c r="BF2334" s="4"/>
      <c r="BG2334" s="4"/>
      <c r="BH2334" s="4"/>
      <c r="BI2334" s="4"/>
      <c r="BJ2334" s="4"/>
      <c r="BK2334" s="4"/>
      <c r="BL2334" s="4"/>
      <c r="BM2334" s="4"/>
      <c r="BN2334" s="4"/>
      <c r="BO2334" s="4"/>
      <c r="BP2334" s="4"/>
      <c r="BQ2334" s="4"/>
      <c r="BR2334" s="4"/>
      <c r="BS2334" s="4"/>
      <c r="BT2334" s="4"/>
      <c r="BU2334" s="4"/>
    </row>
    <row r="2335" spans="29:73" s="1" customFormat="1" x14ac:dyDescent="0.25">
      <c r="AC2335" s="4"/>
      <c r="AD2335" s="4"/>
      <c r="AE2335" s="4"/>
      <c r="AF2335" s="4"/>
      <c r="AG2335" s="4"/>
      <c r="AH2335" s="4"/>
      <c r="AI2335" s="4"/>
      <c r="AJ2335" s="4"/>
      <c r="AK2335" s="4"/>
      <c r="AL2335" s="4"/>
      <c r="AM2335" s="4"/>
      <c r="AN2335" s="4"/>
      <c r="AO2335" s="4"/>
      <c r="AP2335" s="4"/>
      <c r="AQ2335" s="4"/>
      <c r="AR2335" s="4"/>
      <c r="AS2335" s="4"/>
      <c r="AT2335" s="4"/>
      <c r="AU2335" s="4"/>
      <c r="AV2335" s="4"/>
      <c r="AW2335" s="4"/>
      <c r="AX2335" s="4"/>
      <c r="AY2335" s="4"/>
      <c r="AZ2335" s="4"/>
      <c r="BA2335" s="4"/>
      <c r="BB2335" s="4"/>
      <c r="BC2335" s="4"/>
      <c r="BD2335" s="4"/>
      <c r="BE2335" s="4"/>
      <c r="BF2335" s="4"/>
      <c r="BG2335" s="4"/>
      <c r="BH2335" s="4"/>
      <c r="BI2335" s="4"/>
      <c r="BJ2335" s="4"/>
      <c r="BK2335" s="4"/>
      <c r="BL2335" s="4"/>
      <c r="BM2335" s="4"/>
      <c r="BN2335" s="4"/>
      <c r="BO2335" s="4"/>
      <c r="BP2335" s="4"/>
      <c r="BQ2335" s="4"/>
      <c r="BR2335" s="4"/>
      <c r="BS2335" s="4"/>
      <c r="BT2335" s="4"/>
      <c r="BU2335" s="4"/>
    </row>
    <row r="2336" spans="29:73" s="1" customFormat="1" x14ac:dyDescent="0.25">
      <c r="AC2336" s="4"/>
      <c r="AD2336" s="4"/>
      <c r="AE2336" s="4"/>
      <c r="AF2336" s="4"/>
      <c r="AG2336" s="4"/>
      <c r="AH2336" s="4"/>
      <c r="AI2336" s="4"/>
      <c r="AJ2336" s="4"/>
      <c r="AK2336" s="4"/>
      <c r="AL2336" s="4"/>
      <c r="AM2336" s="4"/>
      <c r="AN2336" s="4"/>
      <c r="AO2336" s="4"/>
      <c r="AP2336" s="4"/>
      <c r="AQ2336" s="4"/>
      <c r="AR2336" s="4"/>
      <c r="AS2336" s="4"/>
      <c r="AT2336" s="4"/>
      <c r="AU2336" s="4"/>
      <c r="AV2336" s="4"/>
      <c r="AW2336" s="4"/>
      <c r="AX2336" s="4"/>
      <c r="AY2336" s="4"/>
      <c r="AZ2336" s="4"/>
      <c r="BA2336" s="4"/>
      <c r="BB2336" s="4"/>
      <c r="BC2336" s="4"/>
      <c r="BD2336" s="4"/>
      <c r="BE2336" s="4"/>
      <c r="BF2336" s="4"/>
      <c r="BG2336" s="4"/>
      <c r="BH2336" s="4"/>
      <c r="BI2336" s="4"/>
      <c r="BJ2336" s="4"/>
      <c r="BK2336" s="4"/>
      <c r="BL2336" s="4"/>
      <c r="BM2336" s="4"/>
      <c r="BN2336" s="4"/>
      <c r="BO2336" s="4"/>
      <c r="BP2336" s="4"/>
      <c r="BQ2336" s="4"/>
      <c r="BR2336" s="4"/>
      <c r="BS2336" s="4"/>
      <c r="BT2336" s="4"/>
      <c r="BU2336" s="4"/>
    </row>
    <row r="2337" spans="29:73" s="1" customFormat="1" x14ac:dyDescent="0.25">
      <c r="AC2337" s="4"/>
      <c r="AD2337" s="4"/>
      <c r="AE2337" s="4"/>
      <c r="AF2337" s="4"/>
      <c r="AG2337" s="4"/>
      <c r="AH2337" s="4"/>
      <c r="AI2337" s="4"/>
      <c r="AJ2337" s="4"/>
      <c r="AK2337" s="4"/>
      <c r="AL2337" s="4"/>
      <c r="AM2337" s="4"/>
      <c r="AN2337" s="4"/>
      <c r="AO2337" s="4"/>
      <c r="AP2337" s="4"/>
      <c r="AQ2337" s="4"/>
      <c r="AR2337" s="4"/>
      <c r="AS2337" s="4"/>
      <c r="AT2337" s="4"/>
      <c r="AU2337" s="4"/>
      <c r="AV2337" s="4"/>
      <c r="AW2337" s="4"/>
      <c r="AX2337" s="4"/>
      <c r="AY2337" s="4"/>
      <c r="AZ2337" s="4"/>
      <c r="BA2337" s="4"/>
      <c r="BB2337" s="4"/>
      <c r="BC2337" s="4"/>
      <c r="BD2337" s="4"/>
      <c r="BE2337" s="4"/>
      <c r="BF2337" s="4"/>
      <c r="BG2337" s="4"/>
      <c r="BH2337" s="4"/>
      <c r="BI2337" s="4"/>
      <c r="BJ2337" s="4"/>
      <c r="BK2337" s="4"/>
      <c r="BL2337" s="4"/>
      <c r="BM2337" s="4"/>
      <c r="BN2337" s="4"/>
      <c r="BO2337" s="4"/>
      <c r="BP2337" s="4"/>
      <c r="BQ2337" s="4"/>
      <c r="BR2337" s="4"/>
      <c r="BS2337" s="4"/>
      <c r="BT2337" s="4"/>
      <c r="BU2337" s="4"/>
    </row>
    <row r="2338" spans="29:73" s="1" customFormat="1" x14ac:dyDescent="0.25">
      <c r="AC2338" s="4"/>
      <c r="AD2338" s="4"/>
      <c r="AE2338" s="4"/>
      <c r="AF2338" s="4"/>
      <c r="AG2338" s="4"/>
      <c r="AH2338" s="4"/>
      <c r="AI2338" s="4"/>
      <c r="AJ2338" s="4"/>
      <c r="AK2338" s="4"/>
      <c r="AL2338" s="4"/>
      <c r="AM2338" s="4"/>
      <c r="AN2338" s="4"/>
      <c r="AO2338" s="4"/>
      <c r="AP2338" s="4"/>
      <c r="AQ2338" s="4"/>
      <c r="AR2338" s="4"/>
      <c r="AS2338" s="4"/>
      <c r="AT2338" s="4"/>
      <c r="AU2338" s="4"/>
      <c r="AV2338" s="4"/>
      <c r="AW2338" s="4"/>
      <c r="AX2338" s="4"/>
      <c r="AY2338" s="4"/>
      <c r="AZ2338" s="4"/>
      <c r="BA2338" s="4"/>
      <c r="BB2338" s="4"/>
      <c r="BC2338" s="4"/>
      <c r="BD2338" s="4"/>
      <c r="BE2338" s="4"/>
      <c r="BF2338" s="4"/>
      <c r="BG2338" s="4"/>
      <c r="BH2338" s="4"/>
      <c r="BI2338" s="4"/>
      <c r="BJ2338" s="4"/>
      <c r="BK2338" s="4"/>
      <c r="BL2338" s="4"/>
      <c r="BM2338" s="4"/>
      <c r="BN2338" s="4"/>
      <c r="BO2338" s="4"/>
      <c r="BP2338" s="4"/>
      <c r="BQ2338" s="4"/>
      <c r="BR2338" s="4"/>
      <c r="BS2338" s="4"/>
      <c r="BT2338" s="4"/>
      <c r="BU2338" s="4"/>
    </row>
    <row r="2339" spans="29:73" s="1" customFormat="1" x14ac:dyDescent="0.25">
      <c r="AC2339" s="4"/>
      <c r="AD2339" s="4"/>
      <c r="AE2339" s="4"/>
      <c r="AF2339" s="4"/>
      <c r="AG2339" s="4"/>
      <c r="AH2339" s="4"/>
      <c r="AI2339" s="4"/>
      <c r="AJ2339" s="4"/>
      <c r="AK2339" s="4"/>
      <c r="AL2339" s="4"/>
      <c r="AM2339" s="4"/>
      <c r="AN2339" s="4"/>
      <c r="AO2339" s="4"/>
      <c r="AP2339" s="4"/>
      <c r="AQ2339" s="4"/>
      <c r="AR2339" s="4"/>
      <c r="AS2339" s="4"/>
      <c r="AT2339" s="4"/>
      <c r="AU2339" s="4"/>
      <c r="AV2339" s="4"/>
      <c r="AW2339" s="4"/>
      <c r="AX2339" s="4"/>
      <c r="AY2339" s="4"/>
      <c r="AZ2339" s="4"/>
      <c r="BA2339" s="4"/>
      <c r="BB2339" s="4"/>
      <c r="BC2339" s="4"/>
      <c r="BD2339" s="4"/>
      <c r="BE2339" s="4"/>
      <c r="BF2339" s="4"/>
      <c r="BG2339" s="4"/>
      <c r="BH2339" s="4"/>
      <c r="BI2339" s="4"/>
      <c r="BJ2339" s="4"/>
      <c r="BK2339" s="4"/>
      <c r="BL2339" s="4"/>
      <c r="BM2339" s="4"/>
      <c r="BN2339" s="4"/>
      <c r="BO2339" s="4"/>
      <c r="BP2339" s="4"/>
      <c r="BQ2339" s="4"/>
      <c r="BR2339" s="4"/>
      <c r="BS2339" s="4"/>
      <c r="BT2339" s="4"/>
      <c r="BU2339" s="4"/>
    </row>
    <row r="2340" spans="29:73" s="1" customFormat="1" x14ac:dyDescent="0.25">
      <c r="AC2340" s="4"/>
      <c r="AD2340" s="4"/>
      <c r="AE2340" s="4"/>
      <c r="AF2340" s="4"/>
      <c r="AG2340" s="4"/>
      <c r="AH2340" s="4"/>
      <c r="AI2340" s="4"/>
      <c r="AJ2340" s="4"/>
      <c r="AK2340" s="4"/>
      <c r="AL2340" s="4"/>
      <c r="AM2340" s="4"/>
      <c r="AN2340" s="4"/>
      <c r="AO2340" s="4"/>
      <c r="AP2340" s="4"/>
      <c r="AQ2340" s="4"/>
      <c r="AR2340" s="4"/>
      <c r="AS2340" s="4"/>
      <c r="AT2340" s="4"/>
      <c r="AU2340" s="4"/>
      <c r="AV2340" s="4"/>
      <c r="AW2340" s="4"/>
      <c r="AX2340" s="4"/>
      <c r="AY2340" s="4"/>
      <c r="AZ2340" s="4"/>
      <c r="BA2340" s="4"/>
      <c r="BB2340" s="4"/>
      <c r="BC2340" s="4"/>
      <c r="BD2340" s="4"/>
      <c r="BE2340" s="4"/>
      <c r="BF2340" s="4"/>
      <c r="BG2340" s="4"/>
      <c r="BH2340" s="4"/>
      <c r="BI2340" s="4"/>
      <c r="BJ2340" s="4"/>
      <c r="BK2340" s="4"/>
      <c r="BL2340" s="4"/>
      <c r="BM2340" s="4"/>
      <c r="BN2340" s="4"/>
      <c r="BO2340" s="4"/>
      <c r="BP2340" s="4"/>
      <c r="BQ2340" s="4"/>
      <c r="BR2340" s="4"/>
      <c r="BS2340" s="4"/>
      <c r="BT2340" s="4"/>
      <c r="BU2340" s="4"/>
    </row>
    <row r="2341" spans="29:73" s="1" customFormat="1" x14ac:dyDescent="0.25">
      <c r="AC2341" s="4"/>
      <c r="AD2341" s="4"/>
      <c r="AE2341" s="4"/>
      <c r="AF2341" s="4"/>
      <c r="AG2341" s="4"/>
      <c r="AH2341" s="4"/>
      <c r="AI2341" s="4"/>
      <c r="AJ2341" s="4"/>
      <c r="AK2341" s="4"/>
      <c r="AL2341" s="4"/>
      <c r="AM2341" s="4"/>
      <c r="AN2341" s="4"/>
      <c r="AO2341" s="4"/>
      <c r="AP2341" s="4"/>
      <c r="AQ2341" s="4"/>
      <c r="AR2341" s="4"/>
      <c r="AS2341" s="4"/>
      <c r="AT2341" s="4"/>
      <c r="AU2341" s="4"/>
      <c r="AV2341" s="4"/>
      <c r="AW2341" s="4"/>
      <c r="AX2341" s="4"/>
      <c r="AY2341" s="4"/>
      <c r="AZ2341" s="4"/>
      <c r="BA2341" s="4"/>
      <c r="BB2341" s="4"/>
      <c r="BC2341" s="4"/>
      <c r="BD2341" s="4"/>
      <c r="BE2341" s="4"/>
      <c r="BF2341" s="4"/>
      <c r="BG2341" s="4"/>
      <c r="BH2341" s="4"/>
      <c r="BI2341" s="4"/>
      <c r="BJ2341" s="4"/>
      <c r="BK2341" s="4"/>
      <c r="BL2341" s="4"/>
      <c r="BM2341" s="4"/>
      <c r="BN2341" s="4"/>
      <c r="BO2341" s="4"/>
      <c r="BP2341" s="4"/>
      <c r="BQ2341" s="4"/>
      <c r="BR2341" s="4"/>
      <c r="BS2341" s="4"/>
      <c r="BT2341" s="4"/>
      <c r="BU2341" s="4"/>
    </row>
    <row r="2342" spans="29:73" s="1" customFormat="1" x14ac:dyDescent="0.25">
      <c r="AC2342" s="4"/>
      <c r="AD2342" s="4"/>
      <c r="AE2342" s="4"/>
      <c r="AF2342" s="4"/>
      <c r="AG2342" s="4"/>
      <c r="AH2342" s="4"/>
      <c r="AI2342" s="4"/>
      <c r="AJ2342" s="4"/>
      <c r="AK2342" s="4"/>
      <c r="AL2342" s="4"/>
      <c r="AM2342" s="4"/>
      <c r="AN2342" s="4"/>
      <c r="AO2342" s="4"/>
      <c r="AP2342" s="4"/>
      <c r="AQ2342" s="4"/>
      <c r="AR2342" s="4"/>
      <c r="AS2342" s="4"/>
      <c r="AT2342" s="4"/>
      <c r="AU2342" s="4"/>
      <c r="AV2342" s="4"/>
      <c r="AW2342" s="4"/>
      <c r="AX2342" s="4"/>
      <c r="AY2342" s="4"/>
      <c r="AZ2342" s="4"/>
      <c r="BA2342" s="4"/>
      <c r="BB2342" s="4"/>
      <c r="BC2342" s="4"/>
      <c r="BD2342" s="4"/>
      <c r="BE2342" s="4"/>
      <c r="BF2342" s="4"/>
      <c r="BG2342" s="4"/>
      <c r="BH2342" s="4"/>
      <c r="BI2342" s="4"/>
      <c r="BJ2342" s="4"/>
      <c r="BK2342" s="4"/>
      <c r="BL2342" s="4"/>
      <c r="BM2342" s="4"/>
      <c r="BN2342" s="4"/>
      <c r="BO2342" s="4"/>
      <c r="BP2342" s="4"/>
      <c r="BQ2342" s="4"/>
      <c r="BR2342" s="4"/>
      <c r="BS2342" s="4"/>
      <c r="BT2342" s="4"/>
      <c r="BU2342" s="4"/>
    </row>
    <row r="2343" spans="29:73" s="1" customFormat="1" x14ac:dyDescent="0.25">
      <c r="AC2343" s="4"/>
      <c r="AD2343" s="4"/>
      <c r="AE2343" s="4"/>
      <c r="AF2343" s="4"/>
      <c r="AG2343" s="4"/>
      <c r="AH2343" s="4"/>
      <c r="AI2343" s="4"/>
      <c r="AJ2343" s="4"/>
      <c r="AK2343" s="4"/>
      <c r="AL2343" s="4"/>
      <c r="AM2343" s="4"/>
      <c r="AN2343" s="4"/>
      <c r="AO2343" s="4"/>
      <c r="AP2343" s="4"/>
      <c r="AQ2343" s="4"/>
      <c r="AR2343" s="4"/>
      <c r="AS2343" s="4"/>
      <c r="AT2343" s="4"/>
      <c r="AU2343" s="4"/>
      <c r="AV2343" s="4"/>
      <c r="AW2343" s="4"/>
      <c r="AX2343" s="4"/>
      <c r="AY2343" s="4"/>
      <c r="AZ2343" s="4"/>
      <c r="BA2343" s="4"/>
      <c r="BB2343" s="4"/>
      <c r="BC2343" s="4"/>
      <c r="BD2343" s="4"/>
      <c r="BE2343" s="4"/>
      <c r="BF2343" s="4"/>
      <c r="BG2343" s="4"/>
      <c r="BH2343" s="4"/>
      <c r="BI2343" s="4"/>
      <c r="BJ2343" s="4"/>
      <c r="BK2343" s="4"/>
      <c r="BL2343" s="4"/>
      <c r="BM2343" s="4"/>
      <c r="BN2343" s="4"/>
      <c r="BO2343" s="4"/>
      <c r="BP2343" s="4"/>
      <c r="BQ2343" s="4"/>
      <c r="BR2343" s="4"/>
      <c r="BS2343" s="4"/>
      <c r="BT2343" s="4"/>
      <c r="BU2343" s="4"/>
    </row>
    <row r="2344" spans="29:73" s="1" customFormat="1" x14ac:dyDescent="0.25">
      <c r="AC2344" s="4"/>
      <c r="AD2344" s="4"/>
      <c r="AE2344" s="4"/>
      <c r="AF2344" s="4"/>
      <c r="AG2344" s="4"/>
      <c r="AH2344" s="4"/>
      <c r="AI2344" s="4"/>
      <c r="AJ2344" s="4"/>
      <c r="AK2344" s="4"/>
      <c r="AL2344" s="4"/>
      <c r="AM2344" s="4"/>
      <c r="AN2344" s="4"/>
      <c r="AO2344" s="4"/>
      <c r="AP2344" s="4"/>
      <c r="AQ2344" s="4"/>
      <c r="AR2344" s="4"/>
      <c r="AS2344" s="4"/>
      <c r="AT2344" s="4"/>
      <c r="AU2344" s="4"/>
      <c r="AV2344" s="4"/>
      <c r="AW2344" s="4"/>
      <c r="AX2344" s="4"/>
      <c r="AY2344" s="4"/>
      <c r="AZ2344" s="4"/>
      <c r="BA2344" s="4"/>
      <c r="BB2344" s="4"/>
      <c r="BC2344" s="4"/>
      <c r="BD2344" s="4"/>
      <c r="BE2344" s="4"/>
      <c r="BF2344" s="4"/>
      <c r="BG2344" s="4"/>
      <c r="BH2344" s="4"/>
      <c r="BI2344" s="4"/>
      <c r="BJ2344" s="4"/>
      <c r="BK2344" s="4"/>
      <c r="BL2344" s="4"/>
      <c r="BM2344" s="4"/>
      <c r="BN2344" s="4"/>
      <c r="BO2344" s="4"/>
      <c r="BP2344" s="4"/>
      <c r="BQ2344" s="4"/>
      <c r="BR2344" s="4"/>
      <c r="BS2344" s="4"/>
      <c r="BT2344" s="4"/>
      <c r="BU2344" s="4"/>
    </row>
    <row r="2345" spans="29:73" s="1" customFormat="1" x14ac:dyDescent="0.25">
      <c r="AC2345" s="4"/>
      <c r="AD2345" s="4"/>
      <c r="AE2345" s="4"/>
      <c r="AF2345" s="4"/>
      <c r="AG2345" s="4"/>
      <c r="AH2345" s="4"/>
      <c r="AI2345" s="4"/>
      <c r="AJ2345" s="4"/>
      <c r="AK2345" s="4"/>
      <c r="AL2345" s="4"/>
      <c r="AM2345" s="4"/>
      <c r="AN2345" s="4"/>
      <c r="AO2345" s="4"/>
      <c r="AP2345" s="4"/>
      <c r="AQ2345" s="4"/>
      <c r="AR2345" s="4"/>
      <c r="AS2345" s="4"/>
      <c r="AT2345" s="4"/>
      <c r="AU2345" s="4"/>
      <c r="AV2345" s="4"/>
      <c r="AW2345" s="4"/>
      <c r="AX2345" s="4"/>
      <c r="AY2345" s="4"/>
      <c r="AZ2345" s="4"/>
      <c r="BA2345" s="4"/>
      <c r="BB2345" s="4"/>
      <c r="BC2345" s="4"/>
      <c r="BD2345" s="4"/>
      <c r="BE2345" s="4"/>
      <c r="BF2345" s="4"/>
      <c r="BG2345" s="4"/>
      <c r="BH2345" s="4"/>
      <c r="BI2345" s="4"/>
      <c r="BJ2345" s="4"/>
      <c r="BK2345" s="4"/>
      <c r="BL2345" s="4"/>
      <c r="BM2345" s="4"/>
      <c r="BN2345" s="4"/>
      <c r="BO2345" s="4"/>
      <c r="BP2345" s="4"/>
      <c r="BQ2345" s="4"/>
      <c r="BR2345" s="4"/>
      <c r="BS2345" s="4"/>
      <c r="BT2345" s="4"/>
      <c r="BU2345" s="4"/>
    </row>
    <row r="2346" spans="29:73" s="1" customFormat="1" x14ac:dyDescent="0.25">
      <c r="AC2346" s="4"/>
      <c r="AD2346" s="4"/>
      <c r="AE2346" s="4"/>
      <c r="AF2346" s="4"/>
      <c r="AG2346" s="4"/>
      <c r="AH2346" s="4"/>
      <c r="AI2346" s="4"/>
      <c r="AJ2346" s="4"/>
      <c r="AK2346" s="4"/>
      <c r="AL2346" s="4"/>
      <c r="AM2346" s="4"/>
      <c r="AN2346" s="4"/>
      <c r="AO2346" s="4"/>
      <c r="AP2346" s="4"/>
      <c r="AQ2346" s="4"/>
      <c r="AR2346" s="4"/>
      <c r="AS2346" s="4"/>
      <c r="AT2346" s="4"/>
      <c r="AU2346" s="4"/>
      <c r="AV2346" s="4"/>
      <c r="AW2346" s="4"/>
      <c r="AX2346" s="4"/>
      <c r="AY2346" s="4"/>
      <c r="AZ2346" s="4"/>
      <c r="BA2346" s="4"/>
      <c r="BB2346" s="4"/>
      <c r="BC2346" s="4"/>
      <c r="BD2346" s="4"/>
      <c r="BE2346" s="4"/>
      <c r="BF2346" s="4"/>
      <c r="BG2346" s="4"/>
      <c r="BH2346" s="4"/>
      <c r="BI2346" s="4"/>
      <c r="BJ2346" s="4"/>
      <c r="BK2346" s="4"/>
      <c r="BL2346" s="4"/>
      <c r="BM2346" s="4"/>
      <c r="BN2346" s="4"/>
      <c r="BO2346" s="4"/>
      <c r="BP2346" s="4"/>
      <c r="BQ2346" s="4"/>
      <c r="BR2346" s="4"/>
      <c r="BS2346" s="4"/>
      <c r="BT2346" s="4"/>
      <c r="BU2346" s="4"/>
    </row>
    <row r="2347" spans="29:73" s="1" customFormat="1" x14ac:dyDescent="0.25">
      <c r="AC2347" s="4"/>
      <c r="AD2347" s="4"/>
      <c r="AE2347" s="4"/>
      <c r="AF2347" s="4"/>
      <c r="AG2347" s="4"/>
      <c r="AH2347" s="4"/>
      <c r="AI2347" s="4"/>
      <c r="AJ2347" s="4"/>
      <c r="AK2347" s="4"/>
      <c r="AL2347" s="4"/>
      <c r="AM2347" s="4"/>
      <c r="AN2347" s="4"/>
      <c r="AO2347" s="4"/>
      <c r="AP2347" s="4"/>
      <c r="AQ2347" s="4"/>
      <c r="AR2347" s="4"/>
      <c r="AS2347" s="4"/>
      <c r="AT2347" s="4"/>
      <c r="AU2347" s="4"/>
      <c r="AV2347" s="4"/>
      <c r="AW2347" s="4"/>
      <c r="AX2347" s="4"/>
      <c r="AY2347" s="4"/>
      <c r="AZ2347" s="4"/>
      <c r="BA2347" s="4"/>
      <c r="BB2347" s="4"/>
      <c r="BC2347" s="4"/>
      <c r="BD2347" s="4"/>
      <c r="BE2347" s="4"/>
      <c r="BF2347" s="4"/>
      <c r="BG2347" s="4"/>
      <c r="BH2347" s="4"/>
      <c r="BI2347" s="4"/>
      <c r="BJ2347" s="4"/>
      <c r="BK2347" s="4"/>
      <c r="BL2347" s="4"/>
      <c r="BM2347" s="4"/>
      <c r="BN2347" s="4"/>
      <c r="BO2347" s="4"/>
      <c r="BP2347" s="4"/>
      <c r="BQ2347" s="4"/>
      <c r="BR2347" s="4"/>
      <c r="BS2347" s="4"/>
      <c r="BT2347" s="4"/>
      <c r="BU2347" s="4"/>
    </row>
    <row r="2348" spans="29:73" s="1" customFormat="1" x14ac:dyDescent="0.25">
      <c r="AC2348" s="4"/>
      <c r="AD2348" s="4"/>
      <c r="AE2348" s="4"/>
      <c r="AF2348" s="4"/>
      <c r="AG2348" s="4"/>
      <c r="AH2348" s="4"/>
      <c r="AI2348" s="4"/>
      <c r="AJ2348" s="4"/>
      <c r="AK2348" s="4"/>
      <c r="AL2348" s="4"/>
      <c r="AM2348" s="4"/>
      <c r="AN2348" s="4"/>
      <c r="AO2348" s="4"/>
      <c r="AP2348" s="4"/>
      <c r="AQ2348" s="4"/>
      <c r="AR2348" s="4"/>
      <c r="AS2348" s="4"/>
      <c r="AT2348" s="4"/>
      <c r="AU2348" s="4"/>
      <c r="AV2348" s="4"/>
      <c r="AW2348" s="4"/>
      <c r="AX2348" s="4"/>
      <c r="AY2348" s="4"/>
      <c r="AZ2348" s="4"/>
      <c r="BA2348" s="4"/>
      <c r="BB2348" s="4"/>
      <c r="BC2348" s="4"/>
      <c r="BD2348" s="4"/>
      <c r="BE2348" s="4"/>
      <c r="BF2348" s="4"/>
      <c r="BG2348" s="4"/>
      <c r="BH2348" s="4"/>
      <c r="BI2348" s="4"/>
      <c r="BJ2348" s="4"/>
      <c r="BK2348" s="4"/>
      <c r="BL2348" s="4"/>
      <c r="BM2348" s="4"/>
      <c r="BN2348" s="4"/>
      <c r="BO2348" s="4"/>
      <c r="BP2348" s="4"/>
      <c r="BQ2348" s="4"/>
      <c r="BR2348" s="4"/>
      <c r="BS2348" s="4"/>
      <c r="BT2348" s="4"/>
      <c r="BU2348" s="4"/>
    </row>
    <row r="2349" spans="29:73" s="1" customFormat="1" x14ac:dyDescent="0.25">
      <c r="AC2349" s="4"/>
      <c r="AD2349" s="4"/>
      <c r="AE2349" s="4"/>
      <c r="AF2349" s="4"/>
      <c r="AG2349" s="4"/>
      <c r="AH2349" s="4"/>
      <c r="AI2349" s="4"/>
      <c r="AJ2349" s="4"/>
      <c r="AK2349" s="4"/>
      <c r="AL2349" s="4"/>
      <c r="AM2349" s="4"/>
      <c r="AN2349" s="4"/>
      <c r="AO2349" s="4"/>
      <c r="AP2349" s="4"/>
      <c r="AQ2349" s="4"/>
      <c r="AR2349" s="4"/>
      <c r="AS2349" s="4"/>
      <c r="AT2349" s="4"/>
      <c r="AU2349" s="4"/>
      <c r="AV2349" s="4"/>
      <c r="AW2349" s="4"/>
      <c r="AX2349" s="4"/>
      <c r="AY2349" s="4"/>
      <c r="AZ2349" s="4"/>
      <c r="BA2349" s="4"/>
      <c r="BB2349" s="4"/>
      <c r="BC2349" s="4"/>
      <c r="BD2349" s="4"/>
      <c r="BE2349" s="4"/>
      <c r="BF2349" s="4"/>
      <c r="BG2349" s="4"/>
      <c r="BH2349" s="4"/>
      <c r="BI2349" s="4"/>
      <c r="BJ2349" s="4"/>
      <c r="BK2349" s="4"/>
      <c r="BL2349" s="4"/>
      <c r="BM2349" s="4"/>
      <c r="BN2349" s="4"/>
      <c r="BO2349" s="4"/>
      <c r="BP2349" s="4"/>
      <c r="BQ2349" s="4"/>
      <c r="BR2349" s="4"/>
      <c r="BS2349" s="4"/>
      <c r="BT2349" s="4"/>
      <c r="BU2349" s="4"/>
    </row>
    <row r="2350" spans="29:73" s="1" customFormat="1" x14ac:dyDescent="0.25">
      <c r="AC2350" s="4"/>
      <c r="AD2350" s="4"/>
      <c r="AE2350" s="4"/>
      <c r="AF2350" s="4"/>
      <c r="AG2350" s="4"/>
      <c r="AH2350" s="4"/>
      <c r="AI2350" s="4"/>
      <c r="AJ2350" s="4"/>
      <c r="AK2350" s="4"/>
      <c r="AL2350" s="4"/>
      <c r="AM2350" s="4"/>
      <c r="AN2350" s="4"/>
      <c r="AO2350" s="4"/>
      <c r="AP2350" s="4"/>
      <c r="AQ2350" s="4"/>
      <c r="AR2350" s="4"/>
      <c r="AS2350" s="4"/>
      <c r="AT2350" s="4"/>
      <c r="AU2350" s="4"/>
      <c r="AV2350" s="4"/>
      <c r="AW2350" s="4"/>
      <c r="AX2350" s="4"/>
      <c r="AY2350" s="4"/>
      <c r="AZ2350" s="4"/>
      <c r="BA2350" s="4"/>
      <c r="BB2350" s="4"/>
      <c r="BC2350" s="4"/>
      <c r="BD2350" s="4"/>
      <c r="BE2350" s="4"/>
      <c r="BF2350" s="4"/>
      <c r="BG2350" s="4"/>
      <c r="BH2350" s="4"/>
      <c r="BI2350" s="4"/>
      <c r="BJ2350" s="4"/>
      <c r="BK2350" s="4"/>
      <c r="BL2350" s="4"/>
      <c r="BM2350" s="4"/>
      <c r="BN2350" s="4"/>
      <c r="BO2350" s="4"/>
      <c r="BP2350" s="4"/>
      <c r="BQ2350" s="4"/>
      <c r="BR2350" s="4"/>
      <c r="BS2350" s="4"/>
      <c r="BT2350" s="4"/>
      <c r="BU2350" s="4"/>
    </row>
    <row r="2351" spans="29:73" s="1" customFormat="1" x14ac:dyDescent="0.25">
      <c r="AC2351" s="4"/>
      <c r="AD2351" s="4"/>
      <c r="AE2351" s="4"/>
      <c r="AF2351" s="4"/>
      <c r="AG2351" s="4"/>
      <c r="AH2351" s="4"/>
      <c r="AI2351" s="4"/>
      <c r="AJ2351" s="4"/>
      <c r="AK2351" s="4"/>
      <c r="AL2351" s="4"/>
      <c r="AM2351" s="4"/>
      <c r="AN2351" s="4"/>
      <c r="AO2351" s="4"/>
      <c r="AP2351" s="4"/>
      <c r="AQ2351" s="4"/>
      <c r="AR2351" s="4"/>
      <c r="AS2351" s="4"/>
      <c r="AT2351" s="4"/>
      <c r="AU2351" s="4"/>
      <c r="AV2351" s="4"/>
      <c r="AW2351" s="4"/>
      <c r="AX2351" s="4"/>
      <c r="AY2351" s="4"/>
      <c r="AZ2351" s="4"/>
      <c r="BA2351" s="4"/>
      <c r="BB2351" s="4"/>
      <c r="BC2351" s="4"/>
      <c r="BD2351" s="4"/>
      <c r="BE2351" s="4"/>
      <c r="BF2351" s="4"/>
      <c r="BG2351" s="4"/>
      <c r="BH2351" s="4"/>
      <c r="BI2351" s="4"/>
      <c r="BJ2351" s="4"/>
      <c r="BK2351" s="4"/>
      <c r="BL2351" s="4"/>
      <c r="BM2351" s="4"/>
      <c r="BN2351" s="4"/>
      <c r="BO2351" s="4"/>
      <c r="BP2351" s="4"/>
      <c r="BQ2351" s="4"/>
      <c r="BR2351" s="4"/>
      <c r="BS2351" s="4"/>
      <c r="BT2351" s="4"/>
      <c r="BU2351" s="4"/>
    </row>
    <row r="2352" spans="29:73" s="1" customFormat="1" x14ac:dyDescent="0.25">
      <c r="AC2352" s="4"/>
      <c r="AD2352" s="4"/>
      <c r="AE2352" s="4"/>
      <c r="AF2352" s="4"/>
      <c r="AG2352" s="4"/>
      <c r="AH2352" s="4"/>
      <c r="AI2352" s="4"/>
      <c r="AJ2352" s="4"/>
      <c r="AK2352" s="4"/>
      <c r="AL2352" s="4"/>
      <c r="AM2352" s="4"/>
      <c r="AN2352" s="4"/>
      <c r="AO2352" s="4"/>
      <c r="AP2352" s="4"/>
      <c r="AQ2352" s="4"/>
      <c r="AR2352" s="4"/>
      <c r="AS2352" s="4"/>
      <c r="AT2352" s="4"/>
      <c r="AU2352" s="4"/>
      <c r="AV2352" s="4"/>
      <c r="AW2352" s="4"/>
      <c r="AX2352" s="4"/>
      <c r="AY2352" s="4"/>
      <c r="AZ2352" s="4"/>
      <c r="BA2352" s="4"/>
      <c r="BB2352" s="4"/>
      <c r="BC2352" s="4"/>
      <c r="BD2352" s="4"/>
      <c r="BE2352" s="4"/>
      <c r="BF2352" s="4"/>
      <c r="BG2352" s="4"/>
      <c r="BH2352" s="4"/>
      <c r="BI2352" s="4"/>
      <c r="BJ2352" s="4"/>
      <c r="BK2352" s="4"/>
      <c r="BL2352" s="4"/>
      <c r="BM2352" s="4"/>
      <c r="BN2352" s="4"/>
      <c r="BO2352" s="4"/>
      <c r="BP2352" s="4"/>
      <c r="BQ2352" s="4"/>
      <c r="BR2352" s="4"/>
      <c r="BS2352" s="4"/>
      <c r="BT2352" s="4"/>
      <c r="BU2352" s="4"/>
    </row>
    <row r="2353" spans="29:73" s="1" customFormat="1" x14ac:dyDescent="0.25">
      <c r="AC2353" s="4"/>
      <c r="AD2353" s="4"/>
      <c r="AE2353" s="4"/>
      <c r="AF2353" s="4"/>
      <c r="AG2353" s="4"/>
      <c r="AH2353" s="4"/>
      <c r="AI2353" s="4"/>
      <c r="AJ2353" s="4"/>
      <c r="AK2353" s="4"/>
      <c r="AL2353" s="4"/>
      <c r="AM2353" s="4"/>
      <c r="AN2353" s="4"/>
      <c r="AO2353" s="4"/>
      <c r="AP2353" s="4"/>
      <c r="AQ2353" s="4"/>
      <c r="AR2353" s="4"/>
      <c r="AS2353" s="4"/>
      <c r="AT2353" s="4"/>
      <c r="AU2353" s="4"/>
      <c r="AV2353" s="4"/>
      <c r="AW2353" s="4"/>
      <c r="AX2353" s="4"/>
      <c r="AY2353" s="4"/>
      <c r="AZ2353" s="4"/>
      <c r="BA2353" s="4"/>
      <c r="BB2353" s="4"/>
      <c r="BC2353" s="4"/>
      <c r="BD2353" s="4"/>
      <c r="BE2353" s="4"/>
      <c r="BF2353" s="4"/>
      <c r="BG2353" s="4"/>
      <c r="BH2353" s="4"/>
      <c r="BI2353" s="4"/>
      <c r="BJ2353" s="4"/>
      <c r="BK2353" s="4"/>
      <c r="BL2353" s="4"/>
      <c r="BM2353" s="4"/>
      <c r="BN2353" s="4"/>
      <c r="BO2353" s="4"/>
      <c r="BP2353" s="4"/>
      <c r="BQ2353" s="4"/>
      <c r="BR2353" s="4"/>
      <c r="BS2353" s="4"/>
      <c r="BT2353" s="4"/>
      <c r="BU2353" s="4"/>
    </row>
    <row r="2354" spans="29:73" s="1" customFormat="1" x14ac:dyDescent="0.25">
      <c r="AC2354" s="4"/>
      <c r="AD2354" s="4"/>
      <c r="AE2354" s="4"/>
      <c r="AF2354" s="4"/>
      <c r="AG2354" s="4"/>
      <c r="AH2354" s="4"/>
      <c r="AI2354" s="4"/>
      <c r="AJ2354" s="4"/>
      <c r="AK2354" s="4"/>
      <c r="AL2354" s="4"/>
      <c r="AM2354" s="4"/>
      <c r="AN2354" s="4"/>
      <c r="AO2354" s="4"/>
      <c r="AP2354" s="4"/>
      <c r="AQ2354" s="4"/>
      <c r="AR2354" s="4"/>
      <c r="AS2354" s="4"/>
      <c r="AT2354" s="4"/>
      <c r="AU2354" s="4"/>
      <c r="AV2354" s="4"/>
      <c r="AW2354" s="4"/>
      <c r="AX2354" s="4"/>
      <c r="AY2354" s="4"/>
      <c r="AZ2354" s="4"/>
      <c r="BA2354" s="4"/>
      <c r="BB2354" s="4"/>
      <c r="BC2354" s="4"/>
      <c r="BD2354" s="4"/>
      <c r="BE2354" s="4"/>
      <c r="BF2354" s="4"/>
      <c r="BG2354" s="4"/>
      <c r="BH2354" s="4"/>
      <c r="BI2354" s="4"/>
      <c r="BJ2354" s="4"/>
      <c r="BK2354" s="4"/>
      <c r="BL2354" s="4"/>
      <c r="BM2354" s="4"/>
      <c r="BN2354" s="4"/>
      <c r="BO2354" s="4"/>
      <c r="BP2354" s="4"/>
      <c r="BQ2354" s="4"/>
      <c r="BR2354" s="4"/>
      <c r="BS2354" s="4"/>
      <c r="BT2354" s="4"/>
      <c r="BU2354" s="4"/>
    </row>
    <row r="2355" spans="29:73" s="1" customFormat="1" x14ac:dyDescent="0.25">
      <c r="AC2355" s="4"/>
      <c r="AD2355" s="4"/>
      <c r="AE2355" s="4"/>
      <c r="AF2355" s="4"/>
      <c r="AG2355" s="4"/>
      <c r="AH2355" s="4"/>
      <c r="AI2355" s="4"/>
      <c r="AJ2355" s="4"/>
      <c r="AK2355" s="4"/>
      <c r="AL2355" s="4"/>
      <c r="AM2355" s="4"/>
      <c r="AN2355" s="4"/>
      <c r="AO2355" s="4"/>
      <c r="AP2355" s="4"/>
      <c r="AQ2355" s="4"/>
      <c r="AR2355" s="4"/>
      <c r="AS2355" s="4"/>
      <c r="AT2355" s="4"/>
      <c r="AU2355" s="4"/>
      <c r="AV2355" s="4"/>
      <c r="AW2355" s="4"/>
      <c r="AX2355" s="4"/>
      <c r="AY2355" s="4"/>
      <c r="AZ2355" s="4"/>
      <c r="BA2355" s="4"/>
      <c r="BB2355" s="4"/>
      <c r="BC2355" s="4"/>
      <c r="BD2355" s="4"/>
      <c r="BE2355" s="4"/>
      <c r="BF2355" s="4"/>
      <c r="BG2355" s="4"/>
      <c r="BH2355" s="4"/>
      <c r="BI2355" s="4"/>
      <c r="BJ2355" s="4"/>
      <c r="BK2355" s="4"/>
      <c r="BL2355" s="4"/>
      <c r="BM2355" s="4"/>
      <c r="BN2355" s="4"/>
      <c r="BO2355" s="4"/>
      <c r="BP2355" s="4"/>
      <c r="BQ2355" s="4"/>
      <c r="BR2355" s="4"/>
      <c r="BS2355" s="4"/>
      <c r="BT2355" s="4"/>
      <c r="BU2355" s="4"/>
    </row>
    <row r="2356" spans="29:73" s="1" customFormat="1" x14ac:dyDescent="0.25">
      <c r="AC2356" s="4"/>
      <c r="AD2356" s="4"/>
      <c r="AE2356" s="4"/>
      <c r="AF2356" s="4"/>
      <c r="AG2356" s="4"/>
      <c r="AH2356" s="4"/>
      <c r="AI2356" s="4"/>
      <c r="AJ2356" s="4"/>
      <c r="AK2356" s="4"/>
      <c r="AL2356" s="4"/>
      <c r="AM2356" s="4"/>
      <c r="AN2356" s="4"/>
      <c r="AO2356" s="4"/>
      <c r="AP2356" s="4"/>
      <c r="AQ2356" s="4"/>
      <c r="AR2356" s="4"/>
      <c r="AS2356" s="4"/>
      <c r="AT2356" s="4"/>
      <c r="AU2356" s="4"/>
      <c r="AV2356" s="4"/>
      <c r="AW2356" s="4"/>
      <c r="AX2356" s="4"/>
      <c r="AY2356" s="4"/>
      <c r="AZ2356" s="4"/>
      <c r="BA2356" s="4"/>
      <c r="BB2356" s="4"/>
      <c r="BC2356" s="4"/>
      <c r="BD2356" s="4"/>
      <c r="BE2356" s="4"/>
      <c r="BF2356" s="4"/>
      <c r="BG2356" s="4"/>
      <c r="BH2356" s="4"/>
      <c r="BI2356" s="4"/>
      <c r="BJ2356" s="4"/>
      <c r="BK2356" s="4"/>
      <c r="BL2356" s="4"/>
      <c r="BM2356" s="4"/>
      <c r="BN2356" s="4"/>
      <c r="BO2356" s="4"/>
      <c r="BP2356" s="4"/>
      <c r="BQ2356" s="4"/>
      <c r="BR2356" s="4"/>
      <c r="BS2356" s="4"/>
      <c r="BT2356" s="4"/>
      <c r="BU2356" s="4"/>
    </row>
    <row r="2357" spans="29:73" s="1" customFormat="1" x14ac:dyDescent="0.25">
      <c r="AC2357" s="4"/>
      <c r="AD2357" s="4"/>
      <c r="AE2357" s="4"/>
      <c r="AF2357" s="4"/>
      <c r="AG2357" s="4"/>
      <c r="AH2357" s="4"/>
      <c r="AI2357" s="4"/>
      <c r="AJ2357" s="4"/>
      <c r="AK2357" s="4"/>
      <c r="AL2357" s="4"/>
      <c r="AM2357" s="4"/>
      <c r="AN2357" s="4"/>
      <c r="AO2357" s="4"/>
      <c r="AP2357" s="4"/>
      <c r="AQ2357" s="4"/>
      <c r="AR2357" s="4"/>
      <c r="AS2357" s="4"/>
      <c r="AT2357" s="4"/>
      <c r="AU2357" s="4"/>
      <c r="AV2357" s="4"/>
      <c r="AW2357" s="4"/>
      <c r="AX2357" s="4"/>
      <c r="AY2357" s="4"/>
      <c r="AZ2357" s="4"/>
      <c r="BA2357" s="4"/>
      <c r="BB2357" s="4"/>
      <c r="BC2357" s="4"/>
      <c r="BD2357" s="4"/>
      <c r="BE2357" s="4"/>
      <c r="BF2357" s="4"/>
      <c r="BG2357" s="4"/>
      <c r="BH2357" s="4"/>
      <c r="BI2357" s="4"/>
      <c r="BJ2357" s="4"/>
      <c r="BK2357" s="4"/>
      <c r="BL2357" s="4"/>
      <c r="BM2357" s="4"/>
      <c r="BN2357" s="4"/>
      <c r="BO2357" s="4"/>
      <c r="BP2357" s="4"/>
      <c r="BQ2357" s="4"/>
      <c r="BR2357" s="4"/>
      <c r="BS2357" s="4"/>
      <c r="BT2357" s="4"/>
      <c r="BU2357" s="4"/>
    </row>
    <row r="2358" spans="29:73" s="1" customFormat="1" x14ac:dyDescent="0.25">
      <c r="AC2358" s="4"/>
      <c r="AD2358" s="4"/>
      <c r="AE2358" s="4"/>
      <c r="AF2358" s="4"/>
      <c r="AG2358" s="4"/>
      <c r="AH2358" s="4"/>
      <c r="AI2358" s="4"/>
      <c r="AJ2358" s="4"/>
      <c r="AK2358" s="4"/>
      <c r="AL2358" s="4"/>
      <c r="AM2358" s="4"/>
      <c r="AN2358" s="4"/>
      <c r="AO2358" s="4"/>
      <c r="AP2358" s="4"/>
      <c r="AQ2358" s="4"/>
      <c r="AR2358" s="4"/>
      <c r="AS2358" s="4"/>
      <c r="AT2358" s="4"/>
      <c r="AU2358" s="4"/>
      <c r="AV2358" s="4"/>
      <c r="AW2358" s="4"/>
      <c r="AX2358" s="4"/>
      <c r="AY2358" s="4"/>
      <c r="AZ2358" s="4"/>
      <c r="BA2358" s="4"/>
      <c r="BB2358" s="4"/>
      <c r="BC2358" s="4"/>
      <c r="BD2358" s="4"/>
      <c r="BE2358" s="4"/>
      <c r="BF2358" s="4"/>
      <c r="BG2358" s="4"/>
      <c r="BH2358" s="4"/>
      <c r="BI2358" s="4"/>
      <c r="BJ2358" s="4"/>
      <c r="BK2358" s="4"/>
      <c r="BL2358" s="4"/>
      <c r="BM2358" s="4"/>
      <c r="BN2358" s="4"/>
      <c r="BO2358" s="4"/>
      <c r="BP2358" s="4"/>
      <c r="BQ2358" s="4"/>
      <c r="BR2358" s="4"/>
      <c r="BS2358" s="4"/>
      <c r="BT2358" s="4"/>
      <c r="BU2358" s="4"/>
    </row>
    <row r="2359" spans="29:73" s="1" customFormat="1" x14ac:dyDescent="0.25">
      <c r="AC2359" s="4"/>
      <c r="AD2359" s="4"/>
      <c r="AE2359" s="4"/>
      <c r="AF2359" s="4"/>
      <c r="AG2359" s="4"/>
      <c r="AH2359" s="4"/>
      <c r="AI2359" s="4"/>
      <c r="AJ2359" s="4"/>
      <c r="AK2359" s="4"/>
      <c r="AL2359" s="4"/>
      <c r="AM2359" s="4"/>
      <c r="AN2359" s="4"/>
      <c r="AO2359" s="4"/>
      <c r="AP2359" s="4"/>
      <c r="AQ2359" s="4"/>
      <c r="AR2359" s="4"/>
      <c r="AS2359" s="4"/>
      <c r="AT2359" s="4"/>
      <c r="AU2359" s="4"/>
      <c r="AV2359" s="4"/>
      <c r="AW2359" s="4"/>
      <c r="AX2359" s="4"/>
      <c r="AY2359" s="4"/>
      <c r="AZ2359" s="4"/>
      <c r="BA2359" s="4"/>
      <c r="BB2359" s="4"/>
      <c r="BC2359" s="4"/>
      <c r="BD2359" s="4"/>
      <c r="BE2359" s="4"/>
      <c r="BF2359" s="4"/>
      <c r="BG2359" s="4"/>
      <c r="BH2359" s="4"/>
      <c r="BI2359" s="4"/>
      <c r="BJ2359" s="4"/>
      <c r="BK2359" s="4"/>
      <c r="BL2359" s="4"/>
      <c r="BM2359" s="4"/>
      <c r="BN2359" s="4"/>
      <c r="BO2359" s="4"/>
      <c r="BP2359" s="4"/>
      <c r="BQ2359" s="4"/>
      <c r="BR2359" s="4"/>
      <c r="BS2359" s="4"/>
      <c r="BT2359" s="4"/>
      <c r="BU2359" s="4"/>
    </row>
    <row r="2360" spans="29:73" s="1" customFormat="1" x14ac:dyDescent="0.25">
      <c r="AC2360" s="4"/>
      <c r="AD2360" s="4"/>
      <c r="AE2360" s="4"/>
      <c r="AF2360" s="4"/>
      <c r="AG2360" s="4"/>
      <c r="AH2360" s="4"/>
      <c r="AI2360" s="4"/>
      <c r="AJ2360" s="4"/>
      <c r="AK2360" s="4"/>
      <c r="AL2360" s="4"/>
      <c r="AM2360" s="4"/>
      <c r="AN2360" s="4"/>
      <c r="AO2360" s="4"/>
      <c r="AP2360" s="4"/>
      <c r="AQ2360" s="4"/>
      <c r="AR2360" s="4"/>
      <c r="AS2360" s="4"/>
      <c r="AT2360" s="4"/>
      <c r="AU2360" s="4"/>
      <c r="AV2360" s="4"/>
      <c r="AW2360" s="4"/>
      <c r="AX2360" s="4"/>
      <c r="AY2360" s="4"/>
      <c r="AZ2360" s="4"/>
      <c r="BA2360" s="4"/>
      <c r="BB2360" s="4"/>
      <c r="BC2360" s="4"/>
      <c r="BD2360" s="4"/>
      <c r="BE2360" s="4"/>
      <c r="BF2360" s="4"/>
      <c r="BG2360" s="4"/>
      <c r="BH2360" s="4"/>
      <c r="BI2360" s="4"/>
      <c r="BJ2360" s="4"/>
      <c r="BK2360" s="4"/>
      <c r="BL2360" s="4"/>
      <c r="BM2360" s="4"/>
      <c r="BN2360" s="4"/>
      <c r="BO2360" s="4"/>
      <c r="BP2360" s="4"/>
      <c r="BQ2360" s="4"/>
      <c r="BR2360" s="4"/>
      <c r="BS2360" s="4"/>
      <c r="BT2360" s="4"/>
      <c r="BU2360" s="4"/>
    </row>
    <row r="2361" spans="29:73" s="1" customFormat="1" x14ac:dyDescent="0.25">
      <c r="AC2361" s="4"/>
      <c r="AD2361" s="4"/>
      <c r="AE2361" s="4"/>
      <c r="AF2361" s="4"/>
      <c r="AG2361" s="4"/>
      <c r="AH2361" s="4"/>
      <c r="AI2361" s="4"/>
      <c r="AJ2361" s="4"/>
      <c r="AK2361" s="4"/>
      <c r="AL2361" s="4"/>
      <c r="AM2361" s="4"/>
      <c r="AN2361" s="4"/>
      <c r="AO2361" s="4"/>
      <c r="AP2361" s="4"/>
      <c r="AQ2361" s="4"/>
      <c r="AR2361" s="4"/>
      <c r="AS2361" s="4"/>
      <c r="AT2361" s="4"/>
      <c r="AU2361" s="4"/>
      <c r="AV2361" s="4"/>
      <c r="AW2361" s="4"/>
      <c r="AX2361" s="4"/>
      <c r="AY2361" s="4"/>
      <c r="AZ2361" s="4"/>
      <c r="BA2361" s="4"/>
      <c r="BB2361" s="4"/>
      <c r="BC2361" s="4"/>
      <c r="BD2361" s="4"/>
      <c r="BE2361" s="4"/>
      <c r="BF2361" s="4"/>
      <c r="BG2361" s="4"/>
      <c r="BH2361" s="4"/>
      <c r="BI2361" s="4"/>
      <c r="BJ2361" s="4"/>
      <c r="BK2361" s="4"/>
      <c r="BL2361" s="4"/>
      <c r="BM2361" s="4"/>
      <c r="BN2361" s="4"/>
      <c r="BO2361" s="4"/>
      <c r="BP2361" s="4"/>
      <c r="BQ2361" s="4"/>
      <c r="BR2361" s="4"/>
      <c r="BS2361" s="4"/>
      <c r="BT2361" s="4"/>
      <c r="BU2361" s="4"/>
    </row>
    <row r="2362" spans="29:73" s="1" customFormat="1" x14ac:dyDescent="0.25">
      <c r="AC2362" s="4"/>
      <c r="AD2362" s="4"/>
      <c r="AE2362" s="4"/>
      <c r="AF2362" s="4"/>
      <c r="AG2362" s="4"/>
      <c r="AH2362" s="4"/>
      <c r="AI2362" s="4"/>
      <c r="AJ2362" s="4"/>
      <c r="AK2362" s="4"/>
      <c r="AL2362" s="4"/>
      <c r="AM2362" s="4"/>
      <c r="AN2362" s="4"/>
      <c r="AO2362" s="4"/>
      <c r="AP2362" s="4"/>
      <c r="AQ2362" s="4"/>
      <c r="AR2362" s="4"/>
      <c r="AS2362" s="4"/>
      <c r="AT2362" s="4"/>
      <c r="AU2362" s="4"/>
      <c r="AV2362" s="4"/>
      <c r="AW2362" s="4"/>
      <c r="AX2362" s="4"/>
      <c r="AY2362" s="4"/>
      <c r="AZ2362" s="4"/>
      <c r="BA2362" s="4"/>
      <c r="BB2362" s="4"/>
      <c r="BC2362" s="4"/>
      <c r="BD2362" s="4"/>
      <c r="BE2362" s="4"/>
      <c r="BF2362" s="4"/>
      <c r="BG2362" s="4"/>
      <c r="BH2362" s="4"/>
      <c r="BI2362" s="4"/>
      <c r="BJ2362" s="4"/>
      <c r="BK2362" s="4"/>
      <c r="BL2362" s="4"/>
      <c r="BM2362" s="4"/>
      <c r="BN2362" s="4"/>
      <c r="BO2362" s="4"/>
      <c r="BP2362" s="4"/>
      <c r="BQ2362" s="4"/>
      <c r="BR2362" s="4"/>
      <c r="BS2362" s="4"/>
      <c r="BT2362" s="4"/>
      <c r="BU2362" s="4"/>
    </row>
    <row r="2363" spans="29:73" s="1" customFormat="1" x14ac:dyDescent="0.25">
      <c r="AC2363" s="4"/>
      <c r="AD2363" s="4"/>
      <c r="AE2363" s="4"/>
      <c r="AF2363" s="4"/>
      <c r="AG2363" s="4"/>
      <c r="AH2363" s="4"/>
      <c r="AI2363" s="4"/>
      <c r="AJ2363" s="4"/>
      <c r="AK2363" s="4"/>
      <c r="AL2363" s="4"/>
      <c r="AM2363" s="4"/>
      <c r="AN2363" s="4"/>
      <c r="AO2363" s="4"/>
      <c r="AP2363" s="4"/>
      <c r="AQ2363" s="4"/>
      <c r="AR2363" s="4"/>
      <c r="AS2363" s="4"/>
      <c r="AT2363" s="4"/>
      <c r="AU2363" s="4"/>
      <c r="AV2363" s="4"/>
      <c r="AW2363" s="4"/>
      <c r="AX2363" s="4"/>
      <c r="AY2363" s="4"/>
      <c r="AZ2363" s="4"/>
      <c r="BA2363" s="4"/>
      <c r="BB2363" s="4"/>
      <c r="BC2363" s="4"/>
      <c r="BD2363" s="4"/>
      <c r="BE2363" s="4"/>
      <c r="BF2363" s="4"/>
      <c r="BG2363" s="4"/>
      <c r="BH2363" s="4"/>
      <c r="BI2363" s="4"/>
      <c r="BJ2363" s="4"/>
      <c r="BK2363" s="4"/>
      <c r="BL2363" s="4"/>
      <c r="BM2363" s="4"/>
      <c r="BN2363" s="4"/>
      <c r="BO2363" s="4"/>
      <c r="BP2363" s="4"/>
      <c r="BQ2363" s="4"/>
      <c r="BR2363" s="4"/>
      <c r="BS2363" s="4"/>
      <c r="BT2363" s="4"/>
      <c r="BU2363" s="4"/>
    </row>
    <row r="2364" spans="29:73" s="1" customFormat="1" x14ac:dyDescent="0.25">
      <c r="AC2364" s="4"/>
      <c r="AD2364" s="4"/>
      <c r="AE2364" s="4"/>
      <c r="AF2364" s="4"/>
      <c r="AG2364" s="4"/>
      <c r="AH2364" s="4"/>
      <c r="AI2364" s="4"/>
      <c r="AJ2364" s="4"/>
      <c r="AK2364" s="4"/>
      <c r="AL2364" s="4"/>
      <c r="AM2364" s="4"/>
      <c r="AN2364" s="4"/>
      <c r="AO2364" s="4"/>
      <c r="AP2364" s="4"/>
      <c r="AQ2364" s="4"/>
      <c r="AR2364" s="4"/>
      <c r="AS2364" s="4"/>
      <c r="AT2364" s="4"/>
      <c r="AU2364" s="4"/>
      <c r="AV2364" s="4"/>
      <c r="AW2364" s="4"/>
      <c r="AX2364" s="4"/>
      <c r="AY2364" s="4"/>
      <c r="AZ2364" s="4"/>
      <c r="BA2364" s="4"/>
      <c r="BB2364" s="4"/>
      <c r="BC2364" s="4"/>
      <c r="BD2364" s="4"/>
      <c r="BE2364" s="4"/>
      <c r="BF2364" s="4"/>
      <c r="BG2364" s="4"/>
      <c r="BH2364" s="4"/>
      <c r="BI2364" s="4"/>
      <c r="BJ2364" s="4"/>
      <c r="BK2364" s="4"/>
      <c r="BL2364" s="4"/>
      <c r="BM2364" s="4"/>
      <c r="BN2364" s="4"/>
      <c r="BO2364" s="4"/>
      <c r="BP2364" s="4"/>
      <c r="BQ2364" s="4"/>
      <c r="BR2364" s="4"/>
      <c r="BS2364" s="4"/>
      <c r="BT2364" s="4"/>
      <c r="BU2364" s="4"/>
    </row>
    <row r="2365" spans="29:73" s="1" customFormat="1" x14ac:dyDescent="0.25">
      <c r="AC2365" s="4"/>
      <c r="AD2365" s="4"/>
      <c r="AE2365" s="4"/>
      <c r="AF2365" s="4"/>
      <c r="AG2365" s="4"/>
      <c r="AH2365" s="4"/>
      <c r="AI2365" s="4"/>
      <c r="AJ2365" s="4"/>
      <c r="AK2365" s="4"/>
      <c r="AL2365" s="4"/>
      <c r="AM2365" s="4"/>
      <c r="AN2365" s="4"/>
      <c r="AO2365" s="4"/>
      <c r="AP2365" s="4"/>
      <c r="AQ2365" s="4"/>
      <c r="AR2365" s="4"/>
      <c r="AS2365" s="4"/>
      <c r="AT2365" s="4"/>
      <c r="AU2365" s="4"/>
      <c r="AV2365" s="4"/>
      <c r="AW2365" s="4"/>
      <c r="AX2365" s="4"/>
      <c r="AY2365" s="4"/>
      <c r="AZ2365" s="4"/>
      <c r="BA2365" s="4"/>
      <c r="BB2365" s="4"/>
      <c r="BC2365" s="4"/>
      <c r="BD2365" s="4"/>
      <c r="BE2365" s="4"/>
      <c r="BF2365" s="4"/>
      <c r="BG2365" s="4"/>
      <c r="BH2365" s="4"/>
      <c r="BI2365" s="4"/>
      <c r="BJ2365" s="4"/>
      <c r="BK2365" s="4"/>
      <c r="BL2365" s="4"/>
      <c r="BM2365" s="4"/>
      <c r="BN2365" s="4"/>
      <c r="BO2365" s="4"/>
      <c r="BP2365" s="4"/>
      <c r="BQ2365" s="4"/>
      <c r="BR2365" s="4"/>
      <c r="BS2365" s="4"/>
      <c r="BT2365" s="4"/>
      <c r="BU2365" s="4"/>
    </row>
    <row r="2366" spans="29:73" s="1" customFormat="1" x14ac:dyDescent="0.25">
      <c r="AC2366" s="4"/>
      <c r="AD2366" s="4"/>
      <c r="AE2366" s="4"/>
      <c r="AF2366" s="4"/>
      <c r="AG2366" s="4"/>
      <c r="AH2366" s="4"/>
      <c r="AI2366" s="4"/>
      <c r="AJ2366" s="4"/>
      <c r="AK2366" s="4"/>
      <c r="AL2366" s="4"/>
      <c r="AM2366" s="4"/>
      <c r="AN2366" s="4"/>
      <c r="AO2366" s="4"/>
      <c r="AP2366" s="4"/>
      <c r="AQ2366" s="4"/>
      <c r="AR2366" s="4"/>
      <c r="AS2366" s="4"/>
      <c r="AT2366" s="4"/>
      <c r="AU2366" s="4"/>
      <c r="AV2366" s="4"/>
      <c r="AW2366" s="4"/>
      <c r="AX2366" s="4"/>
      <c r="AY2366" s="4"/>
      <c r="AZ2366" s="4"/>
      <c r="BA2366" s="4"/>
      <c r="BB2366" s="4"/>
      <c r="BC2366" s="4"/>
      <c r="BD2366" s="4"/>
      <c r="BE2366" s="4"/>
      <c r="BF2366" s="4"/>
      <c r="BG2366" s="4"/>
      <c r="BH2366" s="4"/>
      <c r="BI2366" s="4"/>
      <c r="BJ2366" s="4"/>
      <c r="BK2366" s="4"/>
      <c r="BL2366" s="4"/>
      <c r="BM2366" s="4"/>
      <c r="BN2366" s="4"/>
      <c r="BO2366" s="4"/>
      <c r="BP2366" s="4"/>
      <c r="BQ2366" s="4"/>
      <c r="BR2366" s="4"/>
      <c r="BS2366" s="4"/>
      <c r="BT2366" s="4"/>
      <c r="BU2366" s="4"/>
    </row>
    <row r="2367" spans="29:73" s="1" customFormat="1" x14ac:dyDescent="0.25">
      <c r="AC2367" s="4"/>
      <c r="AD2367" s="4"/>
      <c r="AE2367" s="4"/>
      <c r="AF2367" s="4"/>
      <c r="AG2367" s="4"/>
      <c r="AH2367" s="4"/>
      <c r="AI2367" s="4"/>
      <c r="AJ2367" s="4"/>
      <c r="AK2367" s="4"/>
      <c r="AL2367" s="4"/>
      <c r="AM2367" s="4"/>
      <c r="AN2367" s="4"/>
      <c r="AO2367" s="4"/>
      <c r="AP2367" s="4"/>
      <c r="AQ2367" s="4"/>
      <c r="AR2367" s="4"/>
      <c r="AS2367" s="4"/>
      <c r="AT2367" s="4"/>
      <c r="AU2367" s="4"/>
      <c r="AV2367" s="4"/>
      <c r="AW2367" s="4"/>
      <c r="AX2367" s="4"/>
      <c r="AY2367" s="4"/>
      <c r="AZ2367" s="4"/>
      <c r="BA2367" s="4"/>
      <c r="BB2367" s="4"/>
      <c r="BC2367" s="4"/>
      <c r="BD2367" s="4"/>
      <c r="BE2367" s="4"/>
      <c r="BF2367" s="4"/>
      <c r="BG2367" s="4"/>
      <c r="BH2367" s="4"/>
      <c r="BI2367" s="4"/>
      <c r="BJ2367" s="4"/>
      <c r="BK2367" s="4"/>
      <c r="BL2367" s="4"/>
      <c r="BM2367" s="4"/>
      <c r="BN2367" s="4"/>
      <c r="BO2367" s="4"/>
      <c r="BP2367" s="4"/>
      <c r="BQ2367" s="4"/>
      <c r="BR2367" s="4"/>
      <c r="BS2367" s="4"/>
      <c r="BT2367" s="4"/>
      <c r="BU2367" s="4"/>
    </row>
    <row r="2368" spans="29:73" s="1" customFormat="1" x14ac:dyDescent="0.25">
      <c r="AC2368" s="4"/>
      <c r="AD2368" s="4"/>
      <c r="AE2368" s="4"/>
      <c r="AF2368" s="4"/>
      <c r="AG2368" s="4"/>
      <c r="AH2368" s="4"/>
      <c r="AI2368" s="4"/>
      <c r="AJ2368" s="4"/>
      <c r="AK2368" s="4"/>
      <c r="AL2368" s="4"/>
      <c r="AM2368" s="4"/>
      <c r="AN2368" s="4"/>
      <c r="AO2368" s="4"/>
      <c r="AP2368" s="4"/>
      <c r="AQ2368" s="4"/>
      <c r="AR2368" s="4"/>
      <c r="AS2368" s="4"/>
      <c r="AT2368" s="4"/>
      <c r="AU2368" s="4"/>
      <c r="AV2368" s="4"/>
      <c r="AW2368" s="4"/>
      <c r="AX2368" s="4"/>
      <c r="AY2368" s="4"/>
      <c r="AZ2368" s="4"/>
      <c r="BA2368" s="4"/>
      <c r="BB2368" s="4"/>
      <c r="BC2368" s="4"/>
      <c r="BD2368" s="4"/>
      <c r="BE2368" s="4"/>
      <c r="BF2368" s="4"/>
      <c r="BG2368" s="4"/>
      <c r="BH2368" s="4"/>
      <c r="BI2368" s="4"/>
      <c r="BJ2368" s="4"/>
      <c r="BK2368" s="4"/>
      <c r="BL2368" s="4"/>
      <c r="BM2368" s="4"/>
      <c r="BN2368" s="4"/>
      <c r="BO2368" s="4"/>
      <c r="BP2368" s="4"/>
      <c r="BQ2368" s="4"/>
      <c r="BR2368" s="4"/>
      <c r="BS2368" s="4"/>
      <c r="BT2368" s="4"/>
      <c r="BU2368" s="4"/>
    </row>
    <row r="2369" spans="29:73" s="1" customFormat="1" x14ac:dyDescent="0.25">
      <c r="AC2369" s="4"/>
      <c r="AD2369" s="4"/>
      <c r="AE2369" s="4"/>
      <c r="AF2369" s="4"/>
      <c r="AG2369" s="4"/>
      <c r="AH2369" s="4"/>
      <c r="AI2369" s="4"/>
      <c r="AJ2369" s="4"/>
      <c r="AK2369" s="4"/>
      <c r="AL2369" s="4"/>
      <c r="AM2369" s="4"/>
      <c r="AN2369" s="4"/>
      <c r="AO2369" s="4"/>
      <c r="AP2369" s="4"/>
      <c r="AQ2369" s="4"/>
      <c r="AR2369" s="4"/>
      <c r="AS2369" s="4"/>
      <c r="AT2369" s="4"/>
      <c r="AU2369" s="4"/>
      <c r="AV2369" s="4"/>
      <c r="AW2369" s="4"/>
      <c r="AX2369" s="4"/>
      <c r="AY2369" s="4"/>
      <c r="AZ2369" s="4"/>
      <c r="BA2369" s="4"/>
      <c r="BB2369" s="4"/>
      <c r="BC2369" s="4"/>
      <c r="BD2369" s="4"/>
      <c r="BE2369" s="4"/>
      <c r="BF2369" s="4"/>
      <c r="BG2369" s="4"/>
      <c r="BH2369" s="4"/>
      <c r="BI2369" s="4"/>
      <c r="BJ2369" s="4"/>
      <c r="BK2369" s="4"/>
      <c r="BL2369" s="4"/>
      <c r="BM2369" s="4"/>
      <c r="BN2369" s="4"/>
      <c r="BO2369" s="4"/>
      <c r="BP2369" s="4"/>
      <c r="BQ2369" s="4"/>
      <c r="BR2369" s="4"/>
      <c r="BS2369" s="4"/>
      <c r="BT2369" s="4"/>
      <c r="BU2369" s="4"/>
    </row>
    <row r="2370" spans="29:73" s="1" customFormat="1" x14ac:dyDescent="0.25">
      <c r="AC2370" s="4"/>
      <c r="AD2370" s="4"/>
      <c r="AE2370" s="4"/>
      <c r="AF2370" s="4"/>
      <c r="AG2370" s="4"/>
      <c r="AH2370" s="4"/>
      <c r="AI2370" s="4"/>
      <c r="AJ2370" s="4"/>
      <c r="AK2370" s="4"/>
      <c r="AL2370" s="4"/>
      <c r="AM2370" s="4"/>
      <c r="AN2370" s="4"/>
      <c r="AO2370" s="4"/>
      <c r="AP2370" s="4"/>
      <c r="AQ2370" s="4"/>
      <c r="AR2370" s="4"/>
      <c r="AS2370" s="4"/>
      <c r="AT2370" s="4"/>
      <c r="AU2370" s="4"/>
      <c r="AV2370" s="4"/>
      <c r="AW2370" s="4"/>
      <c r="AX2370" s="4"/>
      <c r="AY2370" s="4"/>
      <c r="AZ2370" s="4"/>
      <c r="BA2370" s="4"/>
      <c r="BB2370" s="4"/>
      <c r="BC2370" s="4"/>
      <c r="BD2370" s="4"/>
      <c r="BE2370" s="4"/>
      <c r="BF2370" s="4"/>
      <c r="BG2370" s="4"/>
      <c r="BH2370" s="4"/>
      <c r="BI2370" s="4"/>
      <c r="BJ2370" s="4"/>
      <c r="BK2370" s="4"/>
      <c r="BL2370" s="4"/>
      <c r="BM2370" s="4"/>
      <c r="BN2370" s="4"/>
      <c r="BO2370" s="4"/>
      <c r="BP2370" s="4"/>
      <c r="BQ2370" s="4"/>
      <c r="BR2370" s="4"/>
      <c r="BS2370" s="4"/>
      <c r="BT2370" s="4"/>
      <c r="BU2370" s="4"/>
    </row>
    <row r="2371" spans="29:73" s="1" customFormat="1" x14ac:dyDescent="0.25">
      <c r="AC2371" s="4"/>
      <c r="AD2371" s="4"/>
      <c r="AE2371" s="4"/>
      <c r="AF2371" s="4"/>
      <c r="AG2371" s="4"/>
      <c r="AH2371" s="4"/>
      <c r="AI2371" s="4"/>
      <c r="AJ2371" s="4"/>
      <c r="AK2371" s="4"/>
      <c r="AL2371" s="4"/>
      <c r="AM2371" s="4"/>
      <c r="AN2371" s="4"/>
      <c r="AO2371" s="4"/>
      <c r="AP2371" s="4"/>
      <c r="AQ2371" s="4"/>
      <c r="AR2371" s="4"/>
      <c r="AS2371" s="4"/>
      <c r="AT2371" s="4"/>
      <c r="AU2371" s="4"/>
      <c r="AV2371" s="4"/>
      <c r="AW2371" s="4"/>
      <c r="AX2371" s="4"/>
      <c r="AY2371" s="4"/>
      <c r="AZ2371" s="4"/>
      <c r="BA2371" s="4"/>
      <c r="BB2371" s="4"/>
      <c r="BC2371" s="4"/>
      <c r="BD2371" s="4"/>
      <c r="BE2371" s="4"/>
      <c r="BF2371" s="4"/>
      <c r="BG2371" s="4"/>
      <c r="BH2371" s="4"/>
      <c r="BI2371" s="4"/>
      <c r="BJ2371" s="4"/>
      <c r="BK2371" s="4"/>
      <c r="BL2371" s="4"/>
      <c r="BM2371" s="4"/>
      <c r="BN2371" s="4"/>
      <c r="BO2371" s="4"/>
      <c r="BP2371" s="4"/>
      <c r="BQ2371" s="4"/>
      <c r="BR2371" s="4"/>
      <c r="BS2371" s="4"/>
      <c r="BT2371" s="4"/>
      <c r="BU2371" s="4"/>
    </row>
    <row r="2372" spans="29:73" s="1" customFormat="1" x14ac:dyDescent="0.25">
      <c r="AC2372" s="4"/>
      <c r="AD2372" s="4"/>
      <c r="AE2372" s="4"/>
      <c r="AF2372" s="4"/>
      <c r="AG2372" s="4"/>
      <c r="AH2372" s="4"/>
      <c r="AI2372" s="4"/>
      <c r="AJ2372" s="4"/>
      <c r="AK2372" s="4"/>
      <c r="AL2372" s="4"/>
      <c r="AM2372" s="4"/>
      <c r="AN2372" s="4"/>
      <c r="AO2372" s="4"/>
      <c r="AP2372" s="4"/>
      <c r="AQ2372" s="4"/>
      <c r="AR2372" s="4"/>
      <c r="AS2372" s="4"/>
      <c r="AT2372" s="4"/>
      <c r="AU2372" s="4"/>
      <c r="AV2372" s="4"/>
      <c r="AW2372" s="4"/>
      <c r="AX2372" s="4"/>
      <c r="AY2372" s="4"/>
      <c r="AZ2372" s="4"/>
      <c r="BA2372" s="4"/>
      <c r="BB2372" s="4"/>
      <c r="BC2372" s="4"/>
      <c r="BD2372" s="4"/>
      <c r="BE2372" s="4"/>
      <c r="BF2372" s="4"/>
      <c r="BG2372" s="4"/>
      <c r="BH2372" s="4"/>
      <c r="BI2372" s="4"/>
      <c r="BJ2372" s="4"/>
      <c r="BK2372" s="4"/>
      <c r="BL2372" s="4"/>
      <c r="BM2372" s="4"/>
      <c r="BN2372" s="4"/>
      <c r="BO2372" s="4"/>
      <c r="BP2372" s="4"/>
      <c r="BQ2372" s="4"/>
      <c r="BR2372" s="4"/>
      <c r="BS2372" s="4"/>
      <c r="BT2372" s="4"/>
      <c r="BU2372" s="4"/>
    </row>
    <row r="2373" spans="29:73" s="1" customFormat="1" x14ac:dyDescent="0.25">
      <c r="AC2373" s="4"/>
      <c r="AD2373" s="4"/>
      <c r="AE2373" s="4"/>
      <c r="AF2373" s="4"/>
      <c r="AG2373" s="4"/>
      <c r="AH2373" s="4"/>
      <c r="AI2373" s="4"/>
      <c r="AJ2373" s="4"/>
      <c r="AK2373" s="4"/>
      <c r="AL2373" s="4"/>
      <c r="AM2373" s="4"/>
      <c r="AN2373" s="4"/>
      <c r="AO2373" s="4"/>
      <c r="AP2373" s="4"/>
      <c r="AQ2373" s="4"/>
      <c r="AR2373" s="4"/>
      <c r="AS2373" s="4"/>
      <c r="AT2373" s="4"/>
      <c r="AU2373" s="4"/>
      <c r="AV2373" s="4"/>
      <c r="AW2373" s="4"/>
      <c r="AX2373" s="4"/>
      <c r="AY2373" s="4"/>
      <c r="AZ2373" s="4"/>
      <c r="BA2373" s="4"/>
      <c r="BB2373" s="4"/>
      <c r="BC2373" s="4"/>
      <c r="BD2373" s="4"/>
      <c r="BE2373" s="4"/>
      <c r="BF2373" s="4"/>
      <c r="BG2373" s="4"/>
      <c r="BH2373" s="4"/>
      <c r="BI2373" s="4"/>
      <c r="BJ2373" s="4"/>
      <c r="BK2373" s="4"/>
      <c r="BL2373" s="4"/>
      <c r="BM2373" s="4"/>
      <c r="BN2373" s="4"/>
      <c r="BO2373" s="4"/>
      <c r="BP2373" s="4"/>
      <c r="BQ2373" s="4"/>
      <c r="BR2373" s="4"/>
      <c r="BS2373" s="4"/>
      <c r="BT2373" s="4"/>
      <c r="BU2373" s="4"/>
    </row>
    <row r="2374" spans="29:73" s="1" customFormat="1" x14ac:dyDescent="0.25">
      <c r="AC2374" s="4"/>
      <c r="AD2374" s="4"/>
      <c r="AE2374" s="4"/>
      <c r="AF2374" s="4"/>
      <c r="AG2374" s="4"/>
      <c r="AH2374" s="4"/>
      <c r="AI2374" s="4"/>
      <c r="AJ2374" s="4"/>
      <c r="AK2374" s="4"/>
      <c r="AL2374" s="4"/>
      <c r="AM2374" s="4"/>
      <c r="AN2374" s="4"/>
      <c r="AO2374" s="4"/>
      <c r="AP2374" s="4"/>
      <c r="AQ2374" s="4"/>
      <c r="AR2374" s="4"/>
      <c r="AS2374" s="4"/>
      <c r="AT2374" s="4"/>
      <c r="AU2374" s="4"/>
      <c r="AV2374" s="4"/>
      <c r="AW2374" s="4"/>
      <c r="AX2374" s="4"/>
      <c r="AY2374" s="4"/>
      <c r="AZ2374" s="4"/>
      <c r="BA2374" s="4"/>
      <c r="BB2374" s="4"/>
      <c r="BC2374" s="4"/>
      <c r="BD2374" s="4"/>
      <c r="BE2374" s="4"/>
      <c r="BF2374" s="4"/>
      <c r="BG2374" s="4"/>
      <c r="BH2374" s="4"/>
      <c r="BI2374" s="4"/>
      <c r="BJ2374" s="4"/>
      <c r="BK2374" s="4"/>
      <c r="BL2374" s="4"/>
      <c r="BM2374" s="4"/>
      <c r="BN2374" s="4"/>
      <c r="BO2374" s="4"/>
      <c r="BP2374" s="4"/>
      <c r="BQ2374" s="4"/>
      <c r="BR2374" s="4"/>
      <c r="BS2374" s="4"/>
      <c r="BT2374" s="4"/>
      <c r="BU2374" s="4"/>
    </row>
    <row r="2375" spans="29:73" s="1" customFormat="1" x14ac:dyDescent="0.25">
      <c r="AC2375" s="4"/>
      <c r="AD2375" s="4"/>
      <c r="AE2375" s="4"/>
      <c r="AF2375" s="4"/>
      <c r="AG2375" s="4"/>
      <c r="AH2375" s="4"/>
      <c r="AI2375" s="4"/>
      <c r="AJ2375" s="4"/>
      <c r="AK2375" s="4"/>
      <c r="AL2375" s="4"/>
      <c r="AM2375" s="4"/>
      <c r="AN2375" s="4"/>
      <c r="AO2375" s="4"/>
      <c r="AP2375" s="4"/>
      <c r="AQ2375" s="4"/>
      <c r="AR2375" s="4"/>
      <c r="AS2375" s="4"/>
      <c r="AT2375" s="4"/>
      <c r="AU2375" s="4"/>
      <c r="AV2375" s="4"/>
      <c r="AW2375" s="4"/>
      <c r="AX2375" s="4"/>
      <c r="AY2375" s="4"/>
      <c r="AZ2375" s="4"/>
      <c r="BA2375" s="4"/>
      <c r="BB2375" s="4"/>
      <c r="BC2375" s="4"/>
      <c r="BD2375" s="4"/>
      <c r="BE2375" s="4"/>
      <c r="BF2375" s="4"/>
      <c r="BG2375" s="4"/>
      <c r="BH2375" s="4"/>
      <c r="BI2375" s="4"/>
      <c r="BJ2375" s="4"/>
      <c r="BK2375" s="4"/>
      <c r="BL2375" s="4"/>
      <c r="BM2375" s="4"/>
      <c r="BN2375" s="4"/>
      <c r="BO2375" s="4"/>
      <c r="BP2375" s="4"/>
      <c r="BQ2375" s="4"/>
      <c r="BR2375" s="4"/>
      <c r="BS2375" s="4"/>
      <c r="BT2375" s="4"/>
      <c r="BU2375" s="4"/>
    </row>
    <row r="2376" spans="29:73" s="1" customFormat="1" x14ac:dyDescent="0.25">
      <c r="AC2376" s="4"/>
      <c r="AD2376" s="4"/>
      <c r="AE2376" s="4"/>
      <c r="AF2376" s="4"/>
      <c r="AG2376" s="4"/>
      <c r="AH2376" s="4"/>
      <c r="AI2376" s="4"/>
      <c r="AJ2376" s="4"/>
      <c r="AK2376" s="4"/>
      <c r="AL2376" s="4"/>
      <c r="AM2376" s="4"/>
      <c r="AN2376" s="4"/>
      <c r="AO2376" s="4"/>
      <c r="AP2376" s="4"/>
      <c r="AQ2376" s="4"/>
      <c r="AR2376" s="4"/>
      <c r="AS2376" s="4"/>
      <c r="AT2376" s="4"/>
      <c r="AU2376" s="4"/>
      <c r="AV2376" s="4"/>
      <c r="AW2376" s="4"/>
      <c r="AX2376" s="4"/>
      <c r="AY2376" s="4"/>
      <c r="AZ2376" s="4"/>
      <c r="BA2376" s="4"/>
      <c r="BB2376" s="4"/>
      <c r="BC2376" s="4"/>
      <c r="BD2376" s="4"/>
      <c r="BE2376" s="4"/>
      <c r="BF2376" s="4"/>
      <c r="BG2376" s="4"/>
      <c r="BH2376" s="4"/>
      <c r="BI2376" s="4"/>
      <c r="BJ2376" s="4"/>
      <c r="BK2376" s="4"/>
      <c r="BL2376" s="4"/>
      <c r="BM2376" s="4"/>
      <c r="BN2376" s="4"/>
      <c r="BO2376" s="4"/>
      <c r="BP2376" s="4"/>
      <c r="BQ2376" s="4"/>
      <c r="BR2376" s="4"/>
      <c r="BS2376" s="4"/>
      <c r="BT2376" s="4"/>
      <c r="BU2376" s="4"/>
    </row>
    <row r="2377" spans="29:73" s="1" customFormat="1" x14ac:dyDescent="0.25">
      <c r="AC2377" s="4"/>
      <c r="AD2377" s="4"/>
      <c r="AE2377" s="4"/>
      <c r="AF2377" s="4"/>
      <c r="AG2377" s="4"/>
      <c r="AH2377" s="4"/>
      <c r="AI2377" s="4"/>
      <c r="AJ2377" s="4"/>
      <c r="AK2377" s="4"/>
      <c r="AL2377" s="4"/>
      <c r="AM2377" s="4"/>
      <c r="AN2377" s="4"/>
      <c r="AO2377" s="4"/>
      <c r="AP2377" s="4"/>
      <c r="AQ2377" s="4"/>
      <c r="AR2377" s="4"/>
      <c r="AS2377" s="4"/>
      <c r="AT2377" s="4"/>
      <c r="AU2377" s="4"/>
      <c r="AV2377" s="4"/>
      <c r="AW2377" s="4"/>
      <c r="AX2377" s="4"/>
      <c r="AY2377" s="4"/>
      <c r="AZ2377" s="4"/>
      <c r="BA2377" s="4"/>
      <c r="BB2377" s="4"/>
      <c r="BC2377" s="4"/>
      <c r="BD2377" s="4"/>
      <c r="BE2377" s="4"/>
      <c r="BF2377" s="4"/>
      <c r="BG2377" s="4"/>
      <c r="BH2377" s="4"/>
      <c r="BI2377" s="4"/>
      <c r="BJ2377" s="4"/>
      <c r="BK2377" s="4"/>
      <c r="BL2377" s="4"/>
      <c r="BM2377" s="4"/>
      <c r="BN2377" s="4"/>
      <c r="BO2377" s="4"/>
      <c r="BP2377" s="4"/>
      <c r="BQ2377" s="4"/>
      <c r="BR2377" s="4"/>
      <c r="BS2377" s="4"/>
      <c r="BT2377" s="4"/>
      <c r="BU2377" s="4"/>
    </row>
    <row r="2378" spans="29:73" s="1" customFormat="1" x14ac:dyDescent="0.25">
      <c r="AC2378" s="4"/>
      <c r="AD2378" s="4"/>
      <c r="AE2378" s="4"/>
      <c r="AF2378" s="4"/>
      <c r="AG2378" s="4"/>
      <c r="AH2378" s="4"/>
      <c r="AI2378" s="4"/>
      <c r="AJ2378" s="4"/>
      <c r="AK2378" s="4"/>
      <c r="AL2378" s="4"/>
      <c r="AM2378" s="4"/>
      <c r="AN2378" s="4"/>
      <c r="AO2378" s="4"/>
      <c r="AP2378" s="4"/>
      <c r="AQ2378" s="4"/>
      <c r="AR2378" s="4"/>
      <c r="AS2378" s="4"/>
      <c r="AT2378" s="4"/>
      <c r="AU2378" s="4"/>
      <c r="AV2378" s="4"/>
      <c r="AW2378" s="4"/>
      <c r="AX2378" s="4"/>
      <c r="AY2378" s="4"/>
      <c r="AZ2378" s="4"/>
      <c r="BA2378" s="4"/>
      <c r="BB2378" s="4"/>
      <c r="BC2378" s="4"/>
      <c r="BD2378" s="4"/>
      <c r="BE2378" s="4"/>
      <c r="BF2378" s="4"/>
      <c r="BG2378" s="4"/>
      <c r="BH2378" s="4"/>
      <c r="BI2378" s="4"/>
      <c r="BJ2378" s="4"/>
      <c r="BK2378" s="4"/>
      <c r="BL2378" s="4"/>
      <c r="BM2378" s="4"/>
      <c r="BN2378" s="4"/>
      <c r="BO2378" s="4"/>
      <c r="BP2378" s="4"/>
      <c r="BQ2378" s="4"/>
      <c r="BR2378" s="4"/>
      <c r="BS2378" s="4"/>
      <c r="BT2378" s="4"/>
      <c r="BU2378" s="4"/>
    </row>
    <row r="2379" spans="29:73" s="1" customFormat="1" x14ac:dyDescent="0.25">
      <c r="AC2379" s="4"/>
      <c r="AD2379" s="4"/>
      <c r="AE2379" s="4"/>
      <c r="AF2379" s="4"/>
      <c r="AG2379" s="4"/>
      <c r="AH2379" s="4"/>
      <c r="AI2379" s="4"/>
      <c r="AJ2379" s="4"/>
      <c r="AK2379" s="4"/>
      <c r="AL2379" s="4"/>
      <c r="AM2379" s="4"/>
      <c r="AN2379" s="4"/>
      <c r="AO2379" s="4"/>
      <c r="AP2379" s="4"/>
      <c r="AQ2379" s="4"/>
      <c r="AR2379" s="4"/>
      <c r="AS2379" s="4"/>
      <c r="AT2379" s="4"/>
      <c r="AU2379" s="4"/>
      <c r="AV2379" s="4"/>
      <c r="AW2379" s="4"/>
      <c r="AX2379" s="4"/>
      <c r="AY2379" s="4"/>
      <c r="AZ2379" s="4"/>
      <c r="BA2379" s="4"/>
      <c r="BB2379" s="4"/>
      <c r="BC2379" s="4"/>
      <c r="BD2379" s="4"/>
      <c r="BE2379" s="4"/>
      <c r="BF2379" s="4"/>
      <c r="BG2379" s="4"/>
      <c r="BH2379" s="4"/>
      <c r="BI2379" s="4"/>
      <c r="BJ2379" s="4"/>
      <c r="BK2379" s="4"/>
      <c r="BL2379" s="4"/>
      <c r="BM2379" s="4"/>
      <c r="BN2379" s="4"/>
      <c r="BO2379" s="4"/>
      <c r="BP2379" s="4"/>
      <c r="BQ2379" s="4"/>
      <c r="BR2379" s="4"/>
      <c r="BS2379" s="4"/>
      <c r="BT2379" s="4"/>
      <c r="BU2379" s="4"/>
    </row>
    <row r="2380" spans="29:73" s="1" customFormat="1" x14ac:dyDescent="0.25">
      <c r="AC2380" s="4"/>
      <c r="AD2380" s="4"/>
      <c r="AE2380" s="4"/>
      <c r="AF2380" s="4"/>
      <c r="AG2380" s="4"/>
      <c r="AH2380" s="4"/>
      <c r="AI2380" s="4"/>
      <c r="AJ2380" s="4"/>
      <c r="AK2380" s="4"/>
      <c r="AL2380" s="4"/>
      <c r="AM2380" s="4"/>
      <c r="AN2380" s="4"/>
      <c r="AO2380" s="4"/>
      <c r="AP2380" s="4"/>
      <c r="AQ2380" s="4"/>
      <c r="AR2380" s="4"/>
      <c r="AS2380" s="4"/>
      <c r="AT2380" s="4"/>
      <c r="AU2380" s="4"/>
      <c r="AV2380" s="4"/>
      <c r="AW2380" s="4"/>
      <c r="AX2380" s="4"/>
      <c r="AY2380" s="4"/>
      <c r="AZ2380" s="4"/>
      <c r="BA2380" s="4"/>
      <c r="BB2380" s="4"/>
      <c r="BC2380" s="4"/>
      <c r="BD2380" s="4"/>
      <c r="BE2380" s="4"/>
      <c r="BF2380" s="4"/>
      <c r="BG2380" s="4"/>
      <c r="BH2380" s="4"/>
      <c r="BI2380" s="4"/>
      <c r="BJ2380" s="4"/>
      <c r="BK2380" s="4"/>
      <c r="BL2380" s="4"/>
      <c r="BM2380" s="4"/>
      <c r="BN2380" s="4"/>
      <c r="BO2380" s="4"/>
      <c r="BP2380" s="4"/>
      <c r="BQ2380" s="4"/>
      <c r="BR2380" s="4"/>
      <c r="BS2380" s="4"/>
      <c r="BT2380" s="4"/>
      <c r="BU2380" s="4"/>
    </row>
    <row r="2381" spans="29:73" s="1" customFormat="1" x14ac:dyDescent="0.25">
      <c r="AC2381" s="4"/>
      <c r="AD2381" s="4"/>
      <c r="AE2381" s="4"/>
      <c r="AF2381" s="4"/>
      <c r="AG2381" s="4"/>
      <c r="AH2381" s="4"/>
      <c r="AI2381" s="4"/>
      <c r="AJ2381" s="4"/>
      <c r="AK2381" s="4"/>
      <c r="AL2381" s="4"/>
      <c r="AM2381" s="4"/>
      <c r="AN2381" s="4"/>
      <c r="AO2381" s="4"/>
      <c r="AP2381" s="4"/>
      <c r="AQ2381" s="4"/>
      <c r="AR2381" s="4"/>
      <c r="AS2381" s="4"/>
      <c r="AT2381" s="4"/>
      <c r="AU2381" s="4"/>
      <c r="AV2381" s="4"/>
      <c r="AW2381" s="4"/>
      <c r="AX2381" s="4"/>
      <c r="AY2381" s="4"/>
      <c r="AZ2381" s="4"/>
      <c r="BA2381" s="4"/>
      <c r="BB2381" s="4"/>
      <c r="BC2381" s="4"/>
      <c r="BD2381" s="4"/>
      <c r="BE2381" s="4"/>
      <c r="BF2381" s="4"/>
      <c r="BG2381" s="4"/>
      <c r="BH2381" s="4"/>
      <c r="BI2381" s="4"/>
      <c r="BJ2381" s="4"/>
      <c r="BK2381" s="4"/>
      <c r="BL2381" s="4"/>
      <c r="BM2381" s="4"/>
      <c r="BN2381" s="4"/>
      <c r="BO2381" s="4"/>
      <c r="BP2381" s="4"/>
      <c r="BQ2381" s="4"/>
      <c r="BR2381" s="4"/>
      <c r="BS2381" s="4"/>
      <c r="BT2381" s="4"/>
      <c r="BU2381" s="4"/>
    </row>
    <row r="2382" spans="29:73" s="1" customFormat="1" x14ac:dyDescent="0.25">
      <c r="AC2382" s="4"/>
      <c r="AD2382" s="4"/>
      <c r="AE2382" s="4"/>
      <c r="AF2382" s="4"/>
      <c r="AG2382" s="4"/>
      <c r="AH2382" s="4"/>
      <c r="AI2382" s="4"/>
      <c r="AJ2382" s="4"/>
      <c r="AK2382" s="4"/>
      <c r="AL2382" s="4"/>
      <c r="AM2382" s="4"/>
      <c r="AN2382" s="4"/>
      <c r="AO2382" s="4"/>
      <c r="AP2382" s="4"/>
      <c r="AQ2382" s="4"/>
      <c r="AR2382" s="4"/>
      <c r="AS2382" s="4"/>
      <c r="AT2382" s="4"/>
      <c r="AU2382" s="4"/>
      <c r="AV2382" s="4"/>
      <c r="AW2382" s="4"/>
      <c r="AX2382" s="4"/>
      <c r="AY2382" s="4"/>
      <c r="AZ2382" s="4"/>
      <c r="BA2382" s="4"/>
      <c r="BB2382" s="4"/>
      <c r="BC2382" s="4"/>
      <c r="BD2382" s="4"/>
      <c r="BE2382" s="4"/>
      <c r="BF2382" s="4"/>
      <c r="BG2382" s="4"/>
      <c r="BH2382" s="4"/>
      <c r="BI2382" s="4"/>
      <c r="BJ2382" s="4"/>
      <c r="BK2382" s="4"/>
      <c r="BL2382" s="4"/>
      <c r="BM2382" s="4"/>
      <c r="BN2382" s="4"/>
      <c r="BO2382" s="4"/>
      <c r="BP2382" s="4"/>
      <c r="BQ2382" s="4"/>
      <c r="BR2382" s="4"/>
      <c r="BS2382" s="4"/>
      <c r="BT2382" s="4"/>
      <c r="BU2382" s="4"/>
    </row>
    <row r="2383" spans="29:73" s="1" customFormat="1" x14ac:dyDescent="0.25">
      <c r="AC2383" s="4"/>
      <c r="AD2383" s="4"/>
      <c r="AE2383" s="4"/>
      <c r="AF2383" s="4"/>
      <c r="AG2383" s="4"/>
      <c r="AH2383" s="4"/>
      <c r="AI2383" s="4"/>
      <c r="AJ2383" s="4"/>
      <c r="AK2383" s="4"/>
      <c r="AL2383" s="4"/>
      <c r="AM2383" s="4"/>
      <c r="AN2383" s="4"/>
      <c r="AO2383" s="4"/>
      <c r="AP2383" s="4"/>
      <c r="AQ2383" s="4"/>
      <c r="AR2383" s="4"/>
      <c r="AS2383" s="4"/>
      <c r="AT2383" s="4"/>
      <c r="AU2383" s="4"/>
      <c r="AV2383" s="4"/>
      <c r="AW2383" s="4"/>
      <c r="AX2383" s="4"/>
      <c r="AY2383" s="4"/>
      <c r="AZ2383" s="4"/>
      <c r="BA2383" s="4"/>
      <c r="BB2383" s="4"/>
      <c r="BC2383" s="4"/>
      <c r="BD2383" s="4"/>
      <c r="BE2383" s="4"/>
      <c r="BF2383" s="4"/>
      <c r="BG2383" s="4"/>
      <c r="BH2383" s="4"/>
      <c r="BI2383" s="4"/>
      <c r="BJ2383" s="4"/>
      <c r="BK2383" s="4"/>
      <c r="BL2383" s="4"/>
      <c r="BM2383" s="4"/>
      <c r="BN2383" s="4"/>
      <c r="BO2383" s="4"/>
      <c r="BP2383" s="4"/>
      <c r="BQ2383" s="4"/>
      <c r="BR2383" s="4"/>
      <c r="BS2383" s="4"/>
      <c r="BT2383" s="4"/>
      <c r="BU2383" s="4"/>
    </row>
    <row r="2384" spans="29:73" s="1" customFormat="1" x14ac:dyDescent="0.25">
      <c r="AC2384" s="4"/>
      <c r="AD2384" s="4"/>
      <c r="AE2384" s="4"/>
      <c r="AF2384" s="4"/>
      <c r="AG2384" s="4"/>
      <c r="AH2384" s="4"/>
      <c r="AI2384" s="4"/>
      <c r="AJ2384" s="4"/>
      <c r="AK2384" s="4"/>
      <c r="AL2384" s="4"/>
      <c r="AM2384" s="4"/>
      <c r="AN2384" s="4"/>
      <c r="AO2384" s="4"/>
      <c r="AP2384" s="4"/>
      <c r="AQ2384" s="4"/>
      <c r="AR2384" s="4"/>
      <c r="AS2384" s="4"/>
      <c r="AT2384" s="4"/>
      <c r="AU2384" s="4"/>
      <c r="AV2384" s="4"/>
      <c r="AW2384" s="4"/>
      <c r="AX2384" s="4"/>
      <c r="AY2384" s="4"/>
      <c r="AZ2384" s="4"/>
      <c r="BA2384" s="4"/>
      <c r="BB2384" s="4"/>
      <c r="BC2384" s="4"/>
      <c r="BD2384" s="4"/>
      <c r="BE2384" s="4"/>
      <c r="BF2384" s="4"/>
      <c r="BG2384" s="4"/>
      <c r="BH2384" s="4"/>
      <c r="BI2384" s="4"/>
      <c r="BJ2384" s="4"/>
      <c r="BK2384" s="4"/>
      <c r="BL2384" s="4"/>
      <c r="BM2384" s="4"/>
      <c r="BN2384" s="4"/>
      <c r="BO2384" s="4"/>
      <c r="BP2384" s="4"/>
      <c r="BQ2384" s="4"/>
      <c r="BR2384" s="4"/>
      <c r="BS2384" s="4"/>
      <c r="BT2384" s="4"/>
      <c r="BU2384" s="4"/>
    </row>
    <row r="2385" spans="29:73" s="1" customFormat="1" x14ac:dyDescent="0.25">
      <c r="AC2385" s="4"/>
      <c r="AD2385" s="4"/>
      <c r="AE2385" s="4"/>
      <c r="AF2385" s="4"/>
      <c r="AG2385" s="4"/>
      <c r="AH2385" s="4"/>
      <c r="AI2385" s="4"/>
      <c r="AJ2385" s="4"/>
      <c r="AK2385" s="4"/>
      <c r="AL2385" s="4"/>
      <c r="AM2385" s="4"/>
      <c r="AN2385" s="4"/>
      <c r="AO2385" s="4"/>
      <c r="AP2385" s="4"/>
      <c r="AQ2385" s="4"/>
      <c r="AR2385" s="4"/>
      <c r="AS2385" s="4"/>
      <c r="AT2385" s="4"/>
      <c r="AU2385" s="4"/>
      <c r="AV2385" s="4"/>
      <c r="AW2385" s="4"/>
      <c r="AX2385" s="4"/>
      <c r="AY2385" s="4"/>
      <c r="AZ2385" s="4"/>
      <c r="BA2385" s="4"/>
      <c r="BB2385" s="4"/>
      <c r="BC2385" s="4"/>
      <c r="BD2385" s="4"/>
      <c r="BE2385" s="4"/>
      <c r="BF2385" s="4"/>
      <c r="BG2385" s="4"/>
      <c r="BH2385" s="4"/>
      <c r="BI2385" s="4"/>
      <c r="BJ2385" s="4"/>
      <c r="BK2385" s="4"/>
      <c r="BL2385" s="4"/>
      <c r="BM2385" s="4"/>
      <c r="BN2385" s="4"/>
      <c r="BO2385" s="4"/>
      <c r="BP2385" s="4"/>
      <c r="BQ2385" s="4"/>
      <c r="BR2385" s="4"/>
      <c r="BS2385" s="4"/>
      <c r="BT2385" s="4"/>
      <c r="BU2385" s="4"/>
    </row>
    <row r="2386" spans="29:73" s="1" customFormat="1" x14ac:dyDescent="0.25">
      <c r="AC2386" s="4"/>
      <c r="AD2386" s="4"/>
      <c r="AE2386" s="4"/>
      <c r="AF2386" s="4"/>
      <c r="AG2386" s="4"/>
      <c r="AH2386" s="4"/>
      <c r="AI2386" s="4"/>
      <c r="AJ2386" s="4"/>
      <c r="AK2386" s="4"/>
      <c r="AL2386" s="4"/>
      <c r="AM2386" s="4"/>
      <c r="AN2386" s="4"/>
      <c r="AO2386" s="4"/>
      <c r="AP2386" s="4"/>
      <c r="AQ2386" s="4"/>
      <c r="AR2386" s="4"/>
      <c r="AS2386" s="4"/>
      <c r="AT2386" s="4"/>
      <c r="AU2386" s="4"/>
      <c r="AV2386" s="4"/>
      <c r="AW2386" s="4"/>
      <c r="AX2386" s="4"/>
      <c r="AY2386" s="4"/>
      <c r="AZ2386" s="4"/>
      <c r="BA2386" s="4"/>
      <c r="BB2386" s="4"/>
      <c r="BC2386" s="4"/>
      <c r="BD2386" s="4"/>
      <c r="BE2386" s="4"/>
      <c r="BF2386" s="4"/>
      <c r="BG2386" s="4"/>
      <c r="BH2386" s="4"/>
      <c r="BI2386" s="4"/>
      <c r="BJ2386" s="4"/>
      <c r="BK2386" s="4"/>
      <c r="BL2386" s="4"/>
      <c r="BM2386" s="4"/>
      <c r="BN2386" s="4"/>
      <c r="BO2386" s="4"/>
      <c r="BP2386" s="4"/>
      <c r="BQ2386" s="4"/>
      <c r="BR2386" s="4"/>
      <c r="BS2386" s="4"/>
      <c r="BT2386" s="4"/>
      <c r="BU2386" s="4"/>
    </row>
    <row r="2387" spans="29:73" s="1" customFormat="1" x14ac:dyDescent="0.25">
      <c r="AC2387" s="4"/>
      <c r="AD2387" s="4"/>
      <c r="AE2387" s="4"/>
      <c r="AF2387" s="4"/>
      <c r="AG2387" s="4"/>
      <c r="AH2387" s="4"/>
      <c r="AI2387" s="4"/>
      <c r="AJ2387" s="4"/>
      <c r="AK2387" s="4"/>
      <c r="AL2387" s="4"/>
      <c r="AM2387" s="4"/>
      <c r="AN2387" s="4"/>
      <c r="AO2387" s="4"/>
      <c r="AP2387" s="4"/>
      <c r="AQ2387" s="4"/>
      <c r="AR2387" s="4"/>
      <c r="AS2387" s="4"/>
      <c r="AT2387" s="4"/>
      <c r="AU2387" s="4"/>
      <c r="AV2387" s="4"/>
      <c r="AW2387" s="4"/>
      <c r="AX2387" s="4"/>
      <c r="AY2387" s="4"/>
      <c r="AZ2387" s="4"/>
      <c r="BA2387" s="4"/>
      <c r="BB2387" s="4"/>
      <c r="BC2387" s="4"/>
      <c r="BD2387" s="4"/>
      <c r="BE2387" s="4"/>
      <c r="BF2387" s="4"/>
      <c r="BG2387" s="4"/>
      <c r="BH2387" s="4"/>
      <c r="BI2387" s="4"/>
      <c r="BJ2387" s="4"/>
      <c r="BK2387" s="4"/>
      <c r="BL2387" s="4"/>
      <c r="BM2387" s="4"/>
      <c r="BN2387" s="4"/>
      <c r="BO2387" s="4"/>
      <c r="BP2387" s="4"/>
      <c r="BQ2387" s="4"/>
      <c r="BR2387" s="4"/>
      <c r="BS2387" s="4"/>
      <c r="BT2387" s="4"/>
      <c r="BU2387" s="4"/>
    </row>
    <row r="2388" spans="29:73" s="1" customFormat="1" x14ac:dyDescent="0.25">
      <c r="AC2388" s="4"/>
      <c r="AD2388" s="4"/>
      <c r="AE2388" s="4"/>
      <c r="AF2388" s="4"/>
      <c r="AG2388" s="4"/>
      <c r="AH2388" s="4"/>
      <c r="AI2388" s="4"/>
      <c r="AJ2388" s="4"/>
      <c r="AK2388" s="4"/>
      <c r="AL2388" s="4"/>
      <c r="AM2388" s="4"/>
      <c r="AN2388" s="4"/>
      <c r="AO2388" s="4"/>
      <c r="AP2388" s="4"/>
      <c r="AQ2388" s="4"/>
      <c r="AR2388" s="4"/>
      <c r="AS2388" s="4"/>
      <c r="AT2388" s="4"/>
      <c r="AU2388" s="4"/>
      <c r="AV2388" s="4"/>
      <c r="AW2388" s="4"/>
      <c r="AX2388" s="4"/>
      <c r="AY2388" s="4"/>
      <c r="AZ2388" s="4"/>
      <c r="BA2388" s="4"/>
      <c r="BB2388" s="4"/>
      <c r="BC2388" s="4"/>
      <c r="BD2388" s="4"/>
      <c r="BE2388" s="4"/>
      <c r="BF2388" s="4"/>
      <c r="BG2388" s="4"/>
      <c r="BH2388" s="4"/>
      <c r="BI2388" s="4"/>
      <c r="BJ2388" s="4"/>
      <c r="BK2388" s="4"/>
      <c r="BL2388" s="4"/>
      <c r="BM2388" s="4"/>
      <c r="BN2388" s="4"/>
      <c r="BO2388" s="4"/>
      <c r="BP2388" s="4"/>
      <c r="BQ2388" s="4"/>
      <c r="BR2388" s="4"/>
      <c r="BS2388" s="4"/>
      <c r="BT2388" s="4"/>
      <c r="BU2388" s="4"/>
    </row>
    <row r="2389" spans="29:73" s="1" customFormat="1" x14ac:dyDescent="0.25">
      <c r="AC2389" s="4"/>
      <c r="AD2389" s="4"/>
      <c r="AE2389" s="4"/>
      <c r="AF2389" s="4"/>
      <c r="AG2389" s="4"/>
      <c r="AH2389" s="4"/>
      <c r="AI2389" s="4"/>
      <c r="AJ2389" s="4"/>
      <c r="AK2389" s="4"/>
      <c r="AL2389" s="4"/>
      <c r="AM2389" s="4"/>
      <c r="AN2389" s="4"/>
      <c r="AO2389" s="4"/>
      <c r="AP2389" s="4"/>
      <c r="AQ2389" s="4"/>
      <c r="AR2389" s="4"/>
      <c r="AS2389" s="4"/>
      <c r="AT2389" s="4"/>
      <c r="AU2389" s="4"/>
      <c r="AV2389" s="4"/>
      <c r="AW2389" s="4"/>
      <c r="AX2389" s="4"/>
      <c r="AY2389" s="4"/>
      <c r="AZ2389" s="4"/>
      <c r="BA2389" s="4"/>
      <c r="BB2389" s="4"/>
      <c r="BC2389" s="4"/>
      <c r="BD2389" s="4"/>
      <c r="BE2389" s="4"/>
      <c r="BF2389" s="4"/>
      <c r="BG2389" s="4"/>
      <c r="BH2389" s="4"/>
      <c r="BI2389" s="4"/>
      <c r="BJ2389" s="4"/>
      <c r="BK2389" s="4"/>
      <c r="BL2389" s="4"/>
      <c r="BM2389" s="4"/>
      <c r="BN2389" s="4"/>
      <c r="BO2389" s="4"/>
      <c r="BP2389" s="4"/>
      <c r="BQ2389" s="4"/>
      <c r="BR2389" s="4"/>
      <c r="BS2389" s="4"/>
      <c r="BT2389" s="4"/>
      <c r="BU2389" s="4"/>
    </row>
    <row r="2390" spans="29:73" s="1" customFormat="1" x14ac:dyDescent="0.25">
      <c r="AC2390" s="4"/>
      <c r="AD2390" s="4"/>
      <c r="AE2390" s="4"/>
      <c r="AF2390" s="4"/>
      <c r="AG2390" s="4"/>
      <c r="AH2390" s="4"/>
      <c r="AI2390" s="4"/>
      <c r="AJ2390" s="4"/>
      <c r="AK2390" s="4"/>
      <c r="AL2390" s="4"/>
      <c r="AM2390" s="4"/>
      <c r="AN2390" s="4"/>
      <c r="AO2390" s="4"/>
      <c r="AP2390" s="4"/>
      <c r="AQ2390" s="4"/>
      <c r="AR2390" s="4"/>
      <c r="AS2390" s="4"/>
      <c r="AT2390" s="4"/>
      <c r="AU2390" s="4"/>
      <c r="AV2390" s="4"/>
      <c r="AW2390" s="4"/>
      <c r="AX2390" s="4"/>
      <c r="AY2390" s="4"/>
      <c r="AZ2390" s="4"/>
      <c r="BA2390" s="4"/>
      <c r="BB2390" s="4"/>
      <c r="BC2390" s="4"/>
      <c r="BD2390" s="4"/>
      <c r="BE2390" s="4"/>
      <c r="BF2390" s="4"/>
      <c r="BG2390" s="4"/>
      <c r="BH2390" s="4"/>
      <c r="BI2390" s="4"/>
      <c r="BJ2390" s="4"/>
      <c r="BK2390" s="4"/>
      <c r="BL2390" s="4"/>
      <c r="BM2390" s="4"/>
      <c r="BN2390" s="4"/>
      <c r="BO2390" s="4"/>
      <c r="BP2390" s="4"/>
      <c r="BQ2390" s="4"/>
      <c r="BR2390" s="4"/>
      <c r="BS2390" s="4"/>
      <c r="BT2390" s="4"/>
      <c r="BU2390" s="4"/>
    </row>
    <row r="2391" spans="29:73" s="1" customFormat="1" x14ac:dyDescent="0.25">
      <c r="AC2391" s="4"/>
      <c r="AD2391" s="4"/>
      <c r="AE2391" s="4"/>
      <c r="AF2391" s="4"/>
      <c r="AG2391" s="4"/>
      <c r="AH2391" s="4"/>
      <c r="AI2391" s="4"/>
      <c r="AJ2391" s="4"/>
      <c r="AK2391" s="4"/>
      <c r="AL2391" s="4"/>
      <c r="AM2391" s="4"/>
      <c r="AN2391" s="4"/>
      <c r="AO2391" s="4"/>
      <c r="AP2391" s="4"/>
      <c r="AQ2391" s="4"/>
      <c r="AR2391" s="4"/>
      <c r="AS2391" s="4"/>
      <c r="AT2391" s="4"/>
      <c r="AU2391" s="4"/>
      <c r="AV2391" s="4"/>
      <c r="AW2391" s="4"/>
      <c r="AX2391" s="4"/>
      <c r="AY2391" s="4"/>
      <c r="AZ2391" s="4"/>
      <c r="BA2391" s="4"/>
      <c r="BB2391" s="4"/>
      <c r="BC2391" s="4"/>
      <c r="BD2391" s="4"/>
      <c r="BE2391" s="4"/>
      <c r="BF2391" s="4"/>
      <c r="BG2391" s="4"/>
      <c r="BH2391" s="4"/>
      <c r="BI2391" s="4"/>
      <c r="BJ2391" s="4"/>
      <c r="BK2391" s="4"/>
      <c r="BL2391" s="4"/>
      <c r="BM2391" s="4"/>
      <c r="BN2391" s="4"/>
      <c r="BO2391" s="4"/>
      <c r="BP2391" s="4"/>
      <c r="BQ2391" s="4"/>
      <c r="BR2391" s="4"/>
      <c r="BS2391" s="4"/>
      <c r="BT2391" s="4"/>
      <c r="BU2391" s="4"/>
    </row>
    <row r="2392" spans="29:73" s="1" customFormat="1" x14ac:dyDescent="0.25">
      <c r="AC2392" s="4"/>
      <c r="AD2392" s="4"/>
      <c r="AE2392" s="4"/>
      <c r="AF2392" s="4"/>
      <c r="AG2392" s="4"/>
      <c r="AH2392" s="4"/>
      <c r="AI2392" s="4"/>
      <c r="AJ2392" s="4"/>
      <c r="AK2392" s="4"/>
      <c r="AL2392" s="4"/>
      <c r="AM2392" s="4"/>
      <c r="AN2392" s="4"/>
      <c r="AO2392" s="4"/>
      <c r="AP2392" s="4"/>
      <c r="AQ2392" s="4"/>
      <c r="AR2392" s="4"/>
      <c r="AS2392" s="4"/>
      <c r="AT2392" s="4"/>
      <c r="AU2392" s="4"/>
      <c r="AV2392" s="4"/>
      <c r="AW2392" s="4"/>
      <c r="AX2392" s="4"/>
      <c r="AY2392" s="4"/>
      <c r="AZ2392" s="4"/>
      <c r="BA2392" s="4"/>
      <c r="BB2392" s="4"/>
      <c r="BC2392" s="4"/>
      <c r="BD2392" s="4"/>
      <c r="BE2392" s="4"/>
      <c r="BF2392" s="4"/>
      <c r="BG2392" s="4"/>
      <c r="BH2392" s="4"/>
      <c r="BI2392" s="4"/>
      <c r="BJ2392" s="4"/>
      <c r="BK2392" s="4"/>
      <c r="BL2392" s="4"/>
      <c r="BM2392" s="4"/>
      <c r="BN2392" s="4"/>
      <c r="BO2392" s="4"/>
      <c r="BP2392" s="4"/>
      <c r="BQ2392" s="4"/>
      <c r="BR2392" s="4"/>
      <c r="BS2392" s="4"/>
      <c r="BT2392" s="4"/>
      <c r="BU2392" s="4"/>
    </row>
    <row r="2393" spans="29:73" s="1" customFormat="1" x14ac:dyDescent="0.25">
      <c r="AC2393" s="4"/>
      <c r="AD2393" s="4"/>
      <c r="AE2393" s="4"/>
      <c r="AF2393" s="4"/>
      <c r="AG2393" s="4"/>
      <c r="AH2393" s="4"/>
      <c r="AI2393" s="4"/>
      <c r="AJ2393" s="4"/>
      <c r="AK2393" s="4"/>
      <c r="AL2393" s="4"/>
      <c r="AM2393" s="4"/>
      <c r="AN2393" s="4"/>
      <c r="AO2393" s="4"/>
      <c r="AP2393" s="4"/>
      <c r="AQ2393" s="4"/>
      <c r="AR2393" s="4"/>
      <c r="AS2393" s="4"/>
      <c r="AT2393" s="4"/>
      <c r="AU2393" s="4"/>
      <c r="AV2393" s="4"/>
      <c r="AW2393" s="4"/>
      <c r="AX2393" s="4"/>
      <c r="AY2393" s="4"/>
      <c r="AZ2393" s="4"/>
      <c r="BA2393" s="4"/>
      <c r="BB2393" s="4"/>
      <c r="BC2393" s="4"/>
      <c r="BD2393" s="4"/>
      <c r="BE2393" s="4"/>
      <c r="BF2393" s="4"/>
      <c r="BG2393" s="4"/>
      <c r="BH2393" s="4"/>
      <c r="BI2393" s="4"/>
      <c r="BJ2393" s="4"/>
      <c r="BK2393" s="4"/>
      <c r="BL2393" s="4"/>
      <c r="BM2393" s="4"/>
      <c r="BN2393" s="4"/>
      <c r="BO2393" s="4"/>
      <c r="BP2393" s="4"/>
      <c r="BQ2393" s="4"/>
      <c r="BR2393" s="4"/>
      <c r="BS2393" s="4"/>
      <c r="BT2393" s="4"/>
      <c r="BU2393" s="4"/>
    </row>
    <row r="2394" spans="29:73" s="1" customFormat="1" x14ac:dyDescent="0.25">
      <c r="AC2394" s="4"/>
      <c r="AD2394" s="4"/>
      <c r="AE2394" s="4"/>
      <c r="AF2394" s="4"/>
      <c r="AG2394" s="4"/>
      <c r="AH2394" s="4"/>
      <c r="AI2394" s="4"/>
      <c r="AJ2394" s="4"/>
      <c r="AK2394" s="4"/>
      <c r="AL2394" s="4"/>
      <c r="AM2394" s="4"/>
      <c r="AN2394" s="4"/>
      <c r="AO2394" s="4"/>
      <c r="AP2394" s="4"/>
      <c r="AQ2394" s="4"/>
      <c r="AR2394" s="4"/>
      <c r="AS2394" s="4"/>
      <c r="AT2394" s="4"/>
      <c r="AU2394" s="4"/>
      <c r="AV2394" s="4"/>
      <c r="AW2394" s="4"/>
      <c r="AX2394" s="4"/>
      <c r="AY2394" s="4"/>
      <c r="AZ2394" s="4"/>
      <c r="BA2394" s="4"/>
      <c r="BB2394" s="4"/>
      <c r="BC2394" s="4"/>
      <c r="BD2394" s="4"/>
      <c r="BE2394" s="4"/>
      <c r="BF2394" s="4"/>
      <c r="BG2394" s="4"/>
      <c r="BH2394" s="4"/>
      <c r="BI2394" s="4"/>
      <c r="BJ2394" s="4"/>
      <c r="BK2394" s="4"/>
      <c r="BL2394" s="4"/>
      <c r="BM2394" s="4"/>
      <c r="BN2394" s="4"/>
      <c r="BO2394" s="4"/>
      <c r="BP2394" s="4"/>
      <c r="BQ2394" s="4"/>
      <c r="BR2394" s="4"/>
      <c r="BS2394" s="4"/>
      <c r="BT2394" s="4"/>
      <c r="BU2394" s="4"/>
    </row>
    <row r="2395" spans="29:73" s="1" customFormat="1" x14ac:dyDescent="0.25">
      <c r="AC2395" s="4"/>
      <c r="AD2395" s="4"/>
      <c r="AE2395" s="4"/>
      <c r="AF2395" s="4"/>
      <c r="AG2395" s="4"/>
      <c r="AH2395" s="4"/>
      <c r="AI2395" s="4"/>
      <c r="AJ2395" s="4"/>
      <c r="AK2395" s="4"/>
      <c r="AL2395" s="4"/>
      <c r="AM2395" s="4"/>
      <c r="AN2395" s="4"/>
      <c r="AO2395" s="4"/>
      <c r="AP2395" s="4"/>
      <c r="AQ2395" s="4"/>
      <c r="AR2395" s="4"/>
      <c r="AS2395" s="4"/>
      <c r="AT2395" s="4"/>
      <c r="AU2395" s="4"/>
      <c r="AV2395" s="4"/>
      <c r="AW2395" s="4"/>
      <c r="AX2395" s="4"/>
      <c r="AY2395" s="4"/>
      <c r="AZ2395" s="4"/>
      <c r="BA2395" s="4"/>
      <c r="BB2395" s="4"/>
      <c r="BC2395" s="4"/>
      <c r="BD2395" s="4"/>
      <c r="BE2395" s="4"/>
      <c r="BF2395" s="4"/>
      <c r="BG2395" s="4"/>
      <c r="BH2395" s="4"/>
      <c r="BI2395" s="4"/>
      <c r="BJ2395" s="4"/>
      <c r="BK2395" s="4"/>
      <c r="BL2395" s="4"/>
      <c r="BM2395" s="4"/>
      <c r="BN2395" s="4"/>
      <c r="BO2395" s="4"/>
      <c r="BP2395" s="4"/>
      <c r="BQ2395" s="4"/>
      <c r="BR2395" s="4"/>
      <c r="BS2395" s="4"/>
      <c r="BT2395" s="4"/>
      <c r="BU2395" s="4"/>
    </row>
    <row r="2396" spans="29:73" s="1" customFormat="1" x14ac:dyDescent="0.25">
      <c r="AC2396" s="4"/>
      <c r="AD2396" s="4"/>
      <c r="AE2396" s="4"/>
      <c r="AF2396" s="4"/>
      <c r="AG2396" s="4"/>
      <c r="AH2396" s="4"/>
      <c r="AI2396" s="4"/>
      <c r="AJ2396" s="4"/>
      <c r="AK2396" s="4"/>
      <c r="AL2396" s="4"/>
      <c r="AM2396" s="4"/>
      <c r="AN2396" s="4"/>
      <c r="AO2396" s="4"/>
      <c r="AP2396" s="4"/>
      <c r="AQ2396" s="4"/>
      <c r="AR2396" s="4"/>
      <c r="AS2396" s="4"/>
      <c r="AT2396" s="4"/>
      <c r="AU2396" s="4"/>
      <c r="AV2396" s="4"/>
      <c r="AW2396" s="4"/>
      <c r="AX2396" s="4"/>
      <c r="AY2396" s="4"/>
      <c r="AZ2396" s="4"/>
      <c r="BA2396" s="4"/>
      <c r="BB2396" s="4"/>
      <c r="BC2396" s="4"/>
      <c r="BD2396" s="4"/>
      <c r="BE2396" s="4"/>
      <c r="BF2396" s="4"/>
      <c r="BG2396" s="4"/>
      <c r="BH2396" s="4"/>
      <c r="BI2396" s="4"/>
      <c r="BJ2396" s="4"/>
      <c r="BK2396" s="4"/>
      <c r="BL2396" s="4"/>
      <c r="BM2396" s="4"/>
      <c r="BN2396" s="4"/>
      <c r="BO2396" s="4"/>
      <c r="BP2396" s="4"/>
      <c r="BQ2396" s="4"/>
      <c r="BR2396" s="4"/>
      <c r="BS2396" s="4"/>
      <c r="BT2396" s="4"/>
      <c r="BU2396" s="4"/>
    </row>
    <row r="2397" spans="29:73" s="1" customFormat="1" x14ac:dyDescent="0.25">
      <c r="AC2397" s="4"/>
      <c r="AD2397" s="4"/>
      <c r="AE2397" s="4"/>
      <c r="AF2397" s="4"/>
      <c r="AG2397" s="4"/>
      <c r="AH2397" s="4"/>
      <c r="AI2397" s="4"/>
      <c r="AJ2397" s="4"/>
      <c r="AK2397" s="4"/>
      <c r="AL2397" s="4"/>
      <c r="AM2397" s="4"/>
      <c r="AN2397" s="4"/>
      <c r="AO2397" s="4"/>
      <c r="AP2397" s="4"/>
      <c r="AQ2397" s="4"/>
      <c r="AR2397" s="4"/>
      <c r="AS2397" s="4"/>
      <c r="AT2397" s="4"/>
      <c r="AU2397" s="4"/>
      <c r="AV2397" s="4"/>
      <c r="AW2397" s="4"/>
      <c r="AX2397" s="4"/>
      <c r="AY2397" s="4"/>
      <c r="AZ2397" s="4"/>
      <c r="BA2397" s="4"/>
      <c r="BB2397" s="4"/>
      <c r="BC2397" s="4"/>
      <c r="BD2397" s="4"/>
      <c r="BE2397" s="4"/>
      <c r="BF2397" s="4"/>
      <c r="BG2397" s="4"/>
      <c r="BH2397" s="4"/>
      <c r="BI2397" s="4"/>
      <c r="BJ2397" s="4"/>
      <c r="BK2397" s="4"/>
      <c r="BL2397" s="4"/>
      <c r="BM2397" s="4"/>
      <c r="BN2397" s="4"/>
      <c r="BO2397" s="4"/>
      <c r="BP2397" s="4"/>
      <c r="BQ2397" s="4"/>
      <c r="BR2397" s="4"/>
      <c r="BS2397" s="4"/>
      <c r="BT2397" s="4"/>
      <c r="BU2397" s="4"/>
    </row>
    <row r="2398" spans="29:73" s="1" customFormat="1" x14ac:dyDescent="0.25">
      <c r="AC2398" s="4"/>
      <c r="AD2398" s="4"/>
      <c r="AE2398" s="4"/>
      <c r="AF2398" s="4"/>
      <c r="AG2398" s="4"/>
      <c r="AH2398" s="4"/>
      <c r="AI2398" s="4"/>
      <c r="AJ2398" s="4"/>
      <c r="AK2398" s="4"/>
      <c r="AL2398" s="4"/>
      <c r="AM2398" s="4"/>
      <c r="AN2398" s="4"/>
      <c r="AO2398" s="4"/>
      <c r="AP2398" s="4"/>
      <c r="AQ2398" s="4"/>
      <c r="AR2398" s="4"/>
      <c r="AS2398" s="4"/>
      <c r="AT2398" s="4"/>
      <c r="AU2398" s="4"/>
      <c r="AV2398" s="4"/>
      <c r="AW2398" s="4"/>
      <c r="AX2398" s="4"/>
      <c r="AY2398" s="4"/>
      <c r="AZ2398" s="4"/>
      <c r="BA2398" s="4"/>
      <c r="BB2398" s="4"/>
      <c r="BC2398" s="4"/>
      <c r="BD2398" s="4"/>
      <c r="BE2398" s="4"/>
      <c r="BF2398" s="4"/>
      <c r="BG2398" s="4"/>
      <c r="BH2398" s="4"/>
      <c r="BI2398" s="4"/>
      <c r="BJ2398" s="4"/>
      <c r="BK2398" s="4"/>
      <c r="BL2398" s="4"/>
      <c r="BM2398" s="4"/>
      <c r="BN2398" s="4"/>
      <c r="BO2398" s="4"/>
      <c r="BP2398" s="4"/>
      <c r="BQ2398" s="4"/>
      <c r="BR2398" s="4"/>
      <c r="BS2398" s="4"/>
      <c r="BT2398" s="4"/>
      <c r="BU2398" s="4"/>
    </row>
    <row r="2399" spans="29:73" s="1" customFormat="1" x14ac:dyDescent="0.25">
      <c r="AC2399" s="4"/>
      <c r="AD2399" s="4"/>
      <c r="AE2399" s="4"/>
      <c r="AF2399" s="4"/>
      <c r="AG2399" s="4"/>
      <c r="AH2399" s="4"/>
      <c r="AI2399" s="4"/>
      <c r="AJ2399" s="4"/>
      <c r="AK2399" s="4"/>
      <c r="AL2399" s="4"/>
      <c r="AM2399" s="4"/>
      <c r="AN2399" s="4"/>
      <c r="AO2399" s="4"/>
      <c r="AP2399" s="4"/>
      <c r="AQ2399" s="4"/>
      <c r="AR2399" s="4"/>
      <c r="AS2399" s="4"/>
      <c r="AT2399" s="4"/>
      <c r="AU2399" s="4"/>
      <c r="AV2399" s="4"/>
      <c r="AW2399" s="4"/>
      <c r="AX2399" s="4"/>
      <c r="AY2399" s="4"/>
      <c r="AZ2399" s="4"/>
      <c r="BA2399" s="4"/>
      <c r="BB2399" s="4"/>
      <c r="BC2399" s="4"/>
      <c r="BD2399" s="4"/>
      <c r="BE2399" s="4"/>
      <c r="BF2399" s="4"/>
      <c r="BG2399" s="4"/>
      <c r="BH2399" s="4"/>
      <c r="BI2399" s="4"/>
      <c r="BJ2399" s="4"/>
      <c r="BK2399" s="4"/>
      <c r="BL2399" s="4"/>
      <c r="BM2399" s="4"/>
      <c r="BN2399" s="4"/>
      <c r="BO2399" s="4"/>
      <c r="BP2399" s="4"/>
      <c r="BQ2399" s="4"/>
      <c r="BR2399" s="4"/>
      <c r="BS2399" s="4"/>
      <c r="BT2399" s="4"/>
      <c r="BU2399" s="4"/>
    </row>
    <row r="2400" spans="29:73" s="1" customFormat="1" x14ac:dyDescent="0.25">
      <c r="AC2400" s="4"/>
      <c r="AD2400" s="4"/>
      <c r="AE2400" s="4"/>
      <c r="AF2400" s="4"/>
      <c r="AG2400" s="4"/>
      <c r="AH2400" s="4"/>
      <c r="AI2400" s="4"/>
      <c r="AJ2400" s="4"/>
      <c r="AK2400" s="4"/>
      <c r="AL2400" s="4"/>
      <c r="AM2400" s="4"/>
      <c r="AN2400" s="4"/>
      <c r="AO2400" s="4"/>
      <c r="AP2400" s="4"/>
      <c r="AQ2400" s="4"/>
      <c r="AR2400" s="4"/>
      <c r="AS2400" s="4"/>
      <c r="AT2400" s="4"/>
      <c r="AU2400" s="4"/>
      <c r="AV2400" s="4"/>
      <c r="AW2400" s="4"/>
      <c r="AX2400" s="4"/>
      <c r="AY2400" s="4"/>
      <c r="AZ2400" s="4"/>
      <c r="BA2400" s="4"/>
      <c r="BB2400" s="4"/>
      <c r="BC2400" s="4"/>
      <c r="BD2400" s="4"/>
      <c r="BE2400" s="4"/>
      <c r="BF2400" s="4"/>
      <c r="BG2400" s="4"/>
      <c r="BH2400" s="4"/>
      <c r="BI2400" s="4"/>
      <c r="BJ2400" s="4"/>
      <c r="BK2400" s="4"/>
      <c r="BL2400" s="4"/>
      <c r="BM2400" s="4"/>
      <c r="BN2400" s="4"/>
      <c r="BO2400" s="4"/>
      <c r="BP2400" s="4"/>
      <c r="BQ2400" s="4"/>
      <c r="BR2400" s="4"/>
      <c r="BS2400" s="4"/>
      <c r="BT2400" s="4"/>
      <c r="BU2400" s="4"/>
    </row>
    <row r="2401" spans="29:73" s="1" customFormat="1" x14ac:dyDescent="0.25">
      <c r="AC2401" s="4"/>
      <c r="AD2401" s="4"/>
      <c r="AE2401" s="4"/>
      <c r="AF2401" s="4"/>
      <c r="AG2401" s="4"/>
      <c r="AH2401" s="4"/>
      <c r="AI2401" s="4"/>
      <c r="AJ2401" s="4"/>
      <c r="AK2401" s="4"/>
      <c r="AL2401" s="4"/>
      <c r="AM2401" s="4"/>
      <c r="AN2401" s="4"/>
      <c r="AO2401" s="4"/>
      <c r="AP2401" s="4"/>
      <c r="AQ2401" s="4"/>
      <c r="AR2401" s="4"/>
      <c r="AS2401" s="4"/>
      <c r="AT2401" s="4"/>
      <c r="AU2401" s="4"/>
      <c r="AV2401" s="4"/>
      <c r="AW2401" s="4"/>
      <c r="AX2401" s="4"/>
      <c r="AY2401" s="4"/>
      <c r="AZ2401" s="4"/>
      <c r="BA2401" s="4"/>
      <c r="BB2401" s="4"/>
      <c r="BC2401" s="4"/>
      <c r="BD2401" s="4"/>
      <c r="BE2401" s="4"/>
      <c r="BF2401" s="4"/>
      <c r="BG2401" s="4"/>
      <c r="BH2401" s="4"/>
      <c r="BI2401" s="4"/>
      <c r="BJ2401" s="4"/>
      <c r="BK2401" s="4"/>
      <c r="BL2401" s="4"/>
      <c r="BM2401" s="4"/>
      <c r="BN2401" s="4"/>
      <c r="BO2401" s="4"/>
      <c r="BP2401" s="4"/>
      <c r="BQ2401" s="4"/>
      <c r="BR2401" s="4"/>
      <c r="BS2401" s="4"/>
      <c r="BT2401" s="4"/>
      <c r="BU2401" s="4"/>
    </row>
    <row r="2402" spans="29:73" s="1" customFormat="1" x14ac:dyDescent="0.25">
      <c r="AC2402" s="4"/>
      <c r="AD2402" s="4"/>
      <c r="AE2402" s="4"/>
      <c r="AF2402" s="4"/>
      <c r="AG2402" s="4"/>
      <c r="AH2402" s="4"/>
      <c r="AI2402" s="4"/>
      <c r="AJ2402" s="4"/>
      <c r="AK2402" s="4"/>
      <c r="AL2402" s="4"/>
      <c r="AM2402" s="4"/>
      <c r="AN2402" s="4"/>
      <c r="AO2402" s="4"/>
      <c r="AP2402" s="4"/>
      <c r="AQ2402" s="4"/>
      <c r="AR2402" s="4"/>
      <c r="AS2402" s="4"/>
      <c r="AT2402" s="4"/>
      <c r="AU2402" s="4"/>
      <c r="AV2402" s="4"/>
      <c r="AW2402" s="4"/>
      <c r="AX2402" s="4"/>
      <c r="AY2402" s="4"/>
      <c r="AZ2402" s="4"/>
      <c r="BA2402" s="4"/>
      <c r="BB2402" s="4"/>
      <c r="BC2402" s="4"/>
      <c r="BD2402" s="4"/>
      <c r="BE2402" s="4"/>
      <c r="BF2402" s="4"/>
      <c r="BG2402" s="4"/>
      <c r="BH2402" s="4"/>
      <c r="BI2402" s="4"/>
      <c r="BJ2402" s="4"/>
      <c r="BK2402" s="4"/>
      <c r="BL2402" s="4"/>
      <c r="BM2402" s="4"/>
      <c r="BN2402" s="4"/>
      <c r="BO2402" s="4"/>
      <c r="BP2402" s="4"/>
      <c r="BQ2402" s="4"/>
      <c r="BR2402" s="4"/>
      <c r="BS2402" s="4"/>
      <c r="BT2402" s="4"/>
      <c r="BU2402" s="4"/>
    </row>
    <row r="2403" spans="29:73" s="1" customFormat="1" x14ac:dyDescent="0.25">
      <c r="AC2403" s="4"/>
      <c r="AD2403" s="4"/>
      <c r="AE2403" s="4"/>
      <c r="AF2403" s="4"/>
      <c r="AG2403" s="4"/>
      <c r="AH2403" s="4"/>
      <c r="AI2403" s="4"/>
      <c r="AJ2403" s="4"/>
      <c r="AK2403" s="4"/>
      <c r="AL2403" s="4"/>
      <c r="AM2403" s="4"/>
      <c r="AN2403" s="4"/>
      <c r="AO2403" s="4"/>
      <c r="AP2403" s="4"/>
      <c r="AQ2403" s="4"/>
      <c r="AR2403" s="4"/>
      <c r="AS2403" s="4"/>
      <c r="AT2403" s="4"/>
      <c r="AU2403" s="4"/>
      <c r="AV2403" s="4"/>
      <c r="AW2403" s="4"/>
      <c r="AX2403" s="4"/>
      <c r="AY2403" s="4"/>
      <c r="AZ2403" s="4"/>
      <c r="BA2403" s="4"/>
      <c r="BB2403" s="4"/>
      <c r="BC2403" s="4"/>
      <c r="BD2403" s="4"/>
      <c r="BE2403" s="4"/>
      <c r="BF2403" s="4"/>
      <c r="BG2403" s="4"/>
      <c r="BH2403" s="4"/>
      <c r="BI2403" s="4"/>
      <c r="BJ2403" s="4"/>
      <c r="BK2403" s="4"/>
      <c r="BL2403" s="4"/>
      <c r="BM2403" s="4"/>
      <c r="BN2403" s="4"/>
      <c r="BO2403" s="4"/>
      <c r="BP2403" s="4"/>
      <c r="BQ2403" s="4"/>
      <c r="BR2403" s="4"/>
      <c r="BS2403" s="4"/>
      <c r="BT2403" s="4"/>
      <c r="BU2403" s="4"/>
    </row>
    <row r="2404" spans="29:73" s="1" customFormat="1" x14ac:dyDescent="0.25">
      <c r="AC2404" s="4"/>
      <c r="AD2404" s="4"/>
      <c r="AE2404" s="4"/>
      <c r="AF2404" s="4"/>
      <c r="AG2404" s="4"/>
      <c r="AH2404" s="4"/>
      <c r="AI2404" s="4"/>
      <c r="AJ2404" s="4"/>
      <c r="AK2404" s="4"/>
      <c r="AL2404" s="4"/>
      <c r="AM2404" s="4"/>
      <c r="AN2404" s="4"/>
      <c r="AO2404" s="4"/>
      <c r="AP2404" s="4"/>
      <c r="AQ2404" s="4"/>
      <c r="AR2404" s="4"/>
      <c r="AS2404" s="4"/>
      <c r="AT2404" s="4"/>
      <c r="AU2404" s="4"/>
      <c r="AV2404" s="4"/>
      <c r="AW2404" s="4"/>
      <c r="AX2404" s="4"/>
      <c r="AY2404" s="4"/>
      <c r="AZ2404" s="4"/>
      <c r="BA2404" s="4"/>
      <c r="BB2404" s="4"/>
      <c r="BC2404" s="4"/>
      <c r="BD2404" s="4"/>
      <c r="BE2404" s="4"/>
      <c r="BF2404" s="4"/>
      <c r="BG2404" s="4"/>
      <c r="BH2404" s="4"/>
      <c r="BI2404" s="4"/>
      <c r="BJ2404" s="4"/>
      <c r="BK2404" s="4"/>
      <c r="BL2404" s="4"/>
      <c r="BM2404" s="4"/>
      <c r="BN2404" s="4"/>
      <c r="BO2404" s="4"/>
      <c r="BP2404" s="4"/>
      <c r="BQ2404" s="4"/>
      <c r="BR2404" s="4"/>
      <c r="BS2404" s="4"/>
      <c r="BT2404" s="4"/>
      <c r="BU2404" s="4"/>
    </row>
    <row r="2405" spans="29:73" s="1" customFormat="1" x14ac:dyDescent="0.25">
      <c r="AC2405" s="4"/>
      <c r="AD2405" s="4"/>
      <c r="AE2405" s="4"/>
      <c r="AF2405" s="4"/>
      <c r="AG2405" s="4"/>
      <c r="AH2405" s="4"/>
      <c r="AI2405" s="4"/>
      <c r="AJ2405" s="4"/>
      <c r="AK2405" s="4"/>
      <c r="AL2405" s="4"/>
      <c r="AM2405" s="4"/>
      <c r="AN2405" s="4"/>
      <c r="AO2405" s="4"/>
      <c r="AP2405" s="4"/>
      <c r="AQ2405" s="4"/>
      <c r="AR2405" s="4"/>
      <c r="AS2405" s="4"/>
      <c r="AT2405" s="4"/>
      <c r="AU2405" s="4"/>
      <c r="AV2405" s="4"/>
      <c r="AW2405" s="4"/>
      <c r="AX2405" s="4"/>
      <c r="AY2405" s="4"/>
      <c r="AZ2405" s="4"/>
      <c r="BA2405" s="4"/>
      <c r="BB2405" s="4"/>
      <c r="BC2405" s="4"/>
      <c r="BD2405" s="4"/>
      <c r="BE2405" s="4"/>
      <c r="BF2405" s="4"/>
      <c r="BG2405" s="4"/>
      <c r="BH2405" s="4"/>
      <c r="BI2405" s="4"/>
      <c r="BJ2405" s="4"/>
      <c r="BK2405" s="4"/>
      <c r="BL2405" s="4"/>
      <c r="BM2405" s="4"/>
      <c r="BN2405" s="4"/>
      <c r="BO2405" s="4"/>
      <c r="BP2405" s="4"/>
      <c r="BQ2405" s="4"/>
      <c r="BR2405" s="4"/>
      <c r="BS2405" s="4"/>
      <c r="BT2405" s="4"/>
      <c r="BU2405" s="4"/>
    </row>
    <row r="2406" spans="29:73" s="1" customFormat="1" x14ac:dyDescent="0.25">
      <c r="AC2406" s="4"/>
      <c r="AD2406" s="4"/>
      <c r="AE2406" s="4"/>
      <c r="AF2406" s="4"/>
      <c r="AG2406" s="4"/>
      <c r="AH2406" s="4"/>
      <c r="AI2406" s="4"/>
      <c r="AJ2406" s="4"/>
      <c r="AK2406" s="4"/>
      <c r="AL2406" s="4"/>
      <c r="AM2406" s="4"/>
      <c r="AN2406" s="4"/>
      <c r="AO2406" s="4"/>
      <c r="AP2406" s="4"/>
      <c r="AQ2406" s="4"/>
      <c r="AR2406" s="4"/>
      <c r="AS2406" s="4"/>
      <c r="AT2406" s="4"/>
      <c r="AU2406" s="4"/>
      <c r="AV2406" s="4"/>
      <c r="AW2406" s="4"/>
      <c r="AX2406" s="4"/>
      <c r="AY2406" s="4"/>
      <c r="AZ2406" s="4"/>
      <c r="BA2406" s="4"/>
      <c r="BB2406" s="4"/>
      <c r="BC2406" s="4"/>
      <c r="BD2406" s="4"/>
      <c r="BE2406" s="4"/>
      <c r="BF2406" s="4"/>
      <c r="BG2406" s="4"/>
      <c r="BH2406" s="4"/>
      <c r="BI2406" s="4"/>
      <c r="BJ2406" s="4"/>
      <c r="BK2406" s="4"/>
      <c r="BL2406" s="4"/>
      <c r="BM2406" s="4"/>
      <c r="BN2406" s="4"/>
      <c r="BO2406" s="4"/>
      <c r="BP2406" s="4"/>
      <c r="BQ2406" s="4"/>
      <c r="BR2406" s="4"/>
      <c r="BS2406" s="4"/>
      <c r="BT2406" s="4"/>
      <c r="BU2406" s="4"/>
    </row>
    <row r="2407" spans="29:73" s="1" customFormat="1" x14ac:dyDescent="0.25">
      <c r="AC2407" s="4"/>
      <c r="AD2407" s="4"/>
      <c r="AE2407" s="4"/>
      <c r="AF2407" s="4"/>
      <c r="AG2407" s="4"/>
      <c r="AH2407" s="4"/>
      <c r="AI2407" s="4"/>
      <c r="AJ2407" s="4"/>
      <c r="AK2407" s="4"/>
      <c r="AL2407" s="4"/>
      <c r="AM2407" s="4"/>
      <c r="AN2407" s="4"/>
      <c r="AO2407" s="4"/>
      <c r="AP2407" s="4"/>
      <c r="AQ2407" s="4"/>
      <c r="AR2407" s="4"/>
      <c r="AS2407" s="4"/>
      <c r="AT2407" s="4"/>
      <c r="AU2407" s="4"/>
      <c r="AV2407" s="4"/>
      <c r="AW2407" s="4"/>
      <c r="AX2407" s="4"/>
      <c r="AY2407" s="4"/>
      <c r="AZ2407" s="4"/>
      <c r="BA2407" s="4"/>
      <c r="BB2407" s="4"/>
      <c r="BC2407" s="4"/>
      <c r="BD2407" s="4"/>
      <c r="BE2407" s="4"/>
      <c r="BF2407" s="4"/>
      <c r="BG2407" s="4"/>
      <c r="BH2407" s="4"/>
      <c r="BI2407" s="4"/>
      <c r="BJ2407" s="4"/>
      <c r="BK2407" s="4"/>
      <c r="BL2407" s="4"/>
      <c r="BM2407" s="4"/>
      <c r="BN2407" s="4"/>
      <c r="BO2407" s="4"/>
      <c r="BP2407" s="4"/>
      <c r="BQ2407" s="4"/>
      <c r="BR2407" s="4"/>
      <c r="BS2407" s="4"/>
      <c r="BT2407" s="4"/>
      <c r="BU2407" s="4"/>
    </row>
    <row r="2408" spans="29:73" s="1" customFormat="1" x14ac:dyDescent="0.25">
      <c r="AC2408" s="4"/>
      <c r="AD2408" s="4"/>
      <c r="AE2408" s="4"/>
      <c r="AF2408" s="4"/>
      <c r="AG2408" s="4"/>
      <c r="AH2408" s="4"/>
      <c r="AI2408" s="4"/>
      <c r="AJ2408" s="4"/>
      <c r="AK2408" s="4"/>
      <c r="AL2408" s="4"/>
      <c r="AM2408" s="4"/>
      <c r="AN2408" s="4"/>
      <c r="AO2408" s="4"/>
      <c r="AP2408" s="4"/>
      <c r="AQ2408" s="4"/>
      <c r="AR2408" s="4"/>
      <c r="AS2408" s="4"/>
      <c r="AT2408" s="4"/>
      <c r="AU2408" s="4"/>
      <c r="AV2408" s="4"/>
      <c r="AW2408" s="4"/>
      <c r="AX2408" s="4"/>
      <c r="AY2408" s="4"/>
      <c r="AZ2408" s="4"/>
      <c r="BA2408" s="4"/>
      <c r="BB2408" s="4"/>
      <c r="BC2408" s="4"/>
      <c r="BD2408" s="4"/>
      <c r="BE2408" s="4"/>
      <c r="BF2408" s="4"/>
      <c r="BG2408" s="4"/>
      <c r="BH2408" s="4"/>
      <c r="BI2408" s="4"/>
      <c r="BJ2408" s="4"/>
      <c r="BK2408" s="4"/>
      <c r="BL2408" s="4"/>
      <c r="BM2408" s="4"/>
      <c r="BN2408" s="4"/>
      <c r="BO2408" s="4"/>
      <c r="BP2408" s="4"/>
      <c r="BQ2408" s="4"/>
      <c r="BR2408" s="4"/>
      <c r="BS2408" s="4"/>
      <c r="BT2408" s="4"/>
      <c r="BU2408" s="4"/>
    </row>
    <row r="2409" spans="29:73" s="1" customFormat="1" x14ac:dyDescent="0.25">
      <c r="AC2409" s="4"/>
      <c r="AD2409" s="4"/>
      <c r="AE2409" s="4"/>
      <c r="AF2409" s="4"/>
      <c r="AG2409" s="4"/>
      <c r="AH2409" s="4"/>
      <c r="AI2409" s="4"/>
      <c r="AJ2409" s="4"/>
      <c r="AK2409" s="4"/>
      <c r="AL2409" s="4"/>
      <c r="AM2409" s="4"/>
      <c r="AN2409" s="4"/>
      <c r="AO2409" s="4"/>
      <c r="AP2409" s="4"/>
      <c r="AQ2409" s="4"/>
      <c r="AR2409" s="4"/>
      <c r="AS2409" s="4"/>
      <c r="AT2409" s="4"/>
      <c r="AU2409" s="4"/>
      <c r="AV2409" s="4"/>
      <c r="AW2409" s="4"/>
      <c r="AX2409" s="4"/>
      <c r="AY2409" s="4"/>
      <c r="AZ2409" s="4"/>
      <c r="BA2409" s="4"/>
      <c r="BB2409" s="4"/>
      <c r="BC2409" s="4"/>
      <c r="BD2409" s="4"/>
      <c r="BE2409" s="4"/>
      <c r="BF2409" s="4"/>
      <c r="BG2409" s="4"/>
      <c r="BH2409" s="4"/>
      <c r="BI2409" s="4"/>
      <c r="BJ2409" s="4"/>
      <c r="BK2409" s="4"/>
      <c r="BL2409" s="4"/>
      <c r="BM2409" s="4"/>
      <c r="BN2409" s="4"/>
      <c r="BO2409" s="4"/>
      <c r="BP2409" s="4"/>
      <c r="BQ2409" s="4"/>
      <c r="BR2409" s="4"/>
      <c r="BS2409" s="4"/>
      <c r="BT2409" s="4"/>
      <c r="BU2409" s="4"/>
    </row>
    <row r="2410" spans="29:73" s="1" customFormat="1" x14ac:dyDescent="0.25">
      <c r="AC2410" s="4"/>
      <c r="AD2410" s="4"/>
      <c r="AE2410" s="4"/>
      <c r="AF2410" s="4"/>
      <c r="AG2410" s="4"/>
      <c r="AH2410" s="4"/>
      <c r="AI2410" s="4"/>
      <c r="AJ2410" s="4"/>
      <c r="AK2410" s="4"/>
      <c r="AL2410" s="4"/>
      <c r="AM2410" s="4"/>
      <c r="AN2410" s="4"/>
      <c r="AO2410" s="4"/>
      <c r="AP2410" s="4"/>
      <c r="AQ2410" s="4"/>
      <c r="AR2410" s="4"/>
      <c r="AS2410" s="4"/>
      <c r="AT2410" s="4"/>
      <c r="AU2410" s="4"/>
      <c r="AV2410" s="4"/>
      <c r="AW2410" s="4"/>
      <c r="AX2410" s="4"/>
      <c r="AY2410" s="4"/>
      <c r="AZ2410" s="4"/>
      <c r="BA2410" s="4"/>
      <c r="BB2410" s="4"/>
      <c r="BC2410" s="4"/>
      <c r="BD2410" s="4"/>
      <c r="BE2410" s="4"/>
      <c r="BF2410" s="4"/>
      <c r="BG2410" s="4"/>
      <c r="BH2410" s="4"/>
      <c r="BI2410" s="4"/>
      <c r="BJ2410" s="4"/>
      <c r="BK2410" s="4"/>
      <c r="BL2410" s="4"/>
      <c r="BM2410" s="4"/>
      <c r="BN2410" s="4"/>
      <c r="BO2410" s="4"/>
      <c r="BP2410" s="4"/>
      <c r="BQ2410" s="4"/>
      <c r="BR2410" s="4"/>
      <c r="BS2410" s="4"/>
      <c r="BT2410" s="4"/>
      <c r="BU2410" s="4"/>
    </row>
    <row r="2411" spans="29:73" s="1" customFormat="1" x14ac:dyDescent="0.25">
      <c r="AC2411" s="4"/>
      <c r="AD2411" s="4"/>
      <c r="AE2411" s="4"/>
      <c r="AF2411" s="4"/>
      <c r="AG2411" s="4"/>
      <c r="AH2411" s="4"/>
      <c r="AI2411" s="4"/>
      <c r="AJ2411" s="4"/>
      <c r="AK2411" s="4"/>
      <c r="AL2411" s="4"/>
      <c r="AM2411" s="4"/>
      <c r="AN2411" s="4"/>
      <c r="AO2411" s="4"/>
      <c r="AP2411" s="4"/>
      <c r="AQ2411" s="4"/>
      <c r="AR2411" s="4"/>
      <c r="AS2411" s="4"/>
      <c r="AT2411" s="4"/>
      <c r="AU2411" s="4"/>
      <c r="AV2411" s="4"/>
      <c r="AW2411" s="4"/>
      <c r="AX2411" s="4"/>
      <c r="AY2411" s="4"/>
      <c r="AZ2411" s="4"/>
      <c r="BA2411" s="4"/>
      <c r="BB2411" s="4"/>
      <c r="BC2411" s="4"/>
      <c r="BD2411" s="4"/>
      <c r="BE2411" s="4"/>
      <c r="BF2411" s="4"/>
      <c r="BG2411" s="4"/>
      <c r="BH2411" s="4"/>
      <c r="BI2411" s="4"/>
      <c r="BJ2411" s="4"/>
      <c r="BK2411" s="4"/>
      <c r="BL2411" s="4"/>
      <c r="BM2411" s="4"/>
      <c r="BN2411" s="4"/>
      <c r="BO2411" s="4"/>
      <c r="BP2411" s="4"/>
      <c r="BQ2411" s="4"/>
      <c r="BR2411" s="4"/>
      <c r="BS2411" s="4"/>
      <c r="BT2411" s="4"/>
      <c r="BU2411" s="4"/>
    </row>
    <row r="2412" spans="29:73" s="1" customFormat="1" x14ac:dyDescent="0.25">
      <c r="AC2412" s="4"/>
      <c r="AD2412" s="4"/>
      <c r="AE2412" s="4"/>
      <c r="AF2412" s="4"/>
      <c r="AG2412" s="4"/>
      <c r="AH2412" s="4"/>
      <c r="AI2412" s="4"/>
      <c r="AJ2412" s="4"/>
      <c r="AK2412" s="4"/>
      <c r="AL2412" s="4"/>
      <c r="AM2412" s="4"/>
      <c r="AN2412" s="4"/>
      <c r="AO2412" s="4"/>
      <c r="AP2412" s="4"/>
      <c r="AQ2412" s="4"/>
      <c r="AR2412" s="4"/>
      <c r="AS2412" s="4"/>
      <c r="AT2412" s="4"/>
      <c r="AU2412" s="4"/>
      <c r="AV2412" s="4"/>
      <c r="AW2412" s="4"/>
      <c r="AX2412" s="4"/>
      <c r="AY2412" s="4"/>
      <c r="AZ2412" s="4"/>
      <c r="BA2412" s="4"/>
      <c r="BB2412" s="4"/>
      <c r="BC2412" s="4"/>
      <c r="BD2412" s="4"/>
      <c r="BE2412" s="4"/>
      <c r="BF2412" s="4"/>
      <c r="BG2412" s="4"/>
      <c r="BH2412" s="4"/>
      <c r="BI2412" s="4"/>
      <c r="BJ2412" s="4"/>
      <c r="BK2412" s="4"/>
      <c r="BL2412" s="4"/>
      <c r="BM2412" s="4"/>
      <c r="BN2412" s="4"/>
      <c r="BO2412" s="4"/>
      <c r="BP2412" s="4"/>
      <c r="BQ2412" s="4"/>
      <c r="BR2412" s="4"/>
      <c r="BS2412" s="4"/>
      <c r="BT2412" s="4"/>
      <c r="BU2412" s="4"/>
    </row>
    <row r="2413" spans="29:73" s="1" customFormat="1" x14ac:dyDescent="0.25">
      <c r="AC2413" s="4"/>
      <c r="AD2413" s="4"/>
      <c r="AE2413" s="4"/>
      <c r="AF2413" s="4"/>
      <c r="AG2413" s="4"/>
      <c r="AH2413" s="4"/>
      <c r="AI2413" s="4"/>
      <c r="AJ2413" s="4"/>
      <c r="AK2413" s="4"/>
      <c r="AL2413" s="4"/>
      <c r="AM2413" s="4"/>
      <c r="AN2413" s="4"/>
      <c r="AO2413" s="4"/>
      <c r="AP2413" s="4"/>
      <c r="AQ2413" s="4"/>
      <c r="AR2413" s="4"/>
      <c r="AS2413" s="4"/>
      <c r="AT2413" s="4"/>
      <c r="AU2413" s="4"/>
      <c r="AV2413" s="4"/>
      <c r="AW2413" s="4"/>
      <c r="AX2413" s="4"/>
      <c r="AY2413" s="4"/>
      <c r="AZ2413" s="4"/>
      <c r="BA2413" s="4"/>
      <c r="BB2413" s="4"/>
      <c r="BC2413" s="4"/>
      <c r="BD2413" s="4"/>
      <c r="BE2413" s="4"/>
      <c r="BF2413" s="4"/>
      <c r="BG2413" s="4"/>
      <c r="BH2413" s="4"/>
      <c r="BI2413" s="4"/>
      <c r="BJ2413" s="4"/>
      <c r="BK2413" s="4"/>
      <c r="BL2413" s="4"/>
      <c r="BM2413" s="4"/>
      <c r="BN2413" s="4"/>
      <c r="BO2413" s="4"/>
      <c r="BP2413" s="4"/>
      <c r="BQ2413" s="4"/>
      <c r="BR2413" s="4"/>
      <c r="BS2413" s="4"/>
      <c r="BT2413" s="4"/>
      <c r="BU2413" s="4"/>
    </row>
    <row r="2414" spans="29:73" s="1" customFormat="1" x14ac:dyDescent="0.25">
      <c r="AC2414" s="4"/>
      <c r="AD2414" s="4"/>
      <c r="AE2414" s="4"/>
      <c r="AF2414" s="4"/>
      <c r="AG2414" s="4"/>
      <c r="AH2414" s="4"/>
      <c r="AI2414" s="4"/>
      <c r="AJ2414" s="4"/>
      <c r="AK2414" s="4"/>
      <c r="AL2414" s="4"/>
      <c r="AM2414" s="4"/>
      <c r="AN2414" s="4"/>
      <c r="AO2414" s="4"/>
      <c r="AP2414" s="4"/>
      <c r="AQ2414" s="4"/>
      <c r="AR2414" s="4"/>
      <c r="AS2414" s="4"/>
      <c r="AT2414" s="4"/>
      <c r="AU2414" s="4"/>
      <c r="AV2414" s="4"/>
      <c r="AW2414" s="4"/>
      <c r="AX2414" s="4"/>
      <c r="AY2414" s="4"/>
      <c r="AZ2414" s="4"/>
      <c r="BA2414" s="4"/>
      <c r="BB2414" s="4"/>
      <c r="BC2414" s="4"/>
      <c r="BD2414" s="4"/>
      <c r="BE2414" s="4"/>
      <c r="BF2414" s="4"/>
      <c r="BG2414" s="4"/>
      <c r="BH2414" s="4"/>
      <c r="BI2414" s="4"/>
      <c r="BJ2414" s="4"/>
      <c r="BK2414" s="4"/>
      <c r="BL2414" s="4"/>
      <c r="BM2414" s="4"/>
      <c r="BN2414" s="4"/>
      <c r="BO2414" s="4"/>
      <c r="BP2414" s="4"/>
      <c r="BQ2414" s="4"/>
      <c r="BR2414" s="4"/>
      <c r="BS2414" s="4"/>
      <c r="BT2414" s="4"/>
      <c r="BU2414" s="4"/>
    </row>
    <row r="2415" spans="29:73" s="1" customFormat="1" x14ac:dyDescent="0.25">
      <c r="AC2415" s="4"/>
      <c r="AD2415" s="4"/>
      <c r="AE2415" s="4"/>
      <c r="AF2415" s="4"/>
      <c r="AG2415" s="4"/>
      <c r="AH2415" s="4"/>
      <c r="AI2415" s="4"/>
      <c r="AJ2415" s="4"/>
      <c r="AK2415" s="4"/>
      <c r="AL2415" s="4"/>
      <c r="AM2415" s="4"/>
      <c r="AN2415" s="4"/>
      <c r="AO2415" s="4"/>
      <c r="AP2415" s="4"/>
      <c r="AQ2415" s="4"/>
      <c r="AR2415" s="4"/>
      <c r="AS2415" s="4"/>
      <c r="AT2415" s="4"/>
      <c r="AU2415" s="4"/>
      <c r="AV2415" s="4"/>
      <c r="AW2415" s="4"/>
      <c r="AX2415" s="4"/>
      <c r="AY2415" s="4"/>
      <c r="AZ2415" s="4"/>
      <c r="BA2415" s="4"/>
      <c r="BB2415" s="4"/>
      <c r="BC2415" s="4"/>
      <c r="BD2415" s="4"/>
      <c r="BE2415" s="4"/>
      <c r="BF2415" s="4"/>
      <c r="BG2415" s="4"/>
      <c r="BH2415" s="4"/>
      <c r="BI2415" s="4"/>
      <c r="BJ2415" s="4"/>
      <c r="BK2415" s="4"/>
      <c r="BL2415" s="4"/>
      <c r="BM2415" s="4"/>
      <c r="BN2415" s="4"/>
      <c r="BO2415" s="4"/>
      <c r="BP2415" s="4"/>
      <c r="BQ2415" s="4"/>
      <c r="BR2415" s="4"/>
      <c r="BS2415" s="4"/>
      <c r="BT2415" s="4"/>
      <c r="BU2415" s="4"/>
    </row>
    <row r="2416" spans="29:73" s="1" customFormat="1" x14ac:dyDescent="0.25">
      <c r="AC2416" s="4"/>
      <c r="AD2416" s="4"/>
      <c r="AE2416" s="4"/>
      <c r="AF2416" s="4"/>
      <c r="AG2416" s="4"/>
      <c r="AH2416" s="4"/>
      <c r="AI2416" s="4"/>
      <c r="AJ2416" s="4"/>
      <c r="AK2416" s="4"/>
      <c r="AL2416" s="4"/>
      <c r="AM2416" s="4"/>
      <c r="AN2416" s="4"/>
      <c r="AO2416" s="4"/>
      <c r="AP2416" s="4"/>
      <c r="AQ2416" s="4"/>
      <c r="AR2416" s="4"/>
      <c r="AS2416" s="4"/>
      <c r="AT2416" s="4"/>
      <c r="AU2416" s="4"/>
      <c r="AV2416" s="4"/>
      <c r="AW2416" s="4"/>
      <c r="AX2416" s="4"/>
      <c r="AY2416" s="4"/>
      <c r="AZ2416" s="4"/>
      <c r="BA2416" s="4"/>
      <c r="BB2416" s="4"/>
      <c r="BC2416" s="4"/>
      <c r="BD2416" s="4"/>
      <c r="BE2416" s="4"/>
      <c r="BF2416" s="4"/>
      <c r="BG2416" s="4"/>
      <c r="BH2416" s="4"/>
      <c r="BI2416" s="4"/>
      <c r="BJ2416" s="4"/>
      <c r="BK2416" s="4"/>
      <c r="BL2416" s="4"/>
      <c r="BM2416" s="4"/>
      <c r="BN2416" s="4"/>
      <c r="BO2416" s="4"/>
      <c r="BP2416" s="4"/>
      <c r="BQ2416" s="4"/>
      <c r="BR2416" s="4"/>
      <c r="BS2416" s="4"/>
      <c r="BT2416" s="4"/>
      <c r="BU2416" s="4"/>
    </row>
    <row r="2417" spans="29:73" s="1" customFormat="1" x14ac:dyDescent="0.25">
      <c r="AC2417" s="4"/>
      <c r="AD2417" s="4"/>
      <c r="AE2417" s="4"/>
      <c r="AF2417" s="4"/>
      <c r="AG2417" s="4"/>
      <c r="AH2417" s="4"/>
      <c r="AI2417" s="4"/>
      <c r="AJ2417" s="4"/>
      <c r="AK2417" s="4"/>
      <c r="AL2417" s="4"/>
      <c r="AM2417" s="4"/>
      <c r="AN2417" s="4"/>
      <c r="AO2417" s="4"/>
      <c r="AP2417" s="4"/>
      <c r="AQ2417" s="4"/>
      <c r="AR2417" s="4"/>
      <c r="AS2417" s="4"/>
      <c r="AT2417" s="4"/>
      <c r="AU2417" s="4"/>
      <c r="AV2417" s="4"/>
      <c r="AW2417" s="4"/>
      <c r="AX2417" s="4"/>
      <c r="AY2417" s="4"/>
      <c r="AZ2417" s="4"/>
      <c r="BA2417" s="4"/>
      <c r="BB2417" s="4"/>
      <c r="BC2417" s="4"/>
      <c r="BD2417" s="4"/>
      <c r="BE2417" s="4"/>
      <c r="BF2417" s="4"/>
      <c r="BG2417" s="4"/>
      <c r="BH2417" s="4"/>
      <c r="BI2417" s="4"/>
      <c r="BJ2417" s="4"/>
      <c r="BK2417" s="4"/>
      <c r="BL2417" s="4"/>
      <c r="BM2417" s="4"/>
      <c r="BN2417" s="4"/>
      <c r="BO2417" s="4"/>
      <c r="BP2417" s="4"/>
      <c r="BQ2417" s="4"/>
      <c r="BR2417" s="4"/>
      <c r="BS2417" s="4"/>
      <c r="BT2417" s="4"/>
      <c r="BU2417" s="4"/>
    </row>
    <row r="2418" spans="29:73" s="1" customFormat="1" x14ac:dyDescent="0.25">
      <c r="AC2418" s="4"/>
      <c r="AD2418" s="4"/>
      <c r="AE2418" s="4"/>
      <c r="AF2418" s="4"/>
      <c r="AG2418" s="4"/>
      <c r="AH2418" s="4"/>
      <c r="AI2418" s="4"/>
      <c r="AJ2418" s="4"/>
      <c r="AK2418" s="4"/>
      <c r="AL2418" s="4"/>
      <c r="AM2418" s="4"/>
      <c r="AN2418" s="4"/>
      <c r="AO2418" s="4"/>
      <c r="AP2418" s="4"/>
      <c r="AQ2418" s="4"/>
      <c r="AR2418" s="4"/>
      <c r="AS2418" s="4"/>
      <c r="AT2418" s="4"/>
      <c r="AU2418" s="4"/>
      <c r="AV2418" s="4"/>
      <c r="AW2418" s="4"/>
      <c r="AX2418" s="4"/>
      <c r="AY2418" s="4"/>
      <c r="AZ2418" s="4"/>
      <c r="BA2418" s="4"/>
      <c r="BB2418" s="4"/>
      <c r="BC2418" s="4"/>
      <c r="BD2418" s="4"/>
      <c r="BE2418" s="4"/>
      <c r="BF2418" s="4"/>
      <c r="BG2418" s="4"/>
      <c r="BH2418" s="4"/>
      <c r="BI2418" s="4"/>
      <c r="BJ2418" s="4"/>
      <c r="BK2418" s="4"/>
      <c r="BL2418" s="4"/>
      <c r="BM2418" s="4"/>
      <c r="BN2418" s="4"/>
      <c r="BO2418" s="4"/>
      <c r="BP2418" s="4"/>
      <c r="BQ2418" s="4"/>
      <c r="BR2418" s="4"/>
      <c r="BS2418" s="4"/>
      <c r="BT2418" s="4"/>
      <c r="BU2418" s="4"/>
    </row>
    <row r="2419" spans="29:73" s="1" customFormat="1" x14ac:dyDescent="0.25">
      <c r="AC2419" s="4"/>
      <c r="AD2419" s="4"/>
      <c r="AE2419" s="4"/>
      <c r="AF2419" s="4"/>
      <c r="AG2419" s="4"/>
      <c r="AH2419" s="4"/>
      <c r="AI2419" s="4"/>
      <c r="AJ2419" s="4"/>
      <c r="AK2419" s="4"/>
      <c r="AL2419" s="4"/>
      <c r="AM2419" s="4"/>
      <c r="AN2419" s="4"/>
      <c r="AO2419" s="4"/>
      <c r="AP2419" s="4"/>
      <c r="AQ2419" s="4"/>
      <c r="AR2419" s="4"/>
      <c r="AS2419" s="4"/>
      <c r="AT2419" s="4"/>
      <c r="AU2419" s="4"/>
      <c r="AV2419" s="4"/>
      <c r="AW2419" s="4"/>
      <c r="AX2419" s="4"/>
      <c r="AY2419" s="4"/>
      <c r="AZ2419" s="4"/>
      <c r="BA2419" s="4"/>
      <c r="BB2419" s="4"/>
      <c r="BC2419" s="4"/>
      <c r="BD2419" s="4"/>
      <c r="BE2419" s="4"/>
      <c r="BF2419" s="4"/>
      <c r="BG2419" s="4"/>
      <c r="BH2419" s="4"/>
      <c r="BI2419" s="4"/>
      <c r="BJ2419" s="4"/>
      <c r="BK2419" s="4"/>
      <c r="BL2419" s="4"/>
      <c r="BM2419" s="4"/>
      <c r="BN2419" s="4"/>
      <c r="BO2419" s="4"/>
      <c r="BP2419" s="4"/>
      <c r="BQ2419" s="4"/>
      <c r="BR2419" s="4"/>
      <c r="BS2419" s="4"/>
      <c r="BT2419" s="4"/>
      <c r="BU2419" s="4"/>
    </row>
    <row r="2420" spans="29:73" s="1" customFormat="1" x14ac:dyDescent="0.25">
      <c r="AC2420" s="4"/>
      <c r="AD2420" s="4"/>
      <c r="AE2420" s="4"/>
      <c r="AF2420" s="4"/>
      <c r="AG2420" s="4"/>
      <c r="AH2420" s="4"/>
      <c r="AI2420" s="4"/>
      <c r="AJ2420" s="4"/>
      <c r="AK2420" s="4"/>
      <c r="AL2420" s="4"/>
      <c r="AM2420" s="4"/>
      <c r="AN2420" s="4"/>
      <c r="AO2420" s="4"/>
      <c r="AP2420" s="4"/>
      <c r="AQ2420" s="4"/>
      <c r="AR2420" s="4"/>
      <c r="AS2420" s="4"/>
      <c r="AT2420" s="4"/>
      <c r="AU2420" s="4"/>
      <c r="AV2420" s="4"/>
      <c r="AW2420" s="4"/>
      <c r="AX2420" s="4"/>
      <c r="AY2420" s="4"/>
      <c r="AZ2420" s="4"/>
      <c r="BA2420" s="4"/>
      <c r="BB2420" s="4"/>
      <c r="BC2420" s="4"/>
      <c r="BD2420" s="4"/>
      <c r="BE2420" s="4"/>
      <c r="BF2420" s="4"/>
      <c r="BG2420" s="4"/>
      <c r="BH2420" s="4"/>
      <c r="BI2420" s="4"/>
      <c r="BJ2420" s="4"/>
      <c r="BK2420" s="4"/>
      <c r="BL2420" s="4"/>
      <c r="BM2420" s="4"/>
      <c r="BN2420" s="4"/>
      <c r="BO2420" s="4"/>
      <c r="BP2420" s="4"/>
      <c r="BQ2420" s="4"/>
      <c r="BR2420" s="4"/>
      <c r="BS2420" s="4"/>
      <c r="BT2420" s="4"/>
      <c r="BU2420" s="4"/>
    </row>
    <row r="2421" spans="29:73" s="1" customFormat="1" x14ac:dyDescent="0.25">
      <c r="AC2421" s="4"/>
      <c r="AD2421" s="4"/>
      <c r="AE2421" s="4"/>
      <c r="AF2421" s="4"/>
      <c r="AG2421" s="4"/>
      <c r="AH2421" s="4"/>
      <c r="AI2421" s="4"/>
      <c r="AJ2421" s="4"/>
      <c r="AK2421" s="4"/>
      <c r="AL2421" s="4"/>
      <c r="AM2421" s="4"/>
      <c r="AN2421" s="4"/>
      <c r="AO2421" s="4"/>
      <c r="AP2421" s="4"/>
      <c r="AQ2421" s="4"/>
      <c r="AR2421" s="4"/>
      <c r="AS2421" s="4"/>
      <c r="AT2421" s="4"/>
      <c r="AU2421" s="4"/>
      <c r="AV2421" s="4"/>
      <c r="AW2421" s="4"/>
      <c r="AX2421" s="4"/>
      <c r="AY2421" s="4"/>
      <c r="AZ2421" s="4"/>
      <c r="BA2421" s="4"/>
      <c r="BB2421" s="4"/>
      <c r="BC2421" s="4"/>
      <c r="BD2421" s="4"/>
      <c r="BE2421" s="4"/>
      <c r="BF2421" s="4"/>
      <c r="BG2421" s="4"/>
      <c r="BH2421" s="4"/>
      <c r="BI2421" s="4"/>
      <c r="BJ2421" s="4"/>
      <c r="BK2421" s="4"/>
      <c r="BL2421" s="4"/>
      <c r="BM2421" s="4"/>
      <c r="BN2421" s="4"/>
      <c r="BO2421" s="4"/>
      <c r="BP2421" s="4"/>
      <c r="BQ2421" s="4"/>
      <c r="BR2421" s="4"/>
      <c r="BS2421" s="4"/>
      <c r="BT2421" s="4"/>
      <c r="BU2421" s="4"/>
    </row>
    <row r="2422" spans="29:73" s="1" customFormat="1" x14ac:dyDescent="0.25">
      <c r="AC2422" s="4"/>
      <c r="AD2422" s="4"/>
      <c r="AE2422" s="4"/>
      <c r="AF2422" s="4"/>
      <c r="AG2422" s="4"/>
      <c r="AH2422" s="4"/>
      <c r="AI2422" s="4"/>
      <c r="AJ2422" s="4"/>
      <c r="AK2422" s="4"/>
      <c r="AL2422" s="4"/>
      <c r="AM2422" s="4"/>
      <c r="AN2422" s="4"/>
      <c r="AO2422" s="4"/>
      <c r="AP2422" s="4"/>
      <c r="AQ2422" s="4"/>
      <c r="AR2422" s="4"/>
      <c r="AS2422" s="4"/>
      <c r="AT2422" s="4"/>
      <c r="AU2422" s="4"/>
      <c r="AV2422" s="4"/>
      <c r="AW2422" s="4"/>
      <c r="AX2422" s="4"/>
      <c r="AY2422" s="4"/>
      <c r="AZ2422" s="4"/>
      <c r="BA2422" s="4"/>
      <c r="BB2422" s="4"/>
      <c r="BC2422" s="4"/>
      <c r="BD2422" s="4"/>
      <c r="BE2422" s="4"/>
      <c r="BF2422" s="4"/>
      <c r="BG2422" s="4"/>
      <c r="BH2422" s="4"/>
      <c r="BI2422" s="4"/>
      <c r="BJ2422" s="4"/>
      <c r="BK2422" s="4"/>
      <c r="BL2422" s="4"/>
      <c r="BM2422" s="4"/>
      <c r="BN2422" s="4"/>
      <c r="BO2422" s="4"/>
      <c r="BP2422" s="4"/>
      <c r="BQ2422" s="4"/>
      <c r="BR2422" s="4"/>
      <c r="BS2422" s="4"/>
      <c r="BT2422" s="4"/>
      <c r="BU2422" s="4"/>
    </row>
    <row r="2423" spans="29:73" s="1" customFormat="1" x14ac:dyDescent="0.25">
      <c r="AC2423" s="4"/>
      <c r="AD2423" s="4"/>
      <c r="AE2423" s="4"/>
      <c r="AF2423" s="4"/>
      <c r="AG2423" s="4"/>
      <c r="AH2423" s="4"/>
      <c r="AI2423" s="4"/>
      <c r="AJ2423" s="4"/>
      <c r="AK2423" s="4"/>
      <c r="AL2423" s="4"/>
      <c r="AM2423" s="4"/>
      <c r="AN2423" s="4"/>
      <c r="AO2423" s="4"/>
      <c r="AP2423" s="4"/>
      <c r="AQ2423" s="4"/>
      <c r="AR2423" s="4"/>
      <c r="AS2423" s="4"/>
      <c r="AT2423" s="4"/>
      <c r="AU2423" s="4"/>
      <c r="AV2423" s="4"/>
      <c r="AW2423" s="4"/>
      <c r="AX2423" s="4"/>
      <c r="AY2423" s="4"/>
      <c r="AZ2423" s="4"/>
      <c r="BA2423" s="4"/>
      <c r="BB2423" s="4"/>
      <c r="BC2423" s="4"/>
      <c r="BD2423" s="4"/>
      <c r="BE2423" s="4"/>
      <c r="BF2423" s="4"/>
      <c r="BG2423" s="4"/>
      <c r="BH2423" s="4"/>
      <c r="BI2423" s="4"/>
      <c r="BJ2423" s="4"/>
      <c r="BK2423" s="4"/>
      <c r="BL2423" s="4"/>
      <c r="BM2423" s="4"/>
      <c r="BN2423" s="4"/>
      <c r="BO2423" s="4"/>
      <c r="BP2423" s="4"/>
      <c r="BQ2423" s="4"/>
      <c r="BR2423" s="4"/>
      <c r="BS2423" s="4"/>
      <c r="BT2423" s="4"/>
      <c r="BU2423" s="4"/>
    </row>
    <row r="2424" spans="29:73" s="1" customFormat="1" x14ac:dyDescent="0.25">
      <c r="AC2424" s="4"/>
      <c r="AD2424" s="4"/>
      <c r="AE2424" s="4"/>
      <c r="AF2424" s="4"/>
      <c r="AG2424" s="4"/>
      <c r="AH2424" s="4"/>
      <c r="AI2424" s="4"/>
      <c r="AJ2424" s="4"/>
      <c r="AK2424" s="4"/>
      <c r="AL2424" s="4"/>
      <c r="AM2424" s="4"/>
      <c r="AN2424" s="4"/>
      <c r="AO2424" s="4"/>
      <c r="AP2424" s="4"/>
      <c r="AQ2424" s="4"/>
      <c r="AR2424" s="4"/>
      <c r="AS2424" s="4"/>
      <c r="AT2424" s="4"/>
      <c r="AU2424" s="4"/>
      <c r="AV2424" s="4"/>
      <c r="AW2424" s="4"/>
      <c r="AX2424" s="4"/>
      <c r="AY2424" s="4"/>
      <c r="AZ2424" s="4"/>
      <c r="BA2424" s="4"/>
      <c r="BB2424" s="4"/>
      <c r="BC2424" s="4"/>
      <c r="BD2424" s="4"/>
      <c r="BE2424" s="4"/>
      <c r="BF2424" s="4"/>
      <c r="BG2424" s="4"/>
      <c r="BH2424" s="4"/>
      <c r="BI2424" s="4"/>
      <c r="BJ2424" s="4"/>
      <c r="BK2424" s="4"/>
      <c r="BL2424" s="4"/>
      <c r="BM2424" s="4"/>
      <c r="BN2424" s="4"/>
      <c r="BO2424" s="4"/>
      <c r="BP2424" s="4"/>
      <c r="BQ2424" s="4"/>
      <c r="BR2424" s="4"/>
      <c r="BS2424" s="4"/>
      <c r="BT2424" s="4"/>
      <c r="BU2424" s="4"/>
    </row>
    <row r="2425" spans="29:73" s="1" customFormat="1" x14ac:dyDescent="0.25">
      <c r="AC2425" s="4"/>
      <c r="AD2425" s="4"/>
      <c r="AE2425" s="4"/>
      <c r="AF2425" s="4"/>
      <c r="AG2425" s="4"/>
      <c r="AH2425" s="4"/>
      <c r="AI2425" s="4"/>
      <c r="AJ2425" s="4"/>
      <c r="AK2425" s="4"/>
      <c r="AL2425" s="4"/>
      <c r="AM2425" s="4"/>
      <c r="AN2425" s="4"/>
      <c r="AO2425" s="4"/>
      <c r="AP2425" s="4"/>
      <c r="AQ2425" s="4"/>
      <c r="AR2425" s="4"/>
      <c r="AS2425" s="4"/>
      <c r="AT2425" s="4"/>
      <c r="AU2425" s="4"/>
      <c r="AV2425" s="4"/>
      <c r="AW2425" s="4"/>
      <c r="AX2425" s="4"/>
      <c r="AY2425" s="4"/>
      <c r="AZ2425" s="4"/>
      <c r="BA2425" s="4"/>
      <c r="BB2425" s="4"/>
      <c r="BC2425" s="4"/>
      <c r="BD2425" s="4"/>
      <c r="BE2425" s="4"/>
      <c r="BF2425" s="4"/>
      <c r="BG2425" s="4"/>
      <c r="BH2425" s="4"/>
      <c r="BI2425" s="4"/>
      <c r="BJ2425" s="4"/>
      <c r="BK2425" s="4"/>
      <c r="BL2425" s="4"/>
      <c r="BM2425" s="4"/>
      <c r="BN2425" s="4"/>
      <c r="BO2425" s="4"/>
      <c r="BP2425" s="4"/>
      <c r="BQ2425" s="4"/>
      <c r="BR2425" s="4"/>
      <c r="BS2425" s="4"/>
      <c r="BT2425" s="4"/>
      <c r="BU2425" s="4"/>
    </row>
    <row r="2426" spans="29:73" s="1" customFormat="1" x14ac:dyDescent="0.25">
      <c r="AC2426" s="4"/>
      <c r="AD2426" s="4"/>
      <c r="AE2426" s="4"/>
      <c r="AF2426" s="4"/>
      <c r="AG2426" s="4"/>
      <c r="AH2426" s="4"/>
      <c r="AI2426" s="4"/>
      <c r="AJ2426" s="4"/>
      <c r="AK2426" s="4"/>
      <c r="AL2426" s="4"/>
      <c r="AM2426" s="4"/>
      <c r="AN2426" s="4"/>
      <c r="AO2426" s="4"/>
      <c r="AP2426" s="4"/>
      <c r="AQ2426" s="4"/>
      <c r="AR2426" s="4"/>
      <c r="AS2426" s="4"/>
      <c r="AT2426" s="4"/>
      <c r="AU2426" s="4"/>
      <c r="AV2426" s="4"/>
      <c r="AW2426" s="4"/>
      <c r="AX2426" s="4"/>
      <c r="AY2426" s="4"/>
      <c r="AZ2426" s="4"/>
      <c r="BA2426" s="4"/>
      <c r="BB2426" s="4"/>
      <c r="BC2426" s="4"/>
      <c r="BD2426" s="4"/>
      <c r="BE2426" s="4"/>
      <c r="BF2426" s="4"/>
      <c r="BG2426" s="4"/>
      <c r="BH2426" s="4"/>
      <c r="BI2426" s="4"/>
      <c r="BJ2426" s="4"/>
      <c r="BK2426" s="4"/>
      <c r="BL2426" s="4"/>
      <c r="BM2426" s="4"/>
      <c r="BN2426" s="4"/>
      <c r="BO2426" s="4"/>
      <c r="BP2426" s="4"/>
      <c r="BQ2426" s="4"/>
      <c r="BR2426" s="4"/>
      <c r="BS2426" s="4"/>
      <c r="BT2426" s="4"/>
      <c r="BU2426" s="4"/>
    </row>
    <row r="2427" spans="29:73" s="1" customFormat="1" x14ac:dyDescent="0.25">
      <c r="AC2427" s="4"/>
      <c r="AD2427" s="4"/>
      <c r="AE2427" s="4"/>
      <c r="AF2427" s="4"/>
      <c r="AG2427" s="4"/>
      <c r="AH2427" s="4"/>
      <c r="AI2427" s="4"/>
      <c r="AJ2427" s="4"/>
      <c r="AK2427" s="4"/>
      <c r="AL2427" s="4"/>
      <c r="AM2427" s="4"/>
      <c r="AN2427" s="4"/>
      <c r="AO2427" s="4"/>
      <c r="AP2427" s="4"/>
      <c r="AQ2427" s="4"/>
      <c r="AR2427" s="4"/>
      <c r="AS2427" s="4"/>
      <c r="AT2427" s="4"/>
      <c r="AU2427" s="4"/>
      <c r="AV2427" s="4"/>
      <c r="AW2427" s="4"/>
      <c r="AX2427" s="4"/>
      <c r="AY2427" s="4"/>
      <c r="AZ2427" s="4"/>
      <c r="BA2427" s="4"/>
      <c r="BB2427" s="4"/>
      <c r="BC2427" s="4"/>
      <c r="BD2427" s="4"/>
      <c r="BE2427" s="4"/>
      <c r="BF2427" s="4"/>
      <c r="BG2427" s="4"/>
      <c r="BH2427" s="4"/>
      <c r="BI2427" s="4"/>
      <c r="BJ2427" s="4"/>
      <c r="BK2427" s="4"/>
      <c r="BL2427" s="4"/>
      <c r="BM2427" s="4"/>
      <c r="BN2427" s="4"/>
      <c r="BO2427" s="4"/>
      <c r="BP2427" s="4"/>
      <c r="BQ2427" s="4"/>
      <c r="BR2427" s="4"/>
      <c r="BS2427" s="4"/>
      <c r="BT2427" s="4"/>
      <c r="BU2427" s="4"/>
    </row>
    <row r="2428" spans="29:73" s="1" customFormat="1" x14ac:dyDescent="0.25">
      <c r="AC2428" s="4"/>
      <c r="AD2428" s="4"/>
      <c r="AE2428" s="4"/>
      <c r="AF2428" s="4"/>
      <c r="AG2428" s="4"/>
      <c r="AH2428" s="4"/>
      <c r="AI2428" s="4"/>
      <c r="AJ2428" s="4"/>
      <c r="AK2428" s="4"/>
      <c r="AL2428" s="4"/>
      <c r="AM2428" s="4"/>
      <c r="AN2428" s="4"/>
      <c r="AO2428" s="4"/>
      <c r="AP2428" s="4"/>
      <c r="AQ2428" s="4"/>
      <c r="AR2428" s="4"/>
      <c r="AS2428" s="4"/>
      <c r="AT2428" s="4"/>
      <c r="AU2428" s="4"/>
      <c r="AV2428" s="4"/>
      <c r="AW2428" s="4"/>
      <c r="AX2428" s="4"/>
      <c r="AY2428" s="4"/>
      <c r="AZ2428" s="4"/>
      <c r="BA2428" s="4"/>
      <c r="BB2428" s="4"/>
      <c r="BC2428" s="4"/>
      <c r="BD2428" s="4"/>
      <c r="BE2428" s="4"/>
      <c r="BF2428" s="4"/>
      <c r="BG2428" s="4"/>
      <c r="BH2428" s="4"/>
      <c r="BI2428" s="4"/>
      <c r="BJ2428" s="4"/>
      <c r="BK2428" s="4"/>
      <c r="BL2428" s="4"/>
      <c r="BM2428" s="4"/>
      <c r="BN2428" s="4"/>
      <c r="BO2428" s="4"/>
      <c r="BP2428" s="4"/>
      <c r="BQ2428" s="4"/>
      <c r="BR2428" s="4"/>
      <c r="BS2428" s="4"/>
      <c r="BT2428" s="4"/>
      <c r="BU2428" s="4"/>
    </row>
    <row r="2429" spans="29:73" s="1" customFormat="1" x14ac:dyDescent="0.25">
      <c r="AC2429" s="4"/>
      <c r="AD2429" s="4"/>
      <c r="AE2429" s="4"/>
      <c r="AF2429" s="4"/>
      <c r="AG2429" s="4"/>
      <c r="AH2429" s="4"/>
      <c r="AI2429" s="4"/>
      <c r="AJ2429" s="4"/>
      <c r="AK2429" s="4"/>
      <c r="AL2429" s="4"/>
      <c r="AM2429" s="4"/>
      <c r="AN2429" s="4"/>
      <c r="AO2429" s="4"/>
      <c r="AP2429" s="4"/>
      <c r="AQ2429" s="4"/>
      <c r="AR2429" s="4"/>
      <c r="AS2429" s="4"/>
      <c r="AT2429" s="4"/>
      <c r="AU2429" s="4"/>
      <c r="AV2429" s="4"/>
      <c r="AW2429" s="4"/>
      <c r="AX2429" s="4"/>
      <c r="AY2429" s="4"/>
      <c r="AZ2429" s="4"/>
      <c r="BA2429" s="4"/>
      <c r="BB2429" s="4"/>
      <c r="BC2429" s="4"/>
      <c r="BD2429" s="4"/>
      <c r="BE2429" s="4"/>
      <c r="BF2429" s="4"/>
      <c r="BG2429" s="4"/>
      <c r="BH2429" s="4"/>
      <c r="BI2429" s="4"/>
      <c r="BJ2429" s="4"/>
      <c r="BK2429" s="4"/>
      <c r="BL2429" s="4"/>
      <c r="BM2429" s="4"/>
      <c r="BN2429" s="4"/>
      <c r="BO2429" s="4"/>
      <c r="BP2429" s="4"/>
      <c r="BQ2429" s="4"/>
      <c r="BR2429" s="4"/>
      <c r="BS2429" s="4"/>
      <c r="BT2429" s="4"/>
      <c r="BU2429" s="4"/>
    </row>
    <row r="2430" spans="29:73" s="1" customFormat="1" x14ac:dyDescent="0.25">
      <c r="AC2430" s="4"/>
      <c r="AD2430" s="4"/>
      <c r="AE2430" s="4"/>
      <c r="AF2430" s="4"/>
      <c r="AG2430" s="4"/>
      <c r="AH2430" s="4"/>
      <c r="AI2430" s="4"/>
      <c r="AJ2430" s="4"/>
      <c r="AK2430" s="4"/>
      <c r="AL2430" s="4"/>
      <c r="AM2430" s="4"/>
      <c r="AN2430" s="4"/>
      <c r="AO2430" s="4"/>
      <c r="AP2430" s="4"/>
      <c r="AQ2430" s="4"/>
      <c r="AR2430" s="4"/>
      <c r="AS2430" s="4"/>
      <c r="AT2430" s="4"/>
      <c r="AU2430" s="4"/>
      <c r="AV2430" s="4"/>
      <c r="AW2430" s="4"/>
      <c r="AX2430" s="4"/>
      <c r="AY2430" s="4"/>
      <c r="AZ2430" s="4"/>
      <c r="BA2430" s="4"/>
      <c r="BB2430" s="4"/>
      <c r="BC2430" s="4"/>
      <c r="BD2430" s="4"/>
      <c r="BE2430" s="4"/>
      <c r="BF2430" s="4"/>
      <c r="BG2430" s="4"/>
      <c r="BH2430" s="4"/>
      <c r="BI2430" s="4"/>
      <c r="BJ2430" s="4"/>
      <c r="BK2430" s="4"/>
      <c r="BL2430" s="4"/>
      <c r="BM2430" s="4"/>
      <c r="BN2430" s="4"/>
      <c r="BO2430" s="4"/>
      <c r="BP2430" s="4"/>
      <c r="BQ2430" s="4"/>
      <c r="BR2430" s="4"/>
      <c r="BS2430" s="4"/>
      <c r="BT2430" s="4"/>
      <c r="BU2430" s="4"/>
    </row>
    <row r="2431" spans="29:73" s="1" customFormat="1" x14ac:dyDescent="0.25">
      <c r="AC2431" s="4"/>
      <c r="AD2431" s="4"/>
      <c r="AE2431" s="4"/>
      <c r="AF2431" s="4"/>
      <c r="AG2431" s="4"/>
      <c r="AH2431" s="4"/>
      <c r="AI2431" s="4"/>
      <c r="AJ2431" s="4"/>
      <c r="AK2431" s="4"/>
      <c r="AL2431" s="4"/>
      <c r="AM2431" s="4"/>
      <c r="AN2431" s="4"/>
      <c r="AO2431" s="4"/>
      <c r="AP2431" s="4"/>
      <c r="AQ2431" s="4"/>
      <c r="AR2431" s="4"/>
      <c r="AS2431" s="4"/>
      <c r="AT2431" s="4"/>
      <c r="AU2431" s="4"/>
      <c r="AV2431" s="4"/>
      <c r="AW2431" s="4"/>
      <c r="AX2431" s="4"/>
      <c r="AY2431" s="4"/>
      <c r="AZ2431" s="4"/>
      <c r="BA2431" s="4"/>
      <c r="BB2431" s="4"/>
      <c r="BC2431" s="4"/>
      <c r="BD2431" s="4"/>
      <c r="BE2431" s="4"/>
      <c r="BF2431" s="4"/>
      <c r="BG2431" s="4"/>
      <c r="BH2431" s="4"/>
      <c r="BI2431" s="4"/>
      <c r="BJ2431" s="4"/>
      <c r="BK2431" s="4"/>
      <c r="BL2431" s="4"/>
      <c r="BM2431" s="4"/>
      <c r="BN2431" s="4"/>
      <c r="BO2431" s="4"/>
      <c r="BP2431" s="4"/>
      <c r="BQ2431" s="4"/>
      <c r="BR2431" s="4"/>
      <c r="BS2431" s="4"/>
      <c r="BT2431" s="4"/>
      <c r="BU2431" s="4"/>
    </row>
    <row r="2432" spans="29:73" s="1" customFormat="1" x14ac:dyDescent="0.25">
      <c r="AC2432" s="4"/>
      <c r="AD2432" s="4"/>
      <c r="AE2432" s="4"/>
      <c r="AF2432" s="4"/>
      <c r="AG2432" s="4"/>
      <c r="AH2432" s="4"/>
      <c r="AI2432" s="4"/>
      <c r="AJ2432" s="4"/>
      <c r="AK2432" s="4"/>
      <c r="AL2432" s="4"/>
      <c r="AM2432" s="4"/>
      <c r="AN2432" s="4"/>
      <c r="AO2432" s="4"/>
      <c r="AP2432" s="4"/>
      <c r="AQ2432" s="4"/>
      <c r="AR2432" s="4"/>
      <c r="AS2432" s="4"/>
      <c r="AT2432" s="4"/>
      <c r="AU2432" s="4"/>
      <c r="AV2432" s="4"/>
      <c r="AW2432" s="4"/>
      <c r="AX2432" s="4"/>
      <c r="AY2432" s="4"/>
      <c r="AZ2432" s="4"/>
      <c r="BA2432" s="4"/>
      <c r="BB2432" s="4"/>
      <c r="BC2432" s="4"/>
      <c r="BD2432" s="4"/>
      <c r="BE2432" s="4"/>
      <c r="BF2432" s="4"/>
      <c r="BG2432" s="4"/>
      <c r="BH2432" s="4"/>
      <c r="BI2432" s="4"/>
      <c r="BJ2432" s="4"/>
      <c r="BK2432" s="4"/>
      <c r="BL2432" s="4"/>
      <c r="BM2432" s="4"/>
      <c r="BN2432" s="4"/>
      <c r="BO2432" s="4"/>
      <c r="BP2432" s="4"/>
      <c r="BQ2432" s="4"/>
      <c r="BR2432" s="4"/>
      <c r="BS2432" s="4"/>
      <c r="BT2432" s="4"/>
      <c r="BU2432" s="4"/>
    </row>
    <row r="2433" spans="29:73" s="1" customFormat="1" x14ac:dyDescent="0.25">
      <c r="AC2433" s="4"/>
      <c r="AD2433" s="4"/>
      <c r="AE2433" s="4"/>
      <c r="AF2433" s="4"/>
      <c r="AG2433" s="4"/>
      <c r="AH2433" s="4"/>
      <c r="AI2433" s="4"/>
      <c r="AJ2433" s="4"/>
      <c r="AK2433" s="4"/>
      <c r="AL2433" s="4"/>
      <c r="AM2433" s="4"/>
      <c r="AN2433" s="4"/>
      <c r="AO2433" s="4"/>
      <c r="AP2433" s="4"/>
      <c r="AQ2433" s="4"/>
      <c r="AR2433" s="4"/>
      <c r="AS2433" s="4"/>
      <c r="AT2433" s="4"/>
      <c r="AU2433" s="4"/>
      <c r="AV2433" s="4"/>
      <c r="AW2433" s="4"/>
      <c r="AX2433" s="4"/>
      <c r="AY2433" s="4"/>
      <c r="AZ2433" s="4"/>
      <c r="BA2433" s="4"/>
      <c r="BB2433" s="4"/>
      <c r="BC2433" s="4"/>
      <c r="BD2433" s="4"/>
      <c r="BE2433" s="4"/>
      <c r="BF2433" s="4"/>
      <c r="BG2433" s="4"/>
      <c r="BH2433" s="4"/>
      <c r="BI2433" s="4"/>
      <c r="BJ2433" s="4"/>
      <c r="BK2433" s="4"/>
      <c r="BL2433" s="4"/>
      <c r="BM2433" s="4"/>
      <c r="BN2433" s="4"/>
      <c r="BO2433" s="4"/>
      <c r="BP2433" s="4"/>
      <c r="BQ2433" s="4"/>
      <c r="BR2433" s="4"/>
      <c r="BS2433" s="4"/>
      <c r="BT2433" s="4"/>
      <c r="BU2433" s="4"/>
    </row>
    <row r="2434" spans="29:73" s="1" customFormat="1" x14ac:dyDescent="0.25">
      <c r="AC2434" s="4"/>
      <c r="AD2434" s="4"/>
      <c r="AE2434" s="4"/>
      <c r="AF2434" s="4"/>
      <c r="AG2434" s="4"/>
      <c r="AH2434" s="4"/>
      <c r="AI2434" s="4"/>
      <c r="AJ2434" s="4"/>
      <c r="AK2434" s="4"/>
      <c r="AL2434" s="4"/>
      <c r="AM2434" s="4"/>
      <c r="AN2434" s="4"/>
      <c r="AO2434" s="4"/>
      <c r="AP2434" s="4"/>
      <c r="AQ2434" s="4"/>
      <c r="AR2434" s="4"/>
      <c r="AS2434" s="4"/>
      <c r="AT2434" s="4"/>
      <c r="AU2434" s="4"/>
      <c r="AV2434" s="4"/>
      <c r="AW2434" s="4"/>
      <c r="AX2434" s="4"/>
      <c r="AY2434" s="4"/>
      <c r="AZ2434" s="4"/>
      <c r="BA2434" s="4"/>
      <c r="BB2434" s="4"/>
      <c r="BC2434" s="4"/>
      <c r="BD2434" s="4"/>
      <c r="BE2434" s="4"/>
      <c r="BF2434" s="4"/>
      <c r="BG2434" s="4"/>
      <c r="BH2434" s="4"/>
      <c r="BI2434" s="4"/>
      <c r="BJ2434" s="4"/>
      <c r="BK2434" s="4"/>
      <c r="BL2434" s="4"/>
      <c r="BM2434" s="4"/>
      <c r="BN2434" s="4"/>
      <c r="BO2434" s="4"/>
      <c r="BP2434" s="4"/>
      <c r="BQ2434" s="4"/>
      <c r="BR2434" s="4"/>
      <c r="BS2434" s="4"/>
      <c r="BT2434" s="4"/>
      <c r="BU2434" s="4"/>
    </row>
    <row r="2435" spans="29:73" s="1" customFormat="1" x14ac:dyDescent="0.25">
      <c r="AC2435" s="4"/>
      <c r="AD2435" s="4"/>
      <c r="AE2435" s="4"/>
      <c r="AF2435" s="4"/>
      <c r="AG2435" s="4"/>
      <c r="AH2435" s="4"/>
      <c r="AI2435" s="4"/>
      <c r="AJ2435" s="4"/>
      <c r="AK2435" s="4"/>
      <c r="AL2435" s="4"/>
      <c r="AM2435" s="4"/>
      <c r="AN2435" s="4"/>
      <c r="AO2435" s="4"/>
      <c r="AP2435" s="4"/>
      <c r="AQ2435" s="4"/>
      <c r="AR2435" s="4"/>
      <c r="AS2435" s="4"/>
      <c r="AT2435" s="4"/>
      <c r="AU2435" s="4"/>
      <c r="AV2435" s="4"/>
      <c r="AW2435" s="4"/>
      <c r="AX2435" s="4"/>
      <c r="AY2435" s="4"/>
      <c r="AZ2435" s="4"/>
      <c r="BA2435" s="4"/>
      <c r="BB2435" s="4"/>
      <c r="BC2435" s="4"/>
      <c r="BD2435" s="4"/>
      <c r="BE2435" s="4"/>
      <c r="BF2435" s="4"/>
      <c r="BG2435" s="4"/>
      <c r="BH2435" s="4"/>
      <c r="BI2435" s="4"/>
      <c r="BJ2435" s="4"/>
      <c r="BK2435" s="4"/>
      <c r="BL2435" s="4"/>
      <c r="BM2435" s="4"/>
      <c r="BN2435" s="4"/>
      <c r="BO2435" s="4"/>
      <c r="BP2435" s="4"/>
      <c r="BQ2435" s="4"/>
      <c r="BR2435" s="4"/>
      <c r="BS2435" s="4"/>
      <c r="BT2435" s="4"/>
      <c r="BU2435" s="4"/>
    </row>
    <row r="2436" spans="29:73" s="1" customFormat="1" x14ac:dyDescent="0.25">
      <c r="AC2436" s="4"/>
      <c r="AD2436" s="4"/>
      <c r="AE2436" s="4"/>
      <c r="AF2436" s="4"/>
      <c r="AG2436" s="4"/>
      <c r="AH2436" s="4"/>
      <c r="AI2436" s="4"/>
      <c r="AJ2436" s="4"/>
      <c r="AK2436" s="4"/>
      <c r="AL2436" s="4"/>
      <c r="AM2436" s="4"/>
      <c r="AN2436" s="4"/>
      <c r="AO2436" s="4"/>
      <c r="AP2436" s="4"/>
      <c r="AQ2436" s="4"/>
      <c r="AR2436" s="4"/>
      <c r="AS2436" s="4"/>
      <c r="AT2436" s="4"/>
      <c r="AU2436" s="4"/>
      <c r="AV2436" s="4"/>
      <c r="AW2436" s="4"/>
      <c r="AX2436" s="4"/>
      <c r="AY2436" s="4"/>
      <c r="AZ2436" s="4"/>
      <c r="BA2436" s="4"/>
      <c r="BB2436" s="4"/>
      <c r="BC2436" s="4"/>
      <c r="BD2436" s="4"/>
      <c r="BE2436" s="4"/>
      <c r="BF2436" s="4"/>
      <c r="BG2436" s="4"/>
      <c r="BH2436" s="4"/>
      <c r="BI2436" s="4"/>
      <c r="BJ2436" s="4"/>
      <c r="BK2436" s="4"/>
      <c r="BL2436" s="4"/>
      <c r="BM2436" s="4"/>
      <c r="BN2436" s="4"/>
      <c r="BO2436" s="4"/>
      <c r="BP2436" s="4"/>
      <c r="BQ2436" s="4"/>
      <c r="BR2436" s="4"/>
      <c r="BS2436" s="4"/>
      <c r="BT2436" s="4"/>
      <c r="BU2436" s="4"/>
    </row>
    <row r="2437" spans="29:73" s="1" customFormat="1" x14ac:dyDescent="0.25">
      <c r="AC2437" s="4"/>
      <c r="AD2437" s="4"/>
      <c r="AE2437" s="4"/>
      <c r="AF2437" s="4"/>
      <c r="AG2437" s="4"/>
      <c r="AH2437" s="4"/>
      <c r="AI2437" s="4"/>
      <c r="AJ2437" s="4"/>
      <c r="AK2437" s="4"/>
      <c r="AL2437" s="4"/>
      <c r="AM2437" s="4"/>
      <c r="AN2437" s="4"/>
      <c r="AO2437" s="4"/>
      <c r="AP2437" s="4"/>
      <c r="AQ2437" s="4"/>
      <c r="AR2437" s="4"/>
      <c r="AS2437" s="4"/>
      <c r="AT2437" s="4"/>
      <c r="AU2437" s="4"/>
      <c r="AV2437" s="4"/>
      <c r="AW2437" s="4"/>
      <c r="AX2437" s="4"/>
      <c r="AY2437" s="4"/>
      <c r="AZ2437" s="4"/>
      <c r="BA2437" s="4"/>
      <c r="BB2437" s="4"/>
      <c r="BC2437" s="4"/>
      <c r="BD2437" s="4"/>
      <c r="BE2437" s="4"/>
      <c r="BF2437" s="4"/>
      <c r="BG2437" s="4"/>
      <c r="BH2437" s="4"/>
      <c r="BI2437" s="4"/>
      <c r="BJ2437" s="4"/>
      <c r="BK2437" s="4"/>
      <c r="BL2437" s="4"/>
      <c r="BM2437" s="4"/>
      <c r="BN2437" s="4"/>
      <c r="BO2437" s="4"/>
      <c r="BP2437" s="4"/>
      <c r="BQ2437" s="4"/>
      <c r="BR2437" s="4"/>
      <c r="BS2437" s="4"/>
      <c r="BT2437" s="4"/>
      <c r="BU2437" s="4"/>
    </row>
    <row r="2438" spans="29:73" s="1" customFormat="1" x14ac:dyDescent="0.25">
      <c r="AC2438" s="4"/>
      <c r="AD2438" s="4"/>
      <c r="AE2438" s="4"/>
      <c r="AF2438" s="4"/>
      <c r="AG2438" s="4"/>
      <c r="AH2438" s="4"/>
      <c r="AI2438" s="4"/>
      <c r="AJ2438" s="4"/>
      <c r="AK2438" s="4"/>
      <c r="AL2438" s="4"/>
      <c r="AM2438" s="4"/>
      <c r="AN2438" s="4"/>
      <c r="AO2438" s="4"/>
      <c r="AP2438" s="4"/>
      <c r="AQ2438" s="4"/>
      <c r="AR2438" s="4"/>
      <c r="AS2438" s="4"/>
      <c r="AT2438" s="4"/>
      <c r="AU2438" s="4"/>
      <c r="AV2438" s="4"/>
      <c r="AW2438" s="4"/>
      <c r="AX2438" s="4"/>
      <c r="AY2438" s="4"/>
      <c r="AZ2438" s="4"/>
      <c r="BA2438" s="4"/>
      <c r="BB2438" s="4"/>
      <c r="BC2438" s="4"/>
      <c r="BD2438" s="4"/>
      <c r="BE2438" s="4"/>
      <c r="BF2438" s="4"/>
      <c r="BG2438" s="4"/>
      <c r="BH2438" s="4"/>
      <c r="BI2438" s="4"/>
      <c r="BJ2438" s="4"/>
      <c r="BK2438" s="4"/>
      <c r="BL2438" s="4"/>
      <c r="BM2438" s="4"/>
      <c r="BN2438" s="4"/>
      <c r="BO2438" s="4"/>
      <c r="BP2438" s="4"/>
      <c r="BQ2438" s="4"/>
      <c r="BR2438" s="4"/>
      <c r="BS2438" s="4"/>
      <c r="BT2438" s="4"/>
      <c r="BU2438" s="4"/>
    </row>
    <row r="2439" spans="29:73" s="1" customFormat="1" x14ac:dyDescent="0.25">
      <c r="AC2439" s="4"/>
      <c r="AD2439" s="4"/>
      <c r="AE2439" s="4"/>
      <c r="AF2439" s="4"/>
      <c r="AG2439" s="4"/>
      <c r="AH2439" s="4"/>
      <c r="AI2439" s="4"/>
      <c r="AJ2439" s="4"/>
      <c r="AK2439" s="4"/>
      <c r="AL2439" s="4"/>
      <c r="AM2439" s="4"/>
      <c r="AN2439" s="4"/>
      <c r="AO2439" s="4"/>
      <c r="AP2439" s="4"/>
      <c r="AQ2439" s="4"/>
      <c r="AR2439" s="4"/>
      <c r="AS2439" s="4"/>
      <c r="AT2439" s="4"/>
      <c r="AU2439" s="4"/>
      <c r="AV2439" s="4"/>
      <c r="AW2439" s="4"/>
      <c r="AX2439" s="4"/>
      <c r="AY2439" s="4"/>
      <c r="AZ2439" s="4"/>
      <c r="BA2439" s="4"/>
      <c r="BB2439" s="4"/>
      <c r="BC2439" s="4"/>
      <c r="BD2439" s="4"/>
      <c r="BE2439" s="4"/>
      <c r="BF2439" s="4"/>
      <c r="BG2439" s="4"/>
      <c r="BH2439" s="4"/>
      <c r="BI2439" s="4"/>
      <c r="BJ2439" s="4"/>
      <c r="BK2439" s="4"/>
      <c r="BL2439" s="4"/>
      <c r="BM2439" s="4"/>
      <c r="BN2439" s="4"/>
      <c r="BO2439" s="4"/>
      <c r="BP2439" s="4"/>
      <c r="BQ2439" s="4"/>
      <c r="BR2439" s="4"/>
      <c r="BS2439" s="4"/>
      <c r="BT2439" s="4"/>
      <c r="BU2439" s="4"/>
    </row>
    <row r="2440" spans="29:73" s="1" customFormat="1" x14ac:dyDescent="0.25">
      <c r="AC2440" s="4"/>
      <c r="AD2440" s="4"/>
      <c r="AE2440" s="4"/>
      <c r="AF2440" s="4"/>
      <c r="AG2440" s="4"/>
      <c r="AH2440" s="4"/>
      <c r="AI2440" s="4"/>
      <c r="AJ2440" s="4"/>
      <c r="AK2440" s="4"/>
      <c r="AL2440" s="4"/>
      <c r="AM2440" s="4"/>
      <c r="AN2440" s="4"/>
      <c r="AO2440" s="4"/>
      <c r="AP2440" s="4"/>
      <c r="AQ2440" s="4"/>
      <c r="AR2440" s="4"/>
      <c r="AS2440" s="4"/>
      <c r="AT2440" s="4"/>
      <c r="AU2440" s="4"/>
      <c r="AV2440" s="4"/>
      <c r="AW2440" s="4"/>
      <c r="AX2440" s="4"/>
      <c r="AY2440" s="4"/>
      <c r="AZ2440" s="4"/>
      <c r="BA2440" s="4"/>
      <c r="BB2440" s="4"/>
      <c r="BC2440" s="4"/>
      <c r="BD2440" s="4"/>
      <c r="BE2440" s="4"/>
      <c r="BF2440" s="4"/>
      <c r="BG2440" s="4"/>
      <c r="BH2440" s="4"/>
      <c r="BI2440" s="4"/>
      <c r="BJ2440" s="4"/>
      <c r="BK2440" s="4"/>
      <c r="BL2440" s="4"/>
      <c r="BM2440" s="4"/>
      <c r="BN2440" s="4"/>
      <c r="BO2440" s="4"/>
      <c r="BP2440" s="4"/>
      <c r="BQ2440" s="4"/>
      <c r="BR2440" s="4"/>
      <c r="BS2440" s="4"/>
      <c r="BT2440" s="4"/>
      <c r="BU2440" s="4"/>
    </row>
    <row r="2441" spans="29:73" s="1" customFormat="1" x14ac:dyDescent="0.25">
      <c r="AC2441" s="4"/>
      <c r="AD2441" s="4"/>
      <c r="AE2441" s="4"/>
      <c r="AF2441" s="4"/>
      <c r="AG2441" s="4"/>
      <c r="AH2441" s="4"/>
      <c r="AI2441" s="4"/>
      <c r="AJ2441" s="4"/>
      <c r="AK2441" s="4"/>
      <c r="AL2441" s="4"/>
      <c r="AM2441" s="4"/>
      <c r="AN2441" s="4"/>
      <c r="AO2441" s="4"/>
      <c r="AP2441" s="4"/>
      <c r="AQ2441" s="4"/>
      <c r="AR2441" s="4"/>
      <c r="AS2441" s="4"/>
      <c r="AT2441" s="4"/>
      <c r="AU2441" s="4"/>
      <c r="AV2441" s="4"/>
      <c r="AW2441" s="4"/>
      <c r="AX2441" s="4"/>
      <c r="AY2441" s="4"/>
      <c r="AZ2441" s="4"/>
      <c r="BA2441" s="4"/>
      <c r="BB2441" s="4"/>
      <c r="BC2441" s="4"/>
      <c r="BD2441" s="4"/>
      <c r="BE2441" s="4"/>
      <c r="BF2441" s="4"/>
      <c r="BG2441" s="4"/>
      <c r="BH2441" s="4"/>
      <c r="BI2441" s="4"/>
      <c r="BJ2441" s="4"/>
      <c r="BK2441" s="4"/>
      <c r="BL2441" s="4"/>
      <c r="BM2441" s="4"/>
      <c r="BN2441" s="4"/>
      <c r="BO2441" s="4"/>
      <c r="BP2441" s="4"/>
      <c r="BQ2441" s="4"/>
      <c r="BR2441" s="4"/>
      <c r="BS2441" s="4"/>
      <c r="BT2441" s="4"/>
      <c r="BU2441" s="4"/>
    </row>
    <row r="2442" spans="29:73" s="1" customFormat="1" x14ac:dyDescent="0.25">
      <c r="AC2442" s="4"/>
      <c r="AD2442" s="4"/>
      <c r="AE2442" s="4"/>
      <c r="AF2442" s="4"/>
      <c r="AG2442" s="4"/>
      <c r="AH2442" s="4"/>
      <c r="AI2442" s="4"/>
      <c r="AJ2442" s="4"/>
      <c r="AK2442" s="4"/>
      <c r="AL2442" s="4"/>
      <c r="AM2442" s="4"/>
      <c r="AN2442" s="4"/>
      <c r="AO2442" s="4"/>
      <c r="AP2442" s="4"/>
      <c r="AQ2442" s="4"/>
      <c r="AR2442" s="4"/>
      <c r="AS2442" s="4"/>
      <c r="AT2442" s="4"/>
      <c r="AU2442" s="4"/>
      <c r="AV2442" s="4"/>
      <c r="AW2442" s="4"/>
      <c r="AX2442" s="4"/>
      <c r="AY2442" s="4"/>
      <c r="AZ2442" s="4"/>
      <c r="BA2442" s="4"/>
      <c r="BB2442" s="4"/>
      <c r="BC2442" s="4"/>
      <c r="BD2442" s="4"/>
      <c r="BE2442" s="4"/>
      <c r="BF2442" s="4"/>
      <c r="BG2442" s="4"/>
      <c r="BH2442" s="4"/>
      <c r="BI2442" s="4"/>
      <c r="BJ2442" s="4"/>
      <c r="BK2442" s="4"/>
      <c r="BL2442" s="4"/>
      <c r="BM2442" s="4"/>
      <c r="BN2442" s="4"/>
      <c r="BO2442" s="4"/>
      <c r="BP2442" s="4"/>
      <c r="BQ2442" s="4"/>
      <c r="BR2442" s="4"/>
      <c r="BS2442" s="4"/>
      <c r="BT2442" s="4"/>
      <c r="BU2442" s="4"/>
    </row>
    <row r="2443" spans="29:73" s="1" customFormat="1" x14ac:dyDescent="0.25">
      <c r="AC2443" s="4"/>
      <c r="AD2443" s="4"/>
      <c r="AE2443" s="4"/>
      <c r="AF2443" s="4"/>
      <c r="AG2443" s="4"/>
      <c r="AH2443" s="4"/>
      <c r="AI2443" s="4"/>
      <c r="AJ2443" s="4"/>
      <c r="AK2443" s="4"/>
      <c r="AL2443" s="4"/>
      <c r="AM2443" s="4"/>
      <c r="AN2443" s="4"/>
      <c r="AO2443" s="4"/>
      <c r="AP2443" s="4"/>
      <c r="AQ2443" s="4"/>
      <c r="AR2443" s="4"/>
      <c r="AS2443" s="4"/>
      <c r="AT2443" s="4"/>
      <c r="AU2443" s="4"/>
      <c r="AV2443" s="4"/>
      <c r="AW2443" s="4"/>
      <c r="AX2443" s="4"/>
      <c r="AY2443" s="4"/>
      <c r="AZ2443" s="4"/>
      <c r="BA2443" s="4"/>
      <c r="BB2443" s="4"/>
      <c r="BC2443" s="4"/>
      <c r="BD2443" s="4"/>
      <c r="BE2443" s="4"/>
      <c r="BF2443" s="4"/>
      <c r="BG2443" s="4"/>
      <c r="BH2443" s="4"/>
      <c r="BI2443" s="4"/>
      <c r="BJ2443" s="4"/>
      <c r="BK2443" s="4"/>
      <c r="BL2443" s="4"/>
      <c r="BM2443" s="4"/>
      <c r="BN2443" s="4"/>
      <c r="BO2443" s="4"/>
      <c r="BP2443" s="4"/>
      <c r="BQ2443" s="4"/>
      <c r="BR2443" s="4"/>
      <c r="BS2443" s="4"/>
      <c r="BT2443" s="4"/>
      <c r="BU2443" s="4"/>
    </row>
    <row r="2444" spans="29:73" s="1" customFormat="1" x14ac:dyDescent="0.25">
      <c r="AC2444" s="4"/>
      <c r="AD2444" s="4"/>
      <c r="AE2444" s="4"/>
      <c r="AF2444" s="4"/>
      <c r="AG2444" s="4"/>
      <c r="AH2444" s="4"/>
      <c r="AI2444" s="4"/>
      <c r="AJ2444" s="4"/>
      <c r="AK2444" s="4"/>
      <c r="AL2444" s="4"/>
      <c r="AM2444" s="4"/>
      <c r="AN2444" s="4"/>
      <c r="AO2444" s="4"/>
      <c r="AP2444" s="4"/>
      <c r="AQ2444" s="4"/>
      <c r="AR2444" s="4"/>
      <c r="AS2444" s="4"/>
      <c r="AT2444" s="4"/>
      <c r="AU2444" s="4"/>
      <c r="AV2444" s="4"/>
      <c r="AW2444" s="4"/>
      <c r="AX2444" s="4"/>
      <c r="AY2444" s="4"/>
      <c r="AZ2444" s="4"/>
      <c r="BA2444" s="4"/>
      <c r="BB2444" s="4"/>
      <c r="BC2444" s="4"/>
      <c r="BD2444" s="4"/>
      <c r="BE2444" s="4"/>
      <c r="BF2444" s="4"/>
      <c r="BG2444" s="4"/>
      <c r="BH2444" s="4"/>
      <c r="BI2444" s="4"/>
      <c r="BJ2444" s="4"/>
      <c r="BK2444" s="4"/>
      <c r="BL2444" s="4"/>
      <c r="BM2444" s="4"/>
      <c r="BN2444" s="4"/>
      <c r="BO2444" s="4"/>
      <c r="BP2444" s="4"/>
      <c r="BQ2444" s="4"/>
      <c r="BR2444" s="4"/>
      <c r="BS2444" s="4"/>
      <c r="BT2444" s="4"/>
      <c r="BU2444" s="4"/>
    </row>
    <row r="2445" spans="29:73" s="1" customFormat="1" x14ac:dyDescent="0.25">
      <c r="AC2445" s="4"/>
      <c r="AD2445" s="4"/>
      <c r="AE2445" s="4"/>
      <c r="AF2445" s="4"/>
      <c r="AG2445" s="4"/>
      <c r="AH2445" s="4"/>
      <c r="AI2445" s="4"/>
      <c r="AJ2445" s="4"/>
      <c r="AK2445" s="4"/>
      <c r="AL2445" s="4"/>
      <c r="AM2445" s="4"/>
      <c r="AN2445" s="4"/>
      <c r="AO2445" s="4"/>
      <c r="AP2445" s="4"/>
      <c r="AQ2445" s="4"/>
      <c r="AR2445" s="4"/>
      <c r="AS2445" s="4"/>
      <c r="AT2445" s="4"/>
      <c r="AU2445" s="4"/>
      <c r="AV2445" s="4"/>
      <c r="AW2445" s="4"/>
      <c r="AX2445" s="4"/>
      <c r="AY2445" s="4"/>
      <c r="AZ2445" s="4"/>
      <c r="BA2445" s="4"/>
      <c r="BB2445" s="4"/>
      <c r="BC2445" s="4"/>
      <c r="BD2445" s="4"/>
      <c r="BE2445" s="4"/>
      <c r="BF2445" s="4"/>
      <c r="BG2445" s="4"/>
      <c r="BH2445" s="4"/>
      <c r="BI2445" s="4"/>
      <c r="BJ2445" s="4"/>
      <c r="BK2445" s="4"/>
      <c r="BL2445" s="4"/>
      <c r="BM2445" s="4"/>
      <c r="BN2445" s="4"/>
      <c r="BO2445" s="4"/>
      <c r="BP2445" s="4"/>
      <c r="BQ2445" s="4"/>
      <c r="BR2445" s="4"/>
      <c r="BS2445" s="4"/>
      <c r="BT2445" s="4"/>
      <c r="BU2445" s="4"/>
    </row>
    <row r="2446" spans="29:73" s="1" customFormat="1" x14ac:dyDescent="0.25">
      <c r="AC2446" s="4"/>
      <c r="AD2446" s="4"/>
      <c r="AE2446" s="4"/>
      <c r="AF2446" s="4"/>
      <c r="AG2446" s="4"/>
      <c r="AH2446" s="4"/>
      <c r="AI2446" s="4"/>
      <c r="AJ2446" s="4"/>
      <c r="AK2446" s="4"/>
      <c r="AL2446" s="4"/>
      <c r="AM2446" s="4"/>
      <c r="AN2446" s="4"/>
      <c r="AO2446" s="4"/>
      <c r="AP2446" s="4"/>
      <c r="AQ2446" s="4"/>
      <c r="AR2446" s="4"/>
      <c r="AS2446" s="4"/>
      <c r="AT2446" s="4"/>
      <c r="AU2446" s="4"/>
      <c r="AV2446" s="4"/>
      <c r="AW2446" s="4"/>
      <c r="AX2446" s="4"/>
      <c r="AY2446" s="4"/>
      <c r="AZ2446" s="4"/>
      <c r="BA2446" s="4"/>
      <c r="BB2446" s="4"/>
      <c r="BC2446" s="4"/>
      <c r="BD2446" s="4"/>
      <c r="BE2446" s="4"/>
      <c r="BF2446" s="4"/>
      <c r="BG2446" s="4"/>
      <c r="BH2446" s="4"/>
      <c r="BI2446" s="4"/>
      <c r="BJ2446" s="4"/>
      <c r="BK2446" s="4"/>
      <c r="BL2446" s="4"/>
      <c r="BM2446" s="4"/>
      <c r="BN2446" s="4"/>
      <c r="BO2446" s="4"/>
      <c r="BP2446" s="4"/>
      <c r="BQ2446" s="4"/>
      <c r="BR2446" s="4"/>
      <c r="BS2446" s="4"/>
      <c r="BT2446" s="4"/>
      <c r="BU2446" s="4"/>
    </row>
    <row r="2447" spans="29:73" s="1" customFormat="1" x14ac:dyDescent="0.25">
      <c r="AC2447" s="4"/>
      <c r="AD2447" s="4"/>
      <c r="AE2447" s="4"/>
      <c r="AF2447" s="4"/>
      <c r="AG2447" s="4"/>
      <c r="AH2447" s="4"/>
      <c r="AI2447" s="4"/>
      <c r="AJ2447" s="4"/>
      <c r="AK2447" s="4"/>
      <c r="AL2447" s="4"/>
      <c r="AM2447" s="4"/>
      <c r="AN2447" s="4"/>
      <c r="AO2447" s="4"/>
      <c r="AP2447" s="4"/>
      <c r="AQ2447" s="4"/>
      <c r="AR2447" s="4"/>
      <c r="AS2447" s="4"/>
      <c r="AT2447" s="4"/>
      <c r="AU2447" s="4"/>
      <c r="AV2447" s="4"/>
      <c r="AW2447" s="4"/>
      <c r="AX2447" s="4"/>
      <c r="AY2447" s="4"/>
      <c r="AZ2447" s="4"/>
      <c r="BA2447" s="4"/>
      <c r="BB2447" s="4"/>
      <c r="BC2447" s="4"/>
      <c r="BD2447" s="4"/>
      <c r="BE2447" s="4"/>
      <c r="BF2447" s="4"/>
      <c r="BG2447" s="4"/>
      <c r="BH2447" s="4"/>
      <c r="BI2447" s="4"/>
      <c r="BJ2447" s="4"/>
      <c r="BK2447" s="4"/>
      <c r="BL2447" s="4"/>
      <c r="BM2447" s="4"/>
      <c r="BN2447" s="4"/>
      <c r="BO2447" s="4"/>
      <c r="BP2447" s="4"/>
      <c r="BQ2447" s="4"/>
      <c r="BR2447" s="4"/>
      <c r="BS2447" s="4"/>
      <c r="BT2447" s="4"/>
      <c r="BU2447" s="4"/>
    </row>
    <row r="2448" spans="29:73" s="1" customFormat="1" x14ac:dyDescent="0.25">
      <c r="AC2448" s="4"/>
      <c r="AD2448" s="4"/>
      <c r="AE2448" s="4"/>
      <c r="AF2448" s="4"/>
      <c r="AG2448" s="4"/>
      <c r="AH2448" s="4"/>
      <c r="AI2448" s="4"/>
      <c r="AJ2448" s="4"/>
      <c r="AK2448" s="4"/>
      <c r="AL2448" s="4"/>
      <c r="AM2448" s="4"/>
      <c r="AN2448" s="4"/>
      <c r="AO2448" s="4"/>
      <c r="AP2448" s="4"/>
      <c r="AQ2448" s="4"/>
      <c r="AR2448" s="4"/>
      <c r="AS2448" s="4"/>
      <c r="AT2448" s="4"/>
      <c r="AU2448" s="4"/>
      <c r="AV2448" s="4"/>
      <c r="AW2448" s="4"/>
      <c r="AX2448" s="4"/>
      <c r="AY2448" s="4"/>
      <c r="AZ2448" s="4"/>
      <c r="BA2448" s="4"/>
      <c r="BB2448" s="4"/>
      <c r="BC2448" s="4"/>
      <c r="BD2448" s="4"/>
      <c r="BE2448" s="4"/>
      <c r="BF2448" s="4"/>
      <c r="BG2448" s="4"/>
      <c r="BH2448" s="4"/>
      <c r="BI2448" s="4"/>
      <c r="BJ2448" s="4"/>
      <c r="BK2448" s="4"/>
      <c r="BL2448" s="4"/>
      <c r="BM2448" s="4"/>
      <c r="BN2448" s="4"/>
      <c r="BO2448" s="4"/>
      <c r="BP2448" s="4"/>
      <c r="BQ2448" s="4"/>
      <c r="BR2448" s="4"/>
      <c r="BS2448" s="4"/>
      <c r="BT2448" s="4"/>
      <c r="BU2448" s="4"/>
    </row>
    <row r="2449" spans="29:73" s="1" customFormat="1" x14ac:dyDescent="0.25">
      <c r="AC2449" s="4"/>
      <c r="AD2449" s="4"/>
      <c r="AE2449" s="4"/>
      <c r="AF2449" s="4"/>
      <c r="AG2449" s="4"/>
      <c r="AH2449" s="4"/>
      <c r="AI2449" s="4"/>
      <c r="AJ2449" s="4"/>
      <c r="AK2449" s="4"/>
      <c r="AL2449" s="4"/>
      <c r="AM2449" s="4"/>
      <c r="AN2449" s="4"/>
      <c r="AO2449" s="4"/>
      <c r="AP2449" s="4"/>
      <c r="AQ2449" s="4"/>
      <c r="AR2449" s="4"/>
      <c r="AS2449" s="4"/>
      <c r="AT2449" s="4"/>
      <c r="AU2449" s="4"/>
      <c r="AV2449" s="4"/>
      <c r="AW2449" s="4"/>
      <c r="AX2449" s="4"/>
      <c r="AY2449" s="4"/>
      <c r="AZ2449" s="4"/>
      <c r="BA2449" s="4"/>
      <c r="BB2449" s="4"/>
      <c r="BC2449" s="4"/>
      <c r="BD2449" s="4"/>
      <c r="BE2449" s="4"/>
      <c r="BF2449" s="4"/>
      <c r="BG2449" s="4"/>
      <c r="BH2449" s="4"/>
      <c r="BI2449" s="4"/>
      <c r="BJ2449" s="4"/>
      <c r="BK2449" s="4"/>
      <c r="BL2449" s="4"/>
      <c r="BM2449" s="4"/>
      <c r="BN2449" s="4"/>
      <c r="BO2449" s="4"/>
      <c r="BP2449" s="4"/>
      <c r="BQ2449" s="4"/>
      <c r="BR2449" s="4"/>
      <c r="BS2449" s="4"/>
      <c r="BT2449" s="4"/>
      <c r="BU2449" s="4"/>
    </row>
    <row r="2450" spans="29:73" s="1" customFormat="1" x14ac:dyDescent="0.25">
      <c r="AC2450" s="4"/>
      <c r="AD2450" s="4"/>
      <c r="AE2450" s="4"/>
      <c r="AF2450" s="4"/>
      <c r="AG2450" s="4"/>
      <c r="AH2450" s="4"/>
      <c r="AI2450" s="4"/>
      <c r="AJ2450" s="4"/>
      <c r="AK2450" s="4"/>
      <c r="AL2450" s="4"/>
      <c r="AM2450" s="4"/>
      <c r="AN2450" s="4"/>
      <c r="AO2450" s="4"/>
      <c r="AP2450" s="4"/>
      <c r="AQ2450" s="4"/>
      <c r="AR2450" s="4"/>
      <c r="AS2450" s="4"/>
      <c r="AT2450" s="4"/>
      <c r="AU2450" s="4"/>
      <c r="AV2450" s="4"/>
      <c r="AW2450" s="4"/>
      <c r="AX2450" s="4"/>
      <c r="AY2450" s="4"/>
      <c r="AZ2450" s="4"/>
      <c r="BA2450" s="4"/>
      <c r="BB2450" s="4"/>
      <c r="BC2450" s="4"/>
      <c r="BD2450" s="4"/>
      <c r="BE2450" s="4"/>
      <c r="BF2450" s="4"/>
      <c r="BG2450" s="4"/>
      <c r="BH2450" s="4"/>
      <c r="BI2450" s="4"/>
      <c r="BJ2450" s="4"/>
      <c r="BK2450" s="4"/>
      <c r="BL2450" s="4"/>
      <c r="BM2450" s="4"/>
      <c r="BN2450" s="4"/>
      <c r="BO2450" s="4"/>
      <c r="BP2450" s="4"/>
      <c r="BQ2450" s="4"/>
      <c r="BR2450" s="4"/>
      <c r="BS2450" s="4"/>
      <c r="BT2450" s="4"/>
      <c r="BU2450" s="4"/>
    </row>
    <row r="2451" spans="29:73" s="1" customFormat="1" x14ac:dyDescent="0.25">
      <c r="AC2451" s="4"/>
      <c r="AD2451" s="4"/>
      <c r="AE2451" s="4"/>
      <c r="AF2451" s="4"/>
      <c r="AG2451" s="4"/>
      <c r="AH2451" s="4"/>
      <c r="AI2451" s="4"/>
      <c r="AJ2451" s="4"/>
      <c r="AK2451" s="4"/>
      <c r="AL2451" s="4"/>
      <c r="AM2451" s="4"/>
      <c r="AN2451" s="4"/>
      <c r="AO2451" s="4"/>
      <c r="AP2451" s="4"/>
      <c r="AQ2451" s="4"/>
      <c r="AR2451" s="4"/>
      <c r="AS2451" s="4"/>
      <c r="AT2451" s="4"/>
      <c r="AU2451" s="4"/>
      <c r="AV2451" s="4"/>
      <c r="AW2451" s="4"/>
      <c r="AX2451" s="4"/>
      <c r="AY2451" s="4"/>
      <c r="AZ2451" s="4"/>
      <c r="BA2451" s="4"/>
      <c r="BB2451" s="4"/>
      <c r="BC2451" s="4"/>
      <c r="BD2451" s="4"/>
      <c r="BE2451" s="4"/>
      <c r="BF2451" s="4"/>
      <c r="BG2451" s="4"/>
      <c r="BH2451" s="4"/>
      <c r="BI2451" s="4"/>
      <c r="BJ2451" s="4"/>
      <c r="BK2451" s="4"/>
      <c r="BL2451" s="4"/>
      <c r="BM2451" s="4"/>
      <c r="BN2451" s="4"/>
      <c r="BO2451" s="4"/>
      <c r="BP2451" s="4"/>
      <c r="BQ2451" s="4"/>
      <c r="BR2451" s="4"/>
      <c r="BS2451" s="4"/>
      <c r="BT2451" s="4"/>
      <c r="BU2451" s="4"/>
    </row>
    <row r="2452" spans="29:73" s="1" customFormat="1" x14ac:dyDescent="0.25">
      <c r="AC2452" s="4"/>
      <c r="AD2452" s="4"/>
      <c r="AE2452" s="4"/>
      <c r="AF2452" s="4"/>
      <c r="AG2452" s="4"/>
      <c r="AH2452" s="4"/>
      <c r="AI2452" s="4"/>
      <c r="AJ2452" s="4"/>
      <c r="AK2452" s="4"/>
      <c r="AL2452" s="4"/>
      <c r="AM2452" s="4"/>
      <c r="AN2452" s="4"/>
      <c r="AO2452" s="4"/>
      <c r="AP2452" s="4"/>
      <c r="AQ2452" s="4"/>
      <c r="AR2452" s="4"/>
      <c r="AS2452" s="4"/>
      <c r="AT2452" s="4"/>
      <c r="AU2452" s="4"/>
      <c r="AV2452" s="4"/>
      <c r="AW2452" s="4"/>
      <c r="AX2452" s="4"/>
      <c r="AY2452" s="4"/>
      <c r="AZ2452" s="4"/>
      <c r="BA2452" s="4"/>
      <c r="BB2452" s="4"/>
      <c r="BC2452" s="4"/>
      <c r="BD2452" s="4"/>
      <c r="BE2452" s="4"/>
      <c r="BF2452" s="4"/>
      <c r="BG2452" s="4"/>
      <c r="BH2452" s="4"/>
      <c r="BI2452" s="4"/>
      <c r="BJ2452" s="4"/>
      <c r="BK2452" s="4"/>
      <c r="BL2452" s="4"/>
      <c r="BM2452" s="4"/>
      <c r="BN2452" s="4"/>
      <c r="BO2452" s="4"/>
      <c r="BP2452" s="4"/>
      <c r="BQ2452" s="4"/>
      <c r="BR2452" s="4"/>
      <c r="BS2452" s="4"/>
      <c r="BT2452" s="4"/>
      <c r="BU2452" s="4"/>
    </row>
    <row r="2453" spans="29:73" s="1" customFormat="1" x14ac:dyDescent="0.25">
      <c r="AC2453" s="4"/>
      <c r="AD2453" s="4"/>
      <c r="AE2453" s="4"/>
      <c r="AF2453" s="4"/>
      <c r="AG2453" s="4"/>
      <c r="AH2453" s="4"/>
      <c r="AI2453" s="4"/>
      <c r="AJ2453" s="4"/>
      <c r="AK2453" s="4"/>
      <c r="AL2453" s="4"/>
      <c r="AM2453" s="4"/>
      <c r="AN2453" s="4"/>
      <c r="AO2453" s="4"/>
      <c r="AP2453" s="4"/>
      <c r="AQ2453" s="4"/>
      <c r="AR2453" s="4"/>
      <c r="AS2453" s="4"/>
      <c r="AT2453" s="4"/>
      <c r="AU2453" s="4"/>
      <c r="AV2453" s="4"/>
      <c r="AW2453" s="4"/>
      <c r="AX2453" s="4"/>
      <c r="AY2453" s="4"/>
      <c r="AZ2453" s="4"/>
      <c r="BA2453" s="4"/>
      <c r="BB2453" s="4"/>
      <c r="BC2453" s="4"/>
      <c r="BD2453" s="4"/>
      <c r="BE2453" s="4"/>
      <c r="BF2453" s="4"/>
      <c r="BG2453" s="4"/>
      <c r="BH2453" s="4"/>
      <c r="BI2453" s="4"/>
      <c r="BJ2453" s="4"/>
      <c r="BK2453" s="4"/>
      <c r="BL2453" s="4"/>
      <c r="BM2453" s="4"/>
      <c r="BN2453" s="4"/>
      <c r="BO2453" s="4"/>
      <c r="BP2453" s="4"/>
      <c r="BQ2453" s="4"/>
      <c r="BR2453" s="4"/>
      <c r="BS2453" s="4"/>
      <c r="BT2453" s="4"/>
      <c r="BU2453" s="4"/>
    </row>
    <row r="2454" spans="29:73" s="1" customFormat="1" x14ac:dyDescent="0.25">
      <c r="AC2454" s="4"/>
      <c r="AD2454" s="4"/>
      <c r="AE2454" s="4"/>
      <c r="AF2454" s="4"/>
      <c r="AG2454" s="4"/>
      <c r="AH2454" s="4"/>
      <c r="AI2454" s="4"/>
      <c r="AJ2454" s="4"/>
      <c r="AK2454" s="4"/>
      <c r="AL2454" s="4"/>
      <c r="AM2454" s="4"/>
      <c r="AN2454" s="4"/>
      <c r="AO2454" s="4"/>
      <c r="AP2454" s="4"/>
      <c r="AQ2454" s="4"/>
      <c r="AR2454" s="4"/>
      <c r="AS2454" s="4"/>
      <c r="AT2454" s="4"/>
      <c r="AU2454" s="4"/>
      <c r="AV2454" s="4"/>
      <c r="AW2454" s="4"/>
      <c r="AX2454" s="4"/>
      <c r="AY2454" s="4"/>
      <c r="AZ2454" s="4"/>
      <c r="BA2454" s="4"/>
      <c r="BB2454" s="4"/>
      <c r="BC2454" s="4"/>
      <c r="BD2454" s="4"/>
      <c r="BE2454" s="4"/>
      <c r="BF2454" s="4"/>
      <c r="BG2454" s="4"/>
      <c r="BH2454" s="4"/>
      <c r="BI2454" s="4"/>
      <c r="BJ2454" s="4"/>
      <c r="BK2454" s="4"/>
      <c r="BL2454" s="4"/>
      <c r="BM2454" s="4"/>
      <c r="BN2454" s="4"/>
      <c r="BO2454" s="4"/>
      <c r="BP2454" s="4"/>
      <c r="BQ2454" s="4"/>
      <c r="BR2454" s="4"/>
      <c r="BS2454" s="4"/>
      <c r="BT2454" s="4"/>
      <c r="BU2454" s="4"/>
    </row>
    <row r="2455" spans="29:73" s="1" customFormat="1" x14ac:dyDescent="0.25">
      <c r="AC2455" s="4"/>
      <c r="AD2455" s="4"/>
      <c r="AE2455" s="4"/>
      <c r="AF2455" s="4"/>
      <c r="AG2455" s="4"/>
      <c r="AH2455" s="4"/>
      <c r="AI2455" s="4"/>
      <c r="AJ2455" s="4"/>
      <c r="AK2455" s="4"/>
      <c r="AL2455" s="4"/>
      <c r="AM2455" s="4"/>
      <c r="AN2455" s="4"/>
      <c r="AO2455" s="4"/>
      <c r="AP2455" s="4"/>
      <c r="AQ2455" s="4"/>
      <c r="AR2455" s="4"/>
      <c r="AS2455" s="4"/>
      <c r="AT2455" s="4"/>
      <c r="AU2455" s="4"/>
      <c r="AV2455" s="4"/>
      <c r="AW2455" s="4"/>
      <c r="AX2455" s="4"/>
      <c r="AY2455" s="4"/>
      <c r="AZ2455" s="4"/>
      <c r="BA2455" s="4"/>
      <c r="BB2455" s="4"/>
      <c r="BC2455" s="4"/>
      <c r="BD2455" s="4"/>
      <c r="BE2455" s="4"/>
      <c r="BF2455" s="4"/>
      <c r="BG2455" s="4"/>
      <c r="BH2455" s="4"/>
      <c r="BI2455" s="4"/>
      <c r="BJ2455" s="4"/>
      <c r="BK2455" s="4"/>
      <c r="BL2455" s="4"/>
      <c r="BM2455" s="4"/>
      <c r="BN2455" s="4"/>
      <c r="BO2455" s="4"/>
      <c r="BP2455" s="4"/>
      <c r="BQ2455" s="4"/>
      <c r="BR2455" s="4"/>
      <c r="BS2455" s="4"/>
      <c r="BT2455" s="4"/>
      <c r="BU2455" s="4"/>
    </row>
    <row r="2456" spans="29:73" s="1" customFormat="1" x14ac:dyDescent="0.25">
      <c r="AC2456" s="4"/>
      <c r="AD2456" s="4"/>
      <c r="AE2456" s="4"/>
      <c r="AF2456" s="4"/>
      <c r="AG2456" s="4"/>
      <c r="AH2456" s="4"/>
      <c r="AI2456" s="4"/>
      <c r="AJ2456" s="4"/>
      <c r="AK2456" s="4"/>
      <c r="AL2456" s="4"/>
      <c r="AM2456" s="4"/>
      <c r="AN2456" s="4"/>
      <c r="AO2456" s="4"/>
      <c r="AP2456" s="4"/>
      <c r="AQ2456" s="4"/>
      <c r="AR2456" s="4"/>
      <c r="AS2456" s="4"/>
      <c r="AT2456" s="4"/>
      <c r="AU2456" s="4"/>
      <c r="AV2456" s="4"/>
      <c r="AW2456" s="4"/>
      <c r="AX2456" s="4"/>
      <c r="AY2456" s="4"/>
      <c r="AZ2456" s="4"/>
      <c r="BA2456" s="4"/>
      <c r="BB2456" s="4"/>
      <c r="BC2456" s="4"/>
      <c r="BD2456" s="4"/>
      <c r="BE2456" s="4"/>
      <c r="BF2456" s="4"/>
      <c r="BG2456" s="4"/>
      <c r="BH2456" s="4"/>
      <c r="BI2456" s="4"/>
      <c r="BJ2456" s="4"/>
      <c r="BK2456" s="4"/>
      <c r="BL2456" s="4"/>
      <c r="BM2456" s="4"/>
      <c r="BN2456" s="4"/>
      <c r="BO2456" s="4"/>
      <c r="BP2456" s="4"/>
      <c r="BQ2456" s="4"/>
      <c r="BR2456" s="4"/>
      <c r="BS2456" s="4"/>
      <c r="BT2456" s="4"/>
      <c r="BU2456" s="4"/>
    </row>
    <row r="2457" spans="29:73" s="1" customFormat="1" x14ac:dyDescent="0.25">
      <c r="AC2457" s="4"/>
      <c r="AD2457" s="4"/>
      <c r="AE2457" s="4"/>
      <c r="AF2457" s="4"/>
      <c r="AG2457" s="4"/>
      <c r="AH2457" s="4"/>
      <c r="AI2457" s="4"/>
      <c r="AJ2457" s="4"/>
      <c r="AK2457" s="4"/>
      <c r="AL2457" s="4"/>
      <c r="AM2457" s="4"/>
      <c r="AN2457" s="4"/>
      <c r="AO2457" s="4"/>
      <c r="AP2457" s="4"/>
      <c r="AQ2457" s="4"/>
      <c r="AR2457" s="4"/>
      <c r="AS2457" s="4"/>
      <c r="AT2457" s="4"/>
      <c r="AU2457" s="4"/>
      <c r="AV2457" s="4"/>
      <c r="AW2457" s="4"/>
      <c r="AX2457" s="4"/>
      <c r="AY2457" s="4"/>
      <c r="AZ2457" s="4"/>
      <c r="BA2457" s="4"/>
      <c r="BB2457" s="4"/>
      <c r="BC2457" s="4"/>
      <c r="BD2457" s="4"/>
      <c r="BE2457" s="4"/>
      <c r="BF2457" s="4"/>
      <c r="BG2457" s="4"/>
      <c r="BH2457" s="4"/>
      <c r="BI2457" s="4"/>
      <c r="BJ2457" s="4"/>
      <c r="BK2457" s="4"/>
      <c r="BL2457" s="4"/>
      <c r="BM2457" s="4"/>
      <c r="BN2457" s="4"/>
      <c r="BO2457" s="4"/>
      <c r="BP2457" s="4"/>
      <c r="BQ2457" s="4"/>
      <c r="BR2457" s="4"/>
      <c r="BS2457" s="4"/>
      <c r="BT2457" s="4"/>
      <c r="BU2457" s="4"/>
    </row>
    <row r="2458" spans="29:73" s="1" customFormat="1" x14ac:dyDescent="0.25">
      <c r="AC2458" s="4"/>
      <c r="AD2458" s="4"/>
      <c r="AE2458" s="4"/>
      <c r="AF2458" s="4"/>
      <c r="AG2458" s="4"/>
      <c r="AH2458" s="4"/>
      <c r="AI2458" s="4"/>
      <c r="AJ2458" s="4"/>
      <c r="AK2458" s="4"/>
      <c r="AL2458" s="4"/>
      <c r="AM2458" s="4"/>
      <c r="AN2458" s="4"/>
      <c r="AO2458" s="4"/>
      <c r="AP2458" s="4"/>
      <c r="AQ2458" s="4"/>
      <c r="AR2458" s="4"/>
      <c r="AS2458" s="4"/>
      <c r="AT2458" s="4"/>
      <c r="AU2458" s="4"/>
      <c r="AV2458" s="4"/>
      <c r="AW2458" s="4"/>
      <c r="AX2458" s="4"/>
      <c r="AY2458" s="4"/>
      <c r="AZ2458" s="4"/>
      <c r="BA2458" s="4"/>
      <c r="BB2458" s="4"/>
      <c r="BC2458" s="4"/>
      <c r="BD2458" s="4"/>
      <c r="BE2458" s="4"/>
      <c r="BF2458" s="4"/>
      <c r="BG2458" s="4"/>
      <c r="BH2458" s="4"/>
      <c r="BI2458" s="4"/>
      <c r="BJ2458" s="4"/>
      <c r="BK2458" s="4"/>
      <c r="BL2458" s="4"/>
      <c r="BM2458" s="4"/>
      <c r="BN2458" s="4"/>
      <c r="BO2458" s="4"/>
      <c r="BP2458" s="4"/>
      <c r="BQ2458" s="4"/>
      <c r="BR2458" s="4"/>
      <c r="BS2458" s="4"/>
      <c r="BT2458" s="4"/>
      <c r="BU2458" s="4"/>
    </row>
    <row r="2459" spans="29:73" s="1" customFormat="1" x14ac:dyDescent="0.25">
      <c r="AC2459" s="4"/>
      <c r="AD2459" s="4"/>
      <c r="AE2459" s="4"/>
      <c r="AF2459" s="4"/>
      <c r="AG2459" s="4"/>
      <c r="AH2459" s="4"/>
      <c r="AI2459" s="4"/>
      <c r="AJ2459" s="4"/>
      <c r="AK2459" s="4"/>
      <c r="AL2459" s="4"/>
      <c r="AM2459" s="4"/>
      <c r="AN2459" s="4"/>
      <c r="AO2459" s="4"/>
      <c r="AP2459" s="4"/>
      <c r="AQ2459" s="4"/>
      <c r="AR2459" s="4"/>
      <c r="AS2459" s="4"/>
      <c r="AT2459" s="4"/>
      <c r="AU2459" s="4"/>
      <c r="AV2459" s="4"/>
      <c r="AW2459" s="4"/>
      <c r="AX2459" s="4"/>
      <c r="AY2459" s="4"/>
      <c r="AZ2459" s="4"/>
      <c r="BA2459" s="4"/>
      <c r="BB2459" s="4"/>
      <c r="BC2459" s="4"/>
      <c r="BD2459" s="4"/>
      <c r="BE2459" s="4"/>
      <c r="BF2459" s="4"/>
      <c r="BG2459" s="4"/>
      <c r="BH2459" s="4"/>
      <c r="BI2459" s="4"/>
      <c r="BJ2459" s="4"/>
      <c r="BK2459" s="4"/>
      <c r="BL2459" s="4"/>
      <c r="BM2459" s="4"/>
      <c r="BN2459" s="4"/>
      <c r="BO2459" s="4"/>
      <c r="BP2459" s="4"/>
      <c r="BQ2459" s="4"/>
      <c r="BR2459" s="4"/>
      <c r="BS2459" s="4"/>
      <c r="BT2459" s="4"/>
      <c r="BU2459" s="4"/>
    </row>
    <row r="2460" spans="29:73" s="1" customFormat="1" x14ac:dyDescent="0.25">
      <c r="AC2460" s="4"/>
      <c r="AD2460" s="4"/>
      <c r="AE2460" s="4"/>
      <c r="AF2460" s="4"/>
      <c r="AG2460" s="4"/>
      <c r="AH2460" s="4"/>
      <c r="AI2460" s="4"/>
      <c r="AJ2460" s="4"/>
      <c r="AK2460" s="4"/>
      <c r="AL2460" s="4"/>
      <c r="AM2460" s="4"/>
      <c r="AN2460" s="4"/>
      <c r="AO2460" s="4"/>
      <c r="AP2460" s="4"/>
      <c r="AQ2460" s="4"/>
      <c r="AR2460" s="4"/>
      <c r="AS2460" s="4"/>
      <c r="AT2460" s="4"/>
      <c r="AU2460" s="4"/>
      <c r="AV2460" s="4"/>
      <c r="AW2460" s="4"/>
      <c r="AX2460" s="4"/>
      <c r="AY2460" s="4"/>
      <c r="AZ2460" s="4"/>
      <c r="BA2460" s="4"/>
      <c r="BB2460" s="4"/>
      <c r="BC2460" s="4"/>
      <c r="BD2460" s="4"/>
      <c r="BE2460" s="4"/>
      <c r="BF2460" s="4"/>
      <c r="BG2460" s="4"/>
      <c r="BH2460" s="4"/>
      <c r="BI2460" s="4"/>
      <c r="BJ2460" s="4"/>
      <c r="BK2460" s="4"/>
      <c r="BL2460" s="4"/>
      <c r="BM2460" s="4"/>
      <c r="BN2460" s="4"/>
      <c r="BO2460" s="4"/>
      <c r="BP2460" s="4"/>
      <c r="BQ2460" s="4"/>
      <c r="BR2460" s="4"/>
      <c r="BS2460" s="4"/>
      <c r="BT2460" s="4"/>
      <c r="BU2460" s="4"/>
    </row>
    <row r="2461" spans="29:73" s="1" customFormat="1" x14ac:dyDescent="0.25">
      <c r="AC2461" s="4"/>
      <c r="AD2461" s="4"/>
      <c r="AE2461" s="4"/>
      <c r="AF2461" s="4"/>
      <c r="AG2461" s="4"/>
      <c r="AH2461" s="4"/>
      <c r="AI2461" s="4"/>
      <c r="AJ2461" s="4"/>
      <c r="AK2461" s="4"/>
      <c r="AL2461" s="4"/>
      <c r="AM2461" s="4"/>
      <c r="AN2461" s="4"/>
      <c r="AO2461" s="4"/>
      <c r="AP2461" s="4"/>
      <c r="AQ2461" s="4"/>
      <c r="AR2461" s="4"/>
      <c r="AS2461" s="4"/>
      <c r="AT2461" s="4"/>
      <c r="AU2461" s="4"/>
      <c r="AV2461" s="4"/>
      <c r="AW2461" s="4"/>
      <c r="AX2461" s="4"/>
      <c r="AY2461" s="4"/>
      <c r="AZ2461" s="4"/>
      <c r="BA2461" s="4"/>
      <c r="BB2461" s="4"/>
      <c r="BC2461" s="4"/>
      <c r="BD2461" s="4"/>
      <c r="BE2461" s="4"/>
      <c r="BF2461" s="4"/>
      <c r="BG2461" s="4"/>
      <c r="BH2461" s="4"/>
      <c r="BI2461" s="4"/>
      <c r="BJ2461" s="4"/>
      <c r="BK2461" s="4"/>
      <c r="BL2461" s="4"/>
      <c r="BM2461" s="4"/>
      <c r="BN2461" s="4"/>
      <c r="BO2461" s="4"/>
      <c r="BP2461" s="4"/>
      <c r="BQ2461" s="4"/>
      <c r="BR2461" s="4"/>
      <c r="BS2461" s="4"/>
      <c r="BT2461" s="4"/>
      <c r="BU2461" s="4"/>
    </row>
    <row r="2462" spans="29:73" s="1" customFormat="1" x14ac:dyDescent="0.25">
      <c r="AC2462" s="4"/>
      <c r="AD2462" s="4"/>
      <c r="AE2462" s="4"/>
      <c r="AF2462" s="4"/>
      <c r="AG2462" s="4"/>
      <c r="AH2462" s="4"/>
      <c r="AI2462" s="4"/>
      <c r="AJ2462" s="4"/>
      <c r="AK2462" s="4"/>
      <c r="AL2462" s="4"/>
      <c r="AM2462" s="4"/>
      <c r="AN2462" s="4"/>
      <c r="AO2462" s="4"/>
      <c r="AP2462" s="4"/>
      <c r="AQ2462" s="4"/>
      <c r="AR2462" s="4"/>
      <c r="AS2462" s="4"/>
      <c r="AT2462" s="4"/>
      <c r="AU2462" s="4"/>
      <c r="AV2462" s="4"/>
      <c r="AW2462" s="4"/>
      <c r="AX2462" s="4"/>
      <c r="AY2462" s="4"/>
      <c r="AZ2462" s="4"/>
      <c r="BA2462" s="4"/>
      <c r="BB2462" s="4"/>
      <c r="BC2462" s="4"/>
      <c r="BD2462" s="4"/>
      <c r="BE2462" s="4"/>
      <c r="BF2462" s="4"/>
      <c r="BG2462" s="4"/>
      <c r="BH2462" s="4"/>
      <c r="BI2462" s="4"/>
      <c r="BJ2462" s="4"/>
      <c r="BK2462" s="4"/>
      <c r="BL2462" s="4"/>
      <c r="BM2462" s="4"/>
      <c r="BN2462" s="4"/>
      <c r="BO2462" s="4"/>
      <c r="BP2462" s="4"/>
      <c r="BQ2462" s="4"/>
      <c r="BR2462" s="4"/>
      <c r="BS2462" s="4"/>
      <c r="BT2462" s="4"/>
      <c r="BU2462" s="4"/>
    </row>
    <row r="2463" spans="29:73" s="1" customFormat="1" x14ac:dyDescent="0.25">
      <c r="AC2463" s="4"/>
      <c r="AD2463" s="4"/>
      <c r="AE2463" s="4"/>
      <c r="AF2463" s="4"/>
      <c r="AG2463" s="4"/>
      <c r="AH2463" s="4"/>
      <c r="AI2463" s="4"/>
      <c r="AJ2463" s="4"/>
      <c r="AK2463" s="4"/>
      <c r="AL2463" s="4"/>
      <c r="AM2463" s="4"/>
      <c r="AN2463" s="4"/>
      <c r="AO2463" s="4"/>
      <c r="AP2463" s="4"/>
      <c r="AQ2463" s="4"/>
      <c r="AR2463" s="4"/>
      <c r="AS2463" s="4"/>
      <c r="AT2463" s="4"/>
      <c r="AU2463" s="4"/>
      <c r="AV2463" s="4"/>
      <c r="AW2463" s="4"/>
      <c r="AX2463" s="4"/>
      <c r="AY2463" s="4"/>
      <c r="AZ2463" s="4"/>
      <c r="BA2463" s="4"/>
      <c r="BB2463" s="4"/>
      <c r="BC2463" s="4"/>
      <c r="BD2463" s="4"/>
      <c r="BE2463" s="4"/>
      <c r="BF2463" s="4"/>
      <c r="BG2463" s="4"/>
      <c r="BH2463" s="4"/>
      <c r="BI2463" s="4"/>
      <c r="BJ2463" s="4"/>
      <c r="BK2463" s="4"/>
      <c r="BL2463" s="4"/>
      <c r="BM2463" s="4"/>
      <c r="BN2463" s="4"/>
      <c r="BO2463" s="4"/>
      <c r="BP2463" s="4"/>
      <c r="BQ2463" s="4"/>
      <c r="BR2463" s="4"/>
      <c r="BS2463" s="4"/>
      <c r="BT2463" s="4"/>
      <c r="BU2463" s="4"/>
    </row>
    <row r="2464" spans="29:73" s="1" customFormat="1" x14ac:dyDescent="0.25">
      <c r="AC2464" s="4"/>
      <c r="AD2464" s="4"/>
      <c r="AE2464" s="4"/>
      <c r="AF2464" s="4"/>
      <c r="AG2464" s="4"/>
      <c r="AH2464" s="4"/>
      <c r="AI2464" s="4"/>
      <c r="AJ2464" s="4"/>
      <c r="AK2464" s="4"/>
      <c r="AL2464" s="4"/>
      <c r="AM2464" s="4"/>
      <c r="AN2464" s="4"/>
      <c r="AO2464" s="4"/>
      <c r="AP2464" s="4"/>
      <c r="AQ2464" s="4"/>
      <c r="AR2464" s="4"/>
      <c r="AS2464" s="4"/>
      <c r="AT2464" s="4"/>
      <c r="AU2464" s="4"/>
      <c r="AV2464" s="4"/>
      <c r="AW2464" s="4"/>
      <c r="AX2464" s="4"/>
      <c r="AY2464" s="4"/>
      <c r="AZ2464" s="4"/>
      <c r="BA2464" s="4"/>
      <c r="BB2464" s="4"/>
      <c r="BC2464" s="4"/>
      <c r="BD2464" s="4"/>
      <c r="BE2464" s="4"/>
      <c r="BF2464" s="4"/>
      <c r="BG2464" s="4"/>
      <c r="BH2464" s="4"/>
      <c r="BI2464" s="4"/>
      <c r="BJ2464" s="4"/>
      <c r="BK2464" s="4"/>
      <c r="BL2464" s="4"/>
      <c r="BM2464" s="4"/>
      <c r="BN2464" s="4"/>
      <c r="BO2464" s="4"/>
      <c r="BP2464" s="4"/>
      <c r="BQ2464" s="4"/>
      <c r="BR2464" s="4"/>
      <c r="BS2464" s="4"/>
      <c r="BT2464" s="4"/>
      <c r="BU2464" s="4"/>
    </row>
    <row r="2465" spans="29:73" s="1" customFormat="1" x14ac:dyDescent="0.25">
      <c r="AC2465" s="4"/>
      <c r="AD2465" s="4"/>
      <c r="AE2465" s="4"/>
      <c r="AF2465" s="4"/>
      <c r="AG2465" s="4"/>
      <c r="AH2465" s="4"/>
      <c r="AI2465" s="4"/>
      <c r="AJ2465" s="4"/>
      <c r="AK2465" s="4"/>
      <c r="AL2465" s="4"/>
      <c r="AM2465" s="4"/>
      <c r="AN2465" s="4"/>
      <c r="AO2465" s="4"/>
      <c r="AP2465" s="4"/>
      <c r="AQ2465" s="4"/>
      <c r="AR2465" s="4"/>
      <c r="AS2465" s="4"/>
      <c r="AT2465" s="4"/>
      <c r="AU2465" s="4"/>
      <c r="AV2465" s="4"/>
      <c r="AW2465" s="4"/>
      <c r="AX2465" s="4"/>
      <c r="AY2465" s="4"/>
      <c r="AZ2465" s="4"/>
      <c r="BA2465" s="4"/>
      <c r="BB2465" s="4"/>
      <c r="BC2465" s="4"/>
      <c r="BD2465" s="4"/>
      <c r="BE2465" s="4"/>
      <c r="BF2465" s="4"/>
      <c r="BG2465" s="4"/>
      <c r="BH2465" s="4"/>
      <c r="BI2465" s="4"/>
      <c r="BJ2465" s="4"/>
      <c r="BK2465" s="4"/>
      <c r="BL2465" s="4"/>
      <c r="BM2465" s="4"/>
      <c r="BN2465" s="4"/>
      <c r="BO2465" s="4"/>
      <c r="BP2465" s="4"/>
      <c r="BQ2465" s="4"/>
      <c r="BR2465" s="4"/>
      <c r="BS2465" s="4"/>
      <c r="BT2465" s="4"/>
      <c r="BU2465" s="4"/>
    </row>
    <row r="2466" spans="29:73" s="1" customFormat="1" x14ac:dyDescent="0.25">
      <c r="AC2466" s="4"/>
      <c r="AD2466" s="4"/>
      <c r="AE2466" s="4"/>
      <c r="AF2466" s="4"/>
      <c r="AG2466" s="4"/>
      <c r="AH2466" s="4"/>
      <c r="AI2466" s="4"/>
      <c r="AJ2466" s="4"/>
      <c r="AK2466" s="4"/>
      <c r="AL2466" s="4"/>
      <c r="AM2466" s="4"/>
      <c r="AN2466" s="4"/>
      <c r="AO2466" s="4"/>
      <c r="AP2466" s="4"/>
      <c r="AQ2466" s="4"/>
      <c r="AR2466" s="4"/>
      <c r="AS2466" s="4"/>
      <c r="AT2466" s="4"/>
      <c r="AU2466" s="4"/>
      <c r="AV2466" s="4"/>
      <c r="AW2466" s="4"/>
      <c r="AX2466" s="4"/>
      <c r="AY2466" s="4"/>
      <c r="AZ2466" s="4"/>
      <c r="BA2466" s="4"/>
      <c r="BB2466" s="4"/>
      <c r="BC2466" s="4"/>
      <c r="BD2466" s="4"/>
      <c r="BE2466" s="4"/>
      <c r="BF2466" s="4"/>
      <c r="BG2466" s="4"/>
      <c r="BH2466" s="4"/>
      <c r="BI2466" s="4"/>
      <c r="BJ2466" s="4"/>
      <c r="BK2466" s="4"/>
      <c r="BL2466" s="4"/>
      <c r="BM2466" s="4"/>
      <c r="BN2466" s="4"/>
      <c r="BO2466" s="4"/>
      <c r="BP2466" s="4"/>
      <c r="BQ2466" s="4"/>
      <c r="BR2466" s="4"/>
      <c r="BS2466" s="4"/>
      <c r="BT2466" s="4"/>
      <c r="BU2466" s="4"/>
    </row>
    <row r="2467" spans="29:73" s="1" customFormat="1" x14ac:dyDescent="0.25">
      <c r="AC2467" s="4"/>
      <c r="AD2467" s="4"/>
      <c r="AE2467" s="4"/>
      <c r="AF2467" s="4"/>
      <c r="AG2467" s="4"/>
      <c r="AH2467" s="4"/>
      <c r="AI2467" s="4"/>
      <c r="AJ2467" s="4"/>
      <c r="AK2467" s="4"/>
      <c r="AL2467" s="4"/>
      <c r="AM2467" s="4"/>
      <c r="AN2467" s="4"/>
      <c r="AO2467" s="4"/>
      <c r="AP2467" s="4"/>
      <c r="AQ2467" s="4"/>
      <c r="AR2467" s="4"/>
      <c r="AS2467" s="4"/>
      <c r="AT2467" s="4"/>
      <c r="AU2467" s="4"/>
      <c r="AV2467" s="4"/>
      <c r="AW2467" s="4"/>
      <c r="AX2467" s="4"/>
      <c r="AY2467" s="4"/>
      <c r="AZ2467" s="4"/>
      <c r="BA2467" s="4"/>
      <c r="BB2467" s="4"/>
      <c r="BC2467" s="4"/>
      <c r="BD2467" s="4"/>
      <c r="BE2467" s="4"/>
      <c r="BF2467" s="4"/>
      <c r="BG2467" s="4"/>
      <c r="BH2467" s="4"/>
      <c r="BI2467" s="4"/>
      <c r="BJ2467" s="4"/>
      <c r="BK2467" s="4"/>
      <c r="BL2467" s="4"/>
      <c r="BM2467" s="4"/>
      <c r="BN2467" s="4"/>
      <c r="BO2467" s="4"/>
      <c r="BP2467" s="4"/>
      <c r="BQ2467" s="4"/>
      <c r="BR2467" s="4"/>
      <c r="BS2467" s="4"/>
      <c r="BT2467" s="4"/>
      <c r="BU2467" s="4"/>
    </row>
    <row r="2468" spans="29:73" s="1" customFormat="1" x14ac:dyDescent="0.25">
      <c r="AC2468" s="4"/>
      <c r="AD2468" s="4"/>
      <c r="AE2468" s="4"/>
      <c r="AF2468" s="4"/>
      <c r="AG2468" s="4"/>
      <c r="AH2468" s="4"/>
      <c r="AI2468" s="4"/>
      <c r="AJ2468" s="4"/>
      <c r="AK2468" s="4"/>
      <c r="AL2468" s="4"/>
      <c r="AM2468" s="4"/>
      <c r="AN2468" s="4"/>
      <c r="AO2468" s="4"/>
      <c r="AP2468" s="4"/>
      <c r="AQ2468" s="4"/>
      <c r="AR2468" s="4"/>
      <c r="AS2468" s="4"/>
      <c r="AT2468" s="4"/>
      <c r="AU2468" s="4"/>
      <c r="AV2468" s="4"/>
      <c r="AW2468" s="4"/>
      <c r="AX2468" s="4"/>
      <c r="AY2468" s="4"/>
      <c r="AZ2468" s="4"/>
      <c r="BA2468" s="4"/>
      <c r="BB2468" s="4"/>
      <c r="BC2468" s="4"/>
      <c r="BD2468" s="4"/>
      <c r="BE2468" s="4"/>
      <c r="BF2468" s="4"/>
      <c r="BG2468" s="4"/>
      <c r="BH2468" s="4"/>
      <c r="BI2468" s="4"/>
      <c r="BJ2468" s="4"/>
      <c r="BK2468" s="4"/>
      <c r="BL2468" s="4"/>
      <c r="BM2468" s="4"/>
      <c r="BN2468" s="4"/>
      <c r="BO2468" s="4"/>
      <c r="BP2468" s="4"/>
      <c r="BQ2468" s="4"/>
      <c r="BR2468" s="4"/>
      <c r="BS2468" s="4"/>
      <c r="BT2468" s="4"/>
      <c r="BU2468" s="4"/>
    </row>
    <row r="2469" spans="29:73" s="1" customFormat="1" x14ac:dyDescent="0.25">
      <c r="AC2469" s="4"/>
      <c r="AD2469" s="4"/>
      <c r="AE2469" s="4"/>
      <c r="AF2469" s="4"/>
      <c r="AG2469" s="4"/>
      <c r="AH2469" s="4"/>
      <c r="AI2469" s="4"/>
      <c r="AJ2469" s="4"/>
      <c r="AK2469" s="4"/>
      <c r="AL2469" s="4"/>
      <c r="AM2469" s="4"/>
      <c r="AN2469" s="4"/>
      <c r="AO2469" s="4"/>
      <c r="AP2469" s="4"/>
      <c r="AQ2469" s="4"/>
      <c r="AR2469" s="4"/>
      <c r="AS2469" s="4"/>
      <c r="AT2469" s="4"/>
      <c r="AU2469" s="4"/>
      <c r="AV2469" s="4"/>
      <c r="AW2469" s="4"/>
      <c r="AX2469" s="4"/>
      <c r="AY2469" s="4"/>
      <c r="AZ2469" s="4"/>
      <c r="BA2469" s="4"/>
      <c r="BB2469" s="4"/>
      <c r="BC2469" s="4"/>
      <c r="BD2469" s="4"/>
      <c r="BE2469" s="4"/>
      <c r="BF2469" s="4"/>
      <c r="BG2469" s="4"/>
      <c r="BH2469" s="4"/>
      <c r="BI2469" s="4"/>
      <c r="BJ2469" s="4"/>
      <c r="BK2469" s="4"/>
      <c r="BL2469" s="4"/>
      <c r="BM2469" s="4"/>
      <c r="BN2469" s="4"/>
      <c r="BO2469" s="4"/>
      <c r="BP2469" s="4"/>
      <c r="BQ2469" s="4"/>
      <c r="BR2469" s="4"/>
      <c r="BS2469" s="4"/>
      <c r="BT2469" s="4"/>
      <c r="BU2469" s="4"/>
    </row>
    <row r="2470" spans="29:73" s="1" customFormat="1" x14ac:dyDescent="0.25">
      <c r="AC2470" s="4"/>
      <c r="AD2470" s="4"/>
      <c r="AE2470" s="4"/>
      <c r="AF2470" s="4"/>
      <c r="AG2470" s="4"/>
      <c r="AH2470" s="4"/>
      <c r="AI2470" s="4"/>
      <c r="AJ2470" s="4"/>
      <c r="AK2470" s="4"/>
      <c r="AL2470" s="4"/>
      <c r="AM2470" s="4"/>
      <c r="AN2470" s="4"/>
      <c r="AO2470" s="4"/>
      <c r="AP2470" s="4"/>
      <c r="AQ2470" s="4"/>
      <c r="AR2470" s="4"/>
      <c r="AS2470" s="4"/>
      <c r="AT2470" s="4"/>
      <c r="AU2470" s="4"/>
      <c r="AV2470" s="4"/>
      <c r="AW2470" s="4"/>
      <c r="AX2470" s="4"/>
      <c r="AY2470" s="4"/>
      <c r="AZ2470" s="4"/>
      <c r="BA2470" s="4"/>
      <c r="BB2470" s="4"/>
      <c r="BC2470" s="4"/>
      <c r="BD2470" s="4"/>
      <c r="BE2470" s="4"/>
      <c r="BF2470" s="4"/>
      <c r="BG2470" s="4"/>
      <c r="BH2470" s="4"/>
      <c r="BI2470" s="4"/>
      <c r="BJ2470" s="4"/>
      <c r="BK2470" s="4"/>
      <c r="BL2470" s="4"/>
      <c r="BM2470" s="4"/>
      <c r="BN2470" s="4"/>
      <c r="BO2470" s="4"/>
      <c r="BP2470" s="4"/>
      <c r="BQ2470" s="4"/>
      <c r="BR2470" s="4"/>
      <c r="BS2470" s="4"/>
      <c r="BT2470" s="4"/>
      <c r="BU2470" s="4"/>
    </row>
    <row r="2471" spans="29:73" s="1" customFormat="1" x14ac:dyDescent="0.25">
      <c r="AC2471" s="4"/>
      <c r="AD2471" s="4"/>
      <c r="AE2471" s="4"/>
      <c r="AF2471" s="4"/>
      <c r="AG2471" s="4"/>
      <c r="AH2471" s="4"/>
      <c r="AI2471" s="4"/>
      <c r="AJ2471" s="4"/>
      <c r="AK2471" s="4"/>
      <c r="AL2471" s="4"/>
      <c r="AM2471" s="4"/>
      <c r="AN2471" s="4"/>
      <c r="AO2471" s="4"/>
      <c r="AP2471" s="4"/>
      <c r="AQ2471" s="4"/>
      <c r="AR2471" s="4"/>
      <c r="AS2471" s="4"/>
      <c r="AT2471" s="4"/>
      <c r="AU2471" s="4"/>
      <c r="AV2471" s="4"/>
      <c r="AW2471" s="4"/>
      <c r="AX2471" s="4"/>
      <c r="AY2471" s="4"/>
      <c r="AZ2471" s="4"/>
      <c r="BA2471" s="4"/>
      <c r="BB2471" s="4"/>
      <c r="BC2471" s="4"/>
      <c r="BD2471" s="4"/>
      <c r="BE2471" s="4"/>
      <c r="BF2471" s="4"/>
      <c r="BG2471" s="4"/>
      <c r="BH2471" s="4"/>
      <c r="BI2471" s="4"/>
      <c r="BJ2471" s="4"/>
      <c r="BK2471" s="4"/>
      <c r="BL2471" s="4"/>
      <c r="BM2471" s="4"/>
      <c r="BN2471" s="4"/>
      <c r="BO2471" s="4"/>
      <c r="BP2471" s="4"/>
      <c r="BQ2471" s="4"/>
      <c r="BR2471" s="4"/>
      <c r="BS2471" s="4"/>
      <c r="BT2471" s="4"/>
      <c r="BU2471" s="4"/>
    </row>
    <row r="2472" spans="29:73" s="1" customFormat="1" x14ac:dyDescent="0.25">
      <c r="AC2472" s="4"/>
      <c r="AD2472" s="4"/>
      <c r="AE2472" s="4"/>
      <c r="AF2472" s="4"/>
      <c r="AG2472" s="4"/>
      <c r="AH2472" s="4"/>
      <c r="AI2472" s="4"/>
      <c r="AJ2472" s="4"/>
      <c r="AK2472" s="4"/>
      <c r="AL2472" s="4"/>
      <c r="AM2472" s="4"/>
      <c r="AN2472" s="4"/>
      <c r="AO2472" s="4"/>
      <c r="AP2472" s="4"/>
      <c r="AQ2472" s="4"/>
      <c r="AR2472" s="4"/>
      <c r="AS2472" s="4"/>
      <c r="AT2472" s="4"/>
      <c r="AU2472" s="4"/>
      <c r="AV2472" s="4"/>
      <c r="AW2472" s="4"/>
      <c r="AX2472" s="4"/>
      <c r="AY2472" s="4"/>
      <c r="AZ2472" s="4"/>
      <c r="BA2472" s="4"/>
      <c r="BB2472" s="4"/>
      <c r="BC2472" s="4"/>
      <c r="BD2472" s="4"/>
      <c r="BE2472" s="4"/>
      <c r="BF2472" s="4"/>
      <c r="BG2472" s="4"/>
      <c r="BH2472" s="4"/>
      <c r="BI2472" s="4"/>
      <c r="BJ2472" s="4"/>
      <c r="BK2472" s="4"/>
      <c r="BL2472" s="4"/>
      <c r="BM2472" s="4"/>
      <c r="BN2472" s="4"/>
      <c r="BO2472" s="4"/>
      <c r="BP2472" s="4"/>
      <c r="BQ2472" s="4"/>
      <c r="BR2472" s="4"/>
      <c r="BS2472" s="4"/>
      <c r="BT2472" s="4"/>
      <c r="BU2472" s="4"/>
    </row>
    <row r="2473" spans="29:73" s="1" customFormat="1" x14ac:dyDescent="0.25">
      <c r="AC2473" s="4"/>
      <c r="AD2473" s="4"/>
      <c r="AE2473" s="4"/>
      <c r="AF2473" s="4"/>
      <c r="AG2473" s="4"/>
      <c r="AH2473" s="4"/>
      <c r="AI2473" s="4"/>
      <c r="AJ2473" s="4"/>
      <c r="AK2473" s="4"/>
      <c r="AL2473" s="4"/>
      <c r="AM2473" s="4"/>
      <c r="AN2473" s="4"/>
      <c r="AO2473" s="4"/>
      <c r="AP2473" s="4"/>
      <c r="AQ2473" s="4"/>
      <c r="AR2473" s="4"/>
      <c r="AS2473" s="4"/>
      <c r="AT2473" s="4"/>
      <c r="AU2473" s="4"/>
      <c r="AV2473" s="4"/>
      <c r="AW2473" s="4"/>
      <c r="AX2473" s="4"/>
      <c r="AY2473" s="4"/>
      <c r="AZ2473" s="4"/>
      <c r="BA2473" s="4"/>
      <c r="BB2473" s="4"/>
      <c r="BC2473" s="4"/>
      <c r="BD2473" s="4"/>
      <c r="BE2473" s="4"/>
      <c r="BF2473" s="4"/>
      <c r="BG2473" s="4"/>
      <c r="BH2473" s="4"/>
      <c r="BI2473" s="4"/>
      <c r="BJ2473" s="4"/>
      <c r="BK2473" s="4"/>
      <c r="BL2473" s="4"/>
      <c r="BM2473" s="4"/>
      <c r="BN2473" s="4"/>
      <c r="BO2473" s="4"/>
      <c r="BP2473" s="4"/>
      <c r="BQ2473" s="4"/>
      <c r="BR2473" s="4"/>
      <c r="BS2473" s="4"/>
      <c r="BT2473" s="4"/>
      <c r="BU2473" s="4"/>
    </row>
    <row r="2474" spans="29:73" s="1" customFormat="1" x14ac:dyDescent="0.25">
      <c r="AC2474" s="4"/>
      <c r="AD2474" s="4"/>
      <c r="AE2474" s="4"/>
      <c r="AF2474" s="4"/>
      <c r="AG2474" s="4"/>
      <c r="AH2474" s="4"/>
      <c r="AI2474" s="4"/>
      <c r="AJ2474" s="4"/>
      <c r="AK2474" s="4"/>
      <c r="AL2474" s="4"/>
      <c r="AM2474" s="4"/>
      <c r="AN2474" s="4"/>
      <c r="AO2474" s="4"/>
      <c r="AP2474" s="4"/>
      <c r="AQ2474" s="4"/>
      <c r="AR2474" s="4"/>
      <c r="AS2474" s="4"/>
      <c r="AT2474" s="4"/>
      <c r="AU2474" s="4"/>
      <c r="AV2474" s="4"/>
      <c r="AW2474" s="4"/>
      <c r="AX2474" s="4"/>
      <c r="AY2474" s="4"/>
      <c r="AZ2474" s="4"/>
      <c r="BA2474" s="4"/>
      <c r="BB2474" s="4"/>
      <c r="BC2474" s="4"/>
      <c r="BD2474" s="4"/>
      <c r="BE2474" s="4"/>
      <c r="BF2474" s="4"/>
      <c r="BG2474" s="4"/>
      <c r="BH2474" s="4"/>
      <c r="BI2474" s="4"/>
      <c r="BJ2474" s="4"/>
      <c r="BK2474" s="4"/>
      <c r="BL2474" s="4"/>
      <c r="BM2474" s="4"/>
      <c r="BN2474" s="4"/>
      <c r="BO2474" s="4"/>
      <c r="BP2474" s="4"/>
      <c r="BQ2474" s="4"/>
      <c r="BR2474" s="4"/>
      <c r="BS2474" s="4"/>
      <c r="BT2474" s="4"/>
      <c r="BU2474" s="4"/>
    </row>
    <row r="2475" spans="29:73" s="1" customFormat="1" x14ac:dyDescent="0.25">
      <c r="AC2475" s="4"/>
      <c r="AD2475" s="4"/>
      <c r="AE2475" s="4"/>
      <c r="AF2475" s="4"/>
      <c r="AG2475" s="4"/>
      <c r="AH2475" s="4"/>
      <c r="AI2475" s="4"/>
      <c r="AJ2475" s="4"/>
      <c r="AK2475" s="4"/>
      <c r="AL2475" s="4"/>
      <c r="AM2475" s="4"/>
      <c r="AN2475" s="4"/>
      <c r="AO2475" s="4"/>
      <c r="AP2475" s="4"/>
      <c r="AQ2475" s="4"/>
      <c r="AR2475" s="4"/>
      <c r="AS2475" s="4"/>
      <c r="AT2475" s="4"/>
      <c r="AU2475" s="4"/>
      <c r="AV2475" s="4"/>
      <c r="AW2475" s="4"/>
      <c r="AX2475" s="4"/>
      <c r="AY2475" s="4"/>
      <c r="AZ2475" s="4"/>
      <c r="BA2475" s="4"/>
      <c r="BB2475" s="4"/>
      <c r="BC2475" s="4"/>
      <c r="BD2475" s="4"/>
      <c r="BE2475" s="4"/>
      <c r="BF2475" s="4"/>
      <c r="BG2475" s="4"/>
      <c r="BH2475" s="4"/>
      <c r="BI2475" s="4"/>
      <c r="BJ2475" s="4"/>
      <c r="BK2475" s="4"/>
      <c r="BL2475" s="4"/>
      <c r="BM2475" s="4"/>
      <c r="BN2475" s="4"/>
      <c r="BO2475" s="4"/>
      <c r="BP2475" s="4"/>
      <c r="BQ2475" s="4"/>
      <c r="BR2475" s="4"/>
      <c r="BS2475" s="4"/>
      <c r="BT2475" s="4"/>
      <c r="BU2475" s="4"/>
    </row>
    <row r="2476" spans="29:73" s="1" customFormat="1" x14ac:dyDescent="0.25">
      <c r="AC2476" s="4"/>
      <c r="AD2476" s="4"/>
      <c r="AE2476" s="4"/>
      <c r="AF2476" s="4"/>
      <c r="AG2476" s="4"/>
      <c r="AH2476" s="4"/>
      <c r="AI2476" s="4"/>
      <c r="AJ2476" s="4"/>
      <c r="AK2476" s="4"/>
      <c r="AL2476" s="4"/>
      <c r="AM2476" s="4"/>
      <c r="AN2476" s="4"/>
      <c r="AO2476" s="4"/>
      <c r="AP2476" s="4"/>
      <c r="AQ2476" s="4"/>
      <c r="AR2476" s="4"/>
      <c r="AS2476" s="4"/>
      <c r="AT2476" s="4"/>
      <c r="AU2476" s="4"/>
      <c r="AV2476" s="4"/>
      <c r="AW2476" s="4"/>
      <c r="AX2476" s="4"/>
      <c r="AY2476" s="4"/>
      <c r="AZ2476" s="4"/>
      <c r="BA2476" s="4"/>
      <c r="BB2476" s="4"/>
      <c r="BC2476" s="4"/>
      <c r="BD2476" s="4"/>
      <c r="BE2476" s="4"/>
      <c r="BF2476" s="4"/>
      <c r="BG2476" s="4"/>
      <c r="BH2476" s="4"/>
      <c r="BI2476" s="4"/>
      <c r="BJ2476" s="4"/>
      <c r="BK2476" s="4"/>
      <c r="BL2476" s="4"/>
      <c r="BM2476" s="4"/>
      <c r="BN2476" s="4"/>
      <c r="BO2476" s="4"/>
      <c r="BP2476" s="4"/>
      <c r="BQ2476" s="4"/>
      <c r="BR2476" s="4"/>
      <c r="BS2476" s="4"/>
      <c r="BT2476" s="4"/>
      <c r="BU2476" s="4"/>
    </row>
    <row r="2477" spans="29:73" s="1" customFormat="1" x14ac:dyDescent="0.25">
      <c r="AC2477" s="4"/>
      <c r="AD2477" s="4"/>
      <c r="AE2477" s="4"/>
      <c r="AF2477" s="4"/>
      <c r="AG2477" s="4"/>
      <c r="AH2477" s="4"/>
      <c r="AI2477" s="4"/>
      <c r="AJ2477" s="4"/>
      <c r="AK2477" s="4"/>
      <c r="AL2477" s="4"/>
      <c r="AM2477" s="4"/>
      <c r="AN2477" s="4"/>
      <c r="AO2477" s="4"/>
      <c r="AP2477" s="4"/>
      <c r="AQ2477" s="4"/>
      <c r="AR2477" s="4"/>
      <c r="AS2477" s="4"/>
      <c r="AT2477" s="4"/>
      <c r="AU2477" s="4"/>
      <c r="AV2477" s="4"/>
      <c r="AW2477" s="4"/>
      <c r="AX2477" s="4"/>
      <c r="AY2477" s="4"/>
      <c r="AZ2477" s="4"/>
      <c r="BA2477" s="4"/>
      <c r="BB2477" s="4"/>
      <c r="BC2477" s="4"/>
      <c r="BD2477" s="4"/>
      <c r="BE2477" s="4"/>
      <c r="BF2477" s="4"/>
      <c r="BG2477" s="4"/>
      <c r="BH2477" s="4"/>
      <c r="BI2477" s="4"/>
      <c r="BJ2477" s="4"/>
      <c r="BK2477" s="4"/>
      <c r="BL2477" s="4"/>
      <c r="BM2477" s="4"/>
      <c r="BN2477" s="4"/>
      <c r="BO2477" s="4"/>
      <c r="BP2477" s="4"/>
      <c r="BQ2477" s="4"/>
      <c r="BR2477" s="4"/>
      <c r="BS2477" s="4"/>
      <c r="BT2477" s="4"/>
      <c r="BU2477" s="4"/>
    </row>
    <row r="2478" spans="29:73" s="1" customFormat="1" x14ac:dyDescent="0.25">
      <c r="AC2478" s="4"/>
      <c r="AD2478" s="4"/>
      <c r="AE2478" s="4"/>
      <c r="AF2478" s="4"/>
      <c r="AG2478" s="4"/>
      <c r="AH2478" s="4"/>
      <c r="AI2478" s="4"/>
      <c r="AJ2478" s="4"/>
      <c r="AK2478" s="4"/>
      <c r="AL2478" s="4"/>
      <c r="AM2478" s="4"/>
      <c r="AN2478" s="4"/>
      <c r="AO2478" s="4"/>
      <c r="AP2478" s="4"/>
      <c r="AQ2478" s="4"/>
      <c r="AR2478" s="4"/>
      <c r="AS2478" s="4"/>
      <c r="AT2478" s="4"/>
      <c r="AU2478" s="4"/>
      <c r="AV2478" s="4"/>
      <c r="AW2478" s="4"/>
      <c r="AX2478" s="4"/>
      <c r="AY2478" s="4"/>
      <c r="AZ2478" s="4"/>
      <c r="BA2478" s="4"/>
      <c r="BB2478" s="4"/>
      <c r="BC2478" s="4"/>
      <c r="BD2478" s="4"/>
      <c r="BE2478" s="4"/>
      <c r="BF2478" s="4"/>
      <c r="BG2478" s="4"/>
      <c r="BH2478" s="4"/>
      <c r="BI2478" s="4"/>
      <c r="BJ2478" s="4"/>
      <c r="BK2478" s="4"/>
      <c r="BL2478" s="4"/>
      <c r="BM2478" s="4"/>
      <c r="BN2478" s="4"/>
      <c r="BO2478" s="4"/>
      <c r="BP2478" s="4"/>
      <c r="BQ2478" s="4"/>
      <c r="BR2478" s="4"/>
      <c r="BS2478" s="4"/>
      <c r="BT2478" s="4"/>
      <c r="BU2478" s="4"/>
    </row>
    <row r="2479" spans="29:73" s="1" customFormat="1" x14ac:dyDescent="0.25">
      <c r="AC2479" s="4"/>
      <c r="AD2479" s="4"/>
      <c r="AE2479" s="4"/>
      <c r="AF2479" s="4"/>
      <c r="AG2479" s="4"/>
      <c r="AH2479" s="4"/>
      <c r="AI2479" s="4"/>
      <c r="AJ2479" s="4"/>
      <c r="AK2479" s="4"/>
      <c r="AL2479" s="4"/>
      <c r="AM2479" s="4"/>
      <c r="AN2479" s="4"/>
      <c r="AO2479" s="4"/>
      <c r="AP2479" s="4"/>
      <c r="AQ2479" s="4"/>
      <c r="AR2479" s="4"/>
      <c r="AS2479" s="4"/>
      <c r="AT2479" s="4"/>
      <c r="AU2479" s="4"/>
      <c r="AV2479" s="4"/>
      <c r="AW2479" s="4"/>
      <c r="AX2479" s="4"/>
      <c r="AY2479" s="4"/>
      <c r="AZ2479" s="4"/>
      <c r="BA2479" s="4"/>
      <c r="BB2479" s="4"/>
      <c r="BC2479" s="4"/>
      <c r="BD2479" s="4"/>
      <c r="BE2479" s="4"/>
      <c r="BF2479" s="4"/>
      <c r="BG2479" s="4"/>
      <c r="BH2479" s="4"/>
      <c r="BI2479" s="4"/>
      <c r="BJ2479" s="4"/>
      <c r="BK2479" s="4"/>
      <c r="BL2479" s="4"/>
      <c r="BM2479" s="4"/>
      <c r="BN2479" s="4"/>
      <c r="BO2479" s="4"/>
      <c r="BP2479" s="4"/>
      <c r="BQ2479" s="4"/>
      <c r="BR2479" s="4"/>
      <c r="BS2479" s="4"/>
      <c r="BT2479" s="4"/>
      <c r="BU2479" s="4"/>
    </row>
    <row r="2480" spans="29:73" s="1" customFormat="1" x14ac:dyDescent="0.25">
      <c r="AC2480" s="4"/>
      <c r="AD2480" s="4"/>
      <c r="AE2480" s="4"/>
      <c r="AF2480" s="4"/>
      <c r="AG2480" s="4"/>
      <c r="AH2480" s="4"/>
      <c r="AI2480" s="4"/>
      <c r="AJ2480" s="4"/>
      <c r="AK2480" s="4"/>
      <c r="AL2480" s="4"/>
      <c r="AM2480" s="4"/>
      <c r="AN2480" s="4"/>
      <c r="AO2480" s="4"/>
      <c r="AP2480" s="4"/>
      <c r="AQ2480" s="4"/>
      <c r="AR2480" s="4"/>
      <c r="AS2480" s="4"/>
      <c r="AT2480" s="4"/>
      <c r="AU2480" s="4"/>
      <c r="AV2480" s="4"/>
      <c r="AW2480" s="4"/>
      <c r="AX2480" s="4"/>
      <c r="AY2480" s="4"/>
      <c r="AZ2480" s="4"/>
      <c r="BA2480" s="4"/>
      <c r="BB2480" s="4"/>
      <c r="BC2480" s="4"/>
      <c r="BD2480" s="4"/>
      <c r="BE2480" s="4"/>
      <c r="BF2480" s="4"/>
      <c r="BG2480" s="4"/>
      <c r="BH2480" s="4"/>
      <c r="BI2480" s="4"/>
      <c r="BJ2480" s="4"/>
      <c r="BK2480" s="4"/>
      <c r="BL2480" s="4"/>
      <c r="BM2480" s="4"/>
      <c r="BN2480" s="4"/>
      <c r="BO2480" s="4"/>
      <c r="BP2480" s="4"/>
      <c r="BQ2480" s="4"/>
      <c r="BR2480" s="4"/>
      <c r="BS2480" s="4"/>
      <c r="BT2480" s="4"/>
      <c r="BU2480" s="4"/>
    </row>
    <row r="2481" spans="29:73" s="1" customFormat="1" x14ac:dyDescent="0.25">
      <c r="AC2481" s="4"/>
      <c r="AD2481" s="4"/>
      <c r="AE2481" s="4"/>
      <c r="AF2481" s="4"/>
      <c r="AG2481" s="4"/>
      <c r="AH2481" s="4"/>
      <c r="AI2481" s="4"/>
      <c r="AJ2481" s="4"/>
      <c r="AK2481" s="4"/>
      <c r="AL2481" s="4"/>
      <c r="AM2481" s="4"/>
      <c r="AN2481" s="4"/>
      <c r="AO2481" s="4"/>
      <c r="AP2481" s="4"/>
      <c r="AQ2481" s="4"/>
      <c r="AR2481" s="4"/>
      <c r="AS2481" s="4"/>
      <c r="AT2481" s="4"/>
      <c r="AU2481" s="4"/>
      <c r="AV2481" s="4"/>
      <c r="AW2481" s="4"/>
      <c r="AX2481" s="4"/>
      <c r="AY2481" s="4"/>
      <c r="AZ2481" s="4"/>
      <c r="BA2481" s="4"/>
      <c r="BB2481" s="4"/>
      <c r="BC2481" s="4"/>
      <c r="BD2481" s="4"/>
      <c r="BE2481" s="4"/>
      <c r="BF2481" s="4"/>
      <c r="BG2481" s="4"/>
      <c r="BH2481" s="4"/>
      <c r="BI2481" s="4"/>
      <c r="BJ2481" s="4"/>
      <c r="BK2481" s="4"/>
      <c r="BL2481" s="4"/>
      <c r="BM2481" s="4"/>
      <c r="BN2481" s="4"/>
      <c r="BO2481" s="4"/>
      <c r="BP2481" s="4"/>
      <c r="BQ2481" s="4"/>
      <c r="BR2481" s="4"/>
      <c r="BS2481" s="4"/>
      <c r="BT2481" s="4"/>
      <c r="BU2481" s="4"/>
    </row>
    <row r="2482" spans="29:73" s="1" customFormat="1" x14ac:dyDescent="0.25">
      <c r="AC2482" s="4"/>
      <c r="AD2482" s="4"/>
      <c r="AE2482" s="4"/>
      <c r="AF2482" s="4"/>
      <c r="AG2482" s="4"/>
      <c r="AH2482" s="4"/>
      <c r="AI2482" s="4"/>
      <c r="AJ2482" s="4"/>
      <c r="AK2482" s="4"/>
      <c r="AL2482" s="4"/>
      <c r="AM2482" s="4"/>
      <c r="AN2482" s="4"/>
      <c r="AO2482" s="4"/>
      <c r="AP2482" s="4"/>
      <c r="AQ2482" s="4"/>
      <c r="AR2482" s="4"/>
      <c r="AS2482" s="4"/>
      <c r="AT2482" s="4"/>
      <c r="AU2482" s="4"/>
      <c r="AV2482" s="4"/>
      <c r="AW2482" s="4"/>
      <c r="AX2482" s="4"/>
      <c r="AY2482" s="4"/>
      <c r="AZ2482" s="4"/>
      <c r="BA2482" s="4"/>
      <c r="BB2482" s="4"/>
      <c r="BC2482" s="4"/>
      <c r="BD2482" s="4"/>
      <c r="BE2482" s="4"/>
      <c r="BF2482" s="4"/>
      <c r="BG2482" s="4"/>
      <c r="BH2482" s="4"/>
      <c r="BI2482" s="4"/>
      <c r="BJ2482" s="4"/>
      <c r="BK2482" s="4"/>
      <c r="BL2482" s="4"/>
      <c r="BM2482" s="4"/>
      <c r="BN2482" s="4"/>
      <c r="BO2482" s="4"/>
      <c r="BP2482" s="4"/>
      <c r="BQ2482" s="4"/>
      <c r="BR2482" s="4"/>
      <c r="BS2482" s="4"/>
      <c r="BT2482" s="4"/>
      <c r="BU2482" s="4"/>
    </row>
    <row r="2483" spans="29:73" s="1" customFormat="1" x14ac:dyDescent="0.25">
      <c r="AC2483" s="4"/>
      <c r="AD2483" s="4"/>
      <c r="AE2483" s="4"/>
      <c r="AF2483" s="4"/>
      <c r="AG2483" s="4"/>
      <c r="AH2483" s="4"/>
      <c r="AI2483" s="4"/>
      <c r="AJ2483" s="4"/>
      <c r="AK2483" s="4"/>
      <c r="AL2483" s="4"/>
      <c r="AM2483" s="4"/>
      <c r="AN2483" s="4"/>
      <c r="AO2483" s="4"/>
      <c r="AP2483" s="4"/>
      <c r="AQ2483" s="4"/>
      <c r="AR2483" s="4"/>
      <c r="AS2483" s="4"/>
      <c r="AT2483" s="4"/>
      <c r="AU2483" s="4"/>
      <c r="AV2483" s="4"/>
      <c r="AW2483" s="4"/>
      <c r="AX2483" s="4"/>
      <c r="AY2483" s="4"/>
      <c r="AZ2483" s="4"/>
      <c r="BA2483" s="4"/>
      <c r="BB2483" s="4"/>
      <c r="BC2483" s="4"/>
      <c r="BD2483" s="4"/>
      <c r="BE2483" s="4"/>
      <c r="BF2483" s="4"/>
      <c r="BG2483" s="4"/>
      <c r="BH2483" s="4"/>
      <c r="BI2483" s="4"/>
      <c r="BJ2483" s="4"/>
      <c r="BK2483" s="4"/>
      <c r="BL2483" s="4"/>
      <c r="BM2483" s="4"/>
      <c r="BN2483" s="4"/>
      <c r="BO2483" s="4"/>
      <c r="BP2483" s="4"/>
      <c r="BQ2483" s="4"/>
      <c r="BR2483" s="4"/>
      <c r="BS2483" s="4"/>
      <c r="BT2483" s="4"/>
      <c r="BU2483" s="4"/>
    </row>
    <row r="2484" spans="29:73" s="1" customFormat="1" x14ac:dyDescent="0.25">
      <c r="AC2484" s="4"/>
      <c r="AD2484" s="4"/>
      <c r="AE2484" s="4"/>
      <c r="AF2484" s="4"/>
      <c r="AG2484" s="4"/>
      <c r="AH2484" s="4"/>
      <c r="AI2484" s="4"/>
      <c r="AJ2484" s="4"/>
      <c r="AK2484" s="4"/>
      <c r="AL2484" s="4"/>
      <c r="AM2484" s="4"/>
      <c r="AN2484" s="4"/>
      <c r="AO2484" s="4"/>
      <c r="AP2484" s="4"/>
      <c r="AQ2484" s="4"/>
      <c r="AR2484" s="4"/>
      <c r="AS2484" s="4"/>
      <c r="AT2484" s="4"/>
      <c r="AU2484" s="4"/>
      <c r="AV2484" s="4"/>
      <c r="AW2484" s="4"/>
      <c r="AX2484" s="4"/>
      <c r="AY2484" s="4"/>
      <c r="AZ2484" s="4"/>
      <c r="BA2484" s="4"/>
      <c r="BB2484" s="4"/>
      <c r="BC2484" s="4"/>
      <c r="BD2484" s="4"/>
      <c r="BE2484" s="4"/>
      <c r="BF2484" s="4"/>
      <c r="BG2484" s="4"/>
      <c r="BH2484" s="4"/>
      <c r="BI2484" s="4"/>
      <c r="BJ2484" s="4"/>
      <c r="BK2484" s="4"/>
      <c r="BL2484" s="4"/>
      <c r="BM2484" s="4"/>
      <c r="BN2484" s="4"/>
      <c r="BO2484" s="4"/>
      <c r="BP2484" s="4"/>
      <c r="BQ2484" s="4"/>
      <c r="BR2484" s="4"/>
      <c r="BS2484" s="4"/>
      <c r="BT2484" s="4"/>
      <c r="BU2484" s="4"/>
    </row>
    <row r="2485" spans="29:73" s="1" customFormat="1" x14ac:dyDescent="0.25">
      <c r="AC2485" s="4"/>
      <c r="AD2485" s="4"/>
      <c r="AE2485" s="4"/>
      <c r="AF2485" s="4"/>
      <c r="AG2485" s="4"/>
      <c r="AH2485" s="4"/>
      <c r="AI2485" s="4"/>
      <c r="AJ2485" s="4"/>
      <c r="AK2485" s="4"/>
      <c r="AL2485" s="4"/>
      <c r="AM2485" s="4"/>
      <c r="AN2485" s="4"/>
      <c r="AO2485" s="4"/>
      <c r="AP2485" s="4"/>
      <c r="AQ2485" s="4"/>
      <c r="AR2485" s="4"/>
      <c r="AS2485" s="4"/>
      <c r="AT2485" s="4"/>
      <c r="AU2485" s="4"/>
      <c r="AV2485" s="4"/>
      <c r="AW2485" s="4"/>
      <c r="AX2485" s="4"/>
      <c r="AY2485" s="4"/>
      <c r="AZ2485" s="4"/>
      <c r="BA2485" s="4"/>
      <c r="BB2485" s="4"/>
      <c r="BC2485" s="4"/>
      <c r="BD2485" s="4"/>
      <c r="BE2485" s="4"/>
      <c r="BF2485" s="4"/>
      <c r="BG2485" s="4"/>
      <c r="BH2485" s="4"/>
      <c r="BI2485" s="4"/>
      <c r="BJ2485" s="4"/>
      <c r="BK2485" s="4"/>
      <c r="BL2485" s="4"/>
      <c r="BM2485" s="4"/>
      <c r="BN2485" s="4"/>
      <c r="BO2485" s="4"/>
      <c r="BP2485" s="4"/>
      <c r="BQ2485" s="4"/>
      <c r="BR2485" s="4"/>
      <c r="BS2485" s="4"/>
      <c r="BT2485" s="4"/>
      <c r="BU2485" s="4"/>
    </row>
    <row r="2486" spans="29:73" s="1" customFormat="1" x14ac:dyDescent="0.25">
      <c r="AC2486" s="4"/>
      <c r="AD2486" s="4"/>
      <c r="AE2486" s="4"/>
      <c r="AF2486" s="4"/>
      <c r="AG2486" s="4"/>
      <c r="AH2486" s="4"/>
      <c r="AI2486" s="4"/>
      <c r="AJ2486" s="4"/>
      <c r="AK2486" s="4"/>
      <c r="AL2486" s="4"/>
      <c r="AM2486" s="4"/>
      <c r="AN2486" s="4"/>
      <c r="AO2486" s="4"/>
      <c r="AP2486" s="4"/>
      <c r="AQ2486" s="4"/>
      <c r="AR2486" s="4"/>
      <c r="AS2486" s="4"/>
      <c r="AT2486" s="4"/>
      <c r="AU2486" s="4"/>
      <c r="AV2486" s="4"/>
      <c r="AW2486" s="4"/>
      <c r="AX2486" s="4"/>
      <c r="AY2486" s="4"/>
      <c r="AZ2486" s="4"/>
      <c r="BA2486" s="4"/>
      <c r="BB2486" s="4"/>
      <c r="BC2486" s="4"/>
      <c r="BD2486" s="4"/>
      <c r="BE2486" s="4"/>
      <c r="BF2486" s="4"/>
      <c r="BG2486" s="4"/>
      <c r="BH2486" s="4"/>
      <c r="BI2486" s="4"/>
      <c r="BJ2486" s="4"/>
      <c r="BK2486" s="4"/>
      <c r="BL2486" s="4"/>
      <c r="BM2486" s="4"/>
      <c r="BN2486" s="4"/>
      <c r="BO2486" s="4"/>
      <c r="BP2486" s="4"/>
      <c r="BQ2486" s="4"/>
      <c r="BR2486" s="4"/>
      <c r="BS2486" s="4"/>
      <c r="BT2486" s="4"/>
      <c r="BU2486" s="4"/>
    </row>
    <row r="2487" spans="29:73" s="1" customFormat="1" x14ac:dyDescent="0.25">
      <c r="AC2487" s="4"/>
      <c r="AD2487" s="4"/>
      <c r="AE2487" s="4"/>
      <c r="AF2487" s="4"/>
      <c r="AG2487" s="4"/>
      <c r="AH2487" s="4"/>
      <c r="AI2487" s="4"/>
      <c r="AJ2487" s="4"/>
      <c r="AK2487" s="4"/>
      <c r="AL2487" s="4"/>
      <c r="AM2487" s="4"/>
      <c r="AN2487" s="4"/>
      <c r="AO2487" s="4"/>
      <c r="AP2487" s="4"/>
      <c r="AQ2487" s="4"/>
      <c r="AR2487" s="4"/>
      <c r="AS2487" s="4"/>
      <c r="AT2487" s="4"/>
      <c r="AU2487" s="4"/>
      <c r="AV2487" s="4"/>
      <c r="AW2487" s="4"/>
      <c r="AX2487" s="4"/>
      <c r="AY2487" s="4"/>
      <c r="AZ2487" s="4"/>
      <c r="BA2487" s="4"/>
      <c r="BB2487" s="4"/>
      <c r="BC2487" s="4"/>
      <c r="BD2487" s="4"/>
      <c r="BE2487" s="4"/>
      <c r="BF2487" s="4"/>
      <c r="BG2487" s="4"/>
      <c r="BH2487" s="4"/>
      <c r="BI2487" s="4"/>
      <c r="BJ2487" s="4"/>
      <c r="BK2487" s="4"/>
      <c r="BL2487" s="4"/>
      <c r="BM2487" s="4"/>
      <c r="BN2487" s="4"/>
      <c r="BO2487" s="4"/>
      <c r="BP2487" s="4"/>
      <c r="BQ2487" s="4"/>
      <c r="BR2487" s="4"/>
      <c r="BS2487" s="4"/>
      <c r="BT2487" s="4"/>
      <c r="BU2487" s="4"/>
    </row>
    <row r="2488" spans="29:73" s="1" customFormat="1" x14ac:dyDescent="0.25">
      <c r="AC2488" s="4"/>
      <c r="AD2488" s="4"/>
      <c r="AE2488" s="4"/>
      <c r="AF2488" s="4"/>
      <c r="AG2488" s="4"/>
      <c r="AH2488" s="4"/>
      <c r="AI2488" s="4"/>
      <c r="AJ2488" s="4"/>
      <c r="AK2488" s="4"/>
      <c r="AL2488" s="4"/>
      <c r="AM2488" s="4"/>
      <c r="AN2488" s="4"/>
      <c r="AO2488" s="4"/>
      <c r="AP2488" s="4"/>
      <c r="AQ2488" s="4"/>
      <c r="AR2488" s="4"/>
      <c r="AS2488" s="4"/>
      <c r="AT2488" s="4"/>
      <c r="AU2488" s="4"/>
      <c r="AV2488" s="4"/>
      <c r="AW2488" s="4"/>
      <c r="AX2488" s="4"/>
      <c r="AY2488" s="4"/>
      <c r="AZ2488" s="4"/>
      <c r="BA2488" s="4"/>
      <c r="BB2488" s="4"/>
      <c r="BC2488" s="4"/>
      <c r="BD2488" s="4"/>
      <c r="BE2488" s="4"/>
      <c r="BF2488" s="4"/>
      <c r="BG2488" s="4"/>
      <c r="BH2488" s="4"/>
      <c r="BI2488" s="4"/>
      <c r="BJ2488" s="4"/>
      <c r="BK2488" s="4"/>
      <c r="BL2488" s="4"/>
      <c r="BM2488" s="4"/>
      <c r="BN2488" s="4"/>
      <c r="BO2488" s="4"/>
      <c r="BP2488" s="4"/>
      <c r="BQ2488" s="4"/>
      <c r="BR2488" s="4"/>
      <c r="BS2488" s="4"/>
      <c r="BT2488" s="4"/>
      <c r="BU2488" s="4"/>
    </row>
    <row r="2489" spans="29:73" s="1" customFormat="1" x14ac:dyDescent="0.25">
      <c r="AC2489" s="4"/>
      <c r="AD2489" s="4"/>
      <c r="AE2489" s="4"/>
      <c r="AF2489" s="4"/>
      <c r="AG2489" s="4"/>
      <c r="AH2489" s="4"/>
      <c r="AI2489" s="4"/>
      <c r="AJ2489" s="4"/>
      <c r="AK2489" s="4"/>
      <c r="AL2489" s="4"/>
      <c r="AM2489" s="4"/>
      <c r="AN2489" s="4"/>
      <c r="AO2489" s="4"/>
      <c r="AP2489" s="4"/>
      <c r="AQ2489" s="4"/>
      <c r="AR2489" s="4"/>
      <c r="AS2489" s="4"/>
      <c r="AT2489" s="4"/>
      <c r="AU2489" s="4"/>
      <c r="AV2489" s="4"/>
      <c r="AW2489" s="4"/>
      <c r="AX2489" s="4"/>
      <c r="AY2489" s="4"/>
      <c r="AZ2489" s="4"/>
      <c r="BA2489" s="4"/>
      <c r="BB2489" s="4"/>
      <c r="BC2489" s="4"/>
      <c r="BD2489" s="4"/>
      <c r="BE2489" s="4"/>
      <c r="BF2489" s="4"/>
      <c r="BG2489" s="4"/>
      <c r="BH2489" s="4"/>
      <c r="BI2489" s="4"/>
      <c r="BJ2489" s="4"/>
      <c r="BK2489" s="4"/>
      <c r="BL2489" s="4"/>
      <c r="BM2489" s="4"/>
      <c r="BN2489" s="4"/>
      <c r="BO2489" s="4"/>
      <c r="BP2489" s="4"/>
      <c r="BQ2489" s="4"/>
      <c r="BR2489" s="4"/>
      <c r="BS2489" s="4"/>
      <c r="BT2489" s="4"/>
      <c r="BU2489" s="4"/>
    </row>
    <row r="2490" spans="29:73" s="1" customFormat="1" x14ac:dyDescent="0.25">
      <c r="AC2490" s="4"/>
      <c r="AD2490" s="4"/>
      <c r="AE2490" s="4"/>
      <c r="AF2490" s="4"/>
      <c r="AG2490" s="4"/>
      <c r="AH2490" s="4"/>
      <c r="AI2490" s="4"/>
      <c r="AJ2490" s="4"/>
      <c r="AK2490" s="4"/>
      <c r="AL2490" s="4"/>
      <c r="AM2490" s="4"/>
      <c r="AN2490" s="4"/>
      <c r="AO2490" s="4"/>
      <c r="AP2490" s="4"/>
      <c r="AQ2490" s="4"/>
      <c r="AR2490" s="4"/>
      <c r="AS2490" s="4"/>
      <c r="AT2490" s="4"/>
      <c r="AU2490" s="4"/>
      <c r="AV2490" s="4"/>
      <c r="AW2490" s="4"/>
      <c r="AX2490" s="4"/>
      <c r="AY2490" s="4"/>
      <c r="AZ2490" s="4"/>
      <c r="BA2490" s="4"/>
      <c r="BB2490" s="4"/>
      <c r="BC2490" s="4"/>
      <c r="BD2490" s="4"/>
      <c r="BE2490" s="4"/>
      <c r="BF2490" s="4"/>
      <c r="BG2490" s="4"/>
      <c r="BH2490" s="4"/>
      <c r="BI2490" s="4"/>
      <c r="BJ2490" s="4"/>
      <c r="BK2490" s="4"/>
      <c r="BL2490" s="4"/>
      <c r="BM2490" s="4"/>
      <c r="BN2490" s="4"/>
      <c r="BO2490" s="4"/>
      <c r="BP2490" s="4"/>
      <c r="BQ2490" s="4"/>
      <c r="BR2490" s="4"/>
      <c r="BS2490" s="4"/>
      <c r="BT2490" s="4"/>
      <c r="BU2490" s="4"/>
    </row>
    <row r="2491" spans="29:73" s="1" customFormat="1" x14ac:dyDescent="0.25">
      <c r="AC2491" s="4"/>
      <c r="AD2491" s="4"/>
      <c r="AE2491" s="4"/>
      <c r="AF2491" s="4"/>
      <c r="AG2491" s="4"/>
      <c r="AH2491" s="4"/>
      <c r="AI2491" s="4"/>
      <c r="AJ2491" s="4"/>
      <c r="AK2491" s="4"/>
      <c r="AL2491" s="4"/>
      <c r="AM2491" s="4"/>
      <c r="AN2491" s="4"/>
      <c r="AO2491" s="4"/>
      <c r="AP2491" s="4"/>
      <c r="AQ2491" s="4"/>
      <c r="AR2491" s="4"/>
      <c r="AS2491" s="4"/>
      <c r="AT2491" s="4"/>
      <c r="AU2491" s="4"/>
      <c r="AV2491" s="4"/>
      <c r="AW2491" s="4"/>
      <c r="AX2491" s="4"/>
      <c r="AY2491" s="4"/>
      <c r="AZ2491" s="4"/>
      <c r="BA2491" s="4"/>
      <c r="BB2491" s="4"/>
      <c r="BC2491" s="4"/>
      <c r="BD2491" s="4"/>
      <c r="BE2491" s="4"/>
      <c r="BF2491" s="4"/>
      <c r="BG2491" s="4"/>
      <c r="BH2491" s="4"/>
      <c r="BI2491" s="4"/>
      <c r="BJ2491" s="4"/>
      <c r="BK2491" s="4"/>
      <c r="BL2491" s="4"/>
      <c r="BM2491" s="4"/>
      <c r="BN2491" s="4"/>
      <c r="BO2491" s="4"/>
      <c r="BP2491" s="4"/>
      <c r="BQ2491" s="4"/>
      <c r="BR2491" s="4"/>
      <c r="BS2491" s="4"/>
      <c r="BT2491" s="4"/>
      <c r="BU2491" s="4"/>
    </row>
    <row r="2492" spans="29:73" s="1" customFormat="1" x14ac:dyDescent="0.25">
      <c r="AC2492" s="4"/>
      <c r="AD2492" s="4"/>
      <c r="AE2492" s="4"/>
      <c r="AF2492" s="4"/>
      <c r="AG2492" s="4"/>
      <c r="AH2492" s="4"/>
      <c r="AI2492" s="4"/>
      <c r="AJ2492" s="4"/>
      <c r="AK2492" s="4"/>
      <c r="AL2492" s="4"/>
      <c r="AM2492" s="4"/>
      <c r="AN2492" s="4"/>
      <c r="AO2492" s="4"/>
      <c r="AP2492" s="4"/>
      <c r="AQ2492" s="4"/>
      <c r="AR2492" s="4"/>
      <c r="AS2492" s="4"/>
      <c r="AT2492" s="4"/>
      <c r="AU2492" s="4"/>
      <c r="AV2492" s="4"/>
      <c r="AW2492" s="4"/>
      <c r="AX2492" s="4"/>
      <c r="AY2492" s="4"/>
      <c r="AZ2492" s="4"/>
      <c r="BA2492" s="4"/>
      <c r="BB2492" s="4"/>
      <c r="BC2492" s="4"/>
      <c r="BD2492" s="4"/>
      <c r="BE2492" s="4"/>
      <c r="BF2492" s="4"/>
      <c r="BG2492" s="4"/>
      <c r="BH2492" s="4"/>
      <c r="BI2492" s="4"/>
      <c r="BJ2492" s="4"/>
      <c r="BK2492" s="4"/>
      <c r="BL2492" s="4"/>
      <c r="BM2492" s="4"/>
      <c r="BN2492" s="4"/>
      <c r="BO2492" s="4"/>
      <c r="BP2492" s="4"/>
      <c r="BQ2492" s="4"/>
      <c r="BR2492" s="4"/>
      <c r="BS2492" s="4"/>
      <c r="BT2492" s="4"/>
      <c r="BU2492" s="4"/>
    </row>
    <row r="2493" spans="29:73" s="1" customFormat="1" x14ac:dyDescent="0.25">
      <c r="AC2493" s="4"/>
      <c r="AD2493" s="4"/>
      <c r="AE2493" s="4"/>
      <c r="AF2493" s="4"/>
      <c r="AG2493" s="4"/>
      <c r="AH2493" s="4"/>
      <c r="AI2493" s="4"/>
      <c r="AJ2493" s="4"/>
      <c r="AK2493" s="4"/>
      <c r="AL2493" s="4"/>
      <c r="AM2493" s="4"/>
      <c r="AN2493" s="4"/>
      <c r="AO2493" s="4"/>
      <c r="AP2493" s="4"/>
      <c r="AQ2493" s="4"/>
      <c r="AR2493" s="4"/>
      <c r="AS2493" s="4"/>
      <c r="AT2493" s="4"/>
      <c r="AU2493" s="4"/>
      <c r="AV2493" s="4"/>
      <c r="AW2493" s="4"/>
      <c r="AX2493" s="4"/>
      <c r="AY2493" s="4"/>
      <c r="AZ2493" s="4"/>
      <c r="BA2493" s="4"/>
      <c r="BB2493" s="4"/>
      <c r="BC2493" s="4"/>
      <c r="BD2493" s="4"/>
      <c r="BE2493" s="4"/>
      <c r="BF2493" s="4"/>
      <c r="BG2493" s="4"/>
      <c r="BH2493" s="4"/>
      <c r="BI2493" s="4"/>
      <c r="BJ2493" s="4"/>
      <c r="BK2493" s="4"/>
      <c r="BL2493" s="4"/>
      <c r="BM2493" s="4"/>
      <c r="BN2493" s="4"/>
      <c r="BO2493" s="4"/>
      <c r="BP2493" s="4"/>
      <c r="BQ2493" s="4"/>
      <c r="BR2493" s="4"/>
      <c r="BS2493" s="4"/>
      <c r="BT2493" s="4"/>
      <c r="BU2493" s="4"/>
    </row>
    <row r="2494" spans="29:73" s="1" customFormat="1" x14ac:dyDescent="0.25">
      <c r="AC2494" s="4"/>
      <c r="AD2494" s="4"/>
      <c r="AE2494" s="4"/>
      <c r="AF2494" s="4"/>
      <c r="AG2494" s="4"/>
      <c r="AH2494" s="4"/>
      <c r="AI2494" s="4"/>
      <c r="AJ2494" s="4"/>
      <c r="AK2494" s="4"/>
      <c r="AL2494" s="4"/>
      <c r="AM2494" s="4"/>
      <c r="AN2494" s="4"/>
      <c r="AO2494" s="4"/>
      <c r="AP2494" s="4"/>
      <c r="AQ2494" s="4"/>
      <c r="AR2494" s="4"/>
      <c r="AS2494" s="4"/>
      <c r="AT2494" s="4"/>
      <c r="AU2494" s="4"/>
      <c r="AV2494" s="4"/>
      <c r="AW2494" s="4"/>
      <c r="AX2494" s="4"/>
      <c r="AY2494" s="4"/>
      <c r="AZ2494" s="4"/>
      <c r="BA2494" s="4"/>
      <c r="BB2494" s="4"/>
      <c r="BC2494" s="4"/>
      <c r="BD2494" s="4"/>
      <c r="BE2494" s="4"/>
      <c r="BF2494" s="4"/>
      <c r="BG2494" s="4"/>
      <c r="BH2494" s="4"/>
      <c r="BI2494" s="4"/>
      <c r="BJ2494" s="4"/>
      <c r="BK2494" s="4"/>
      <c r="BL2494" s="4"/>
      <c r="BM2494" s="4"/>
      <c r="BN2494" s="4"/>
      <c r="BO2494" s="4"/>
      <c r="BP2494" s="4"/>
      <c r="BQ2494" s="4"/>
      <c r="BR2494" s="4"/>
      <c r="BS2494" s="4"/>
      <c r="BT2494" s="4"/>
      <c r="BU2494" s="4"/>
    </row>
    <row r="2495" spans="29:73" s="1" customFormat="1" x14ac:dyDescent="0.25">
      <c r="AC2495" s="4"/>
      <c r="AD2495" s="4"/>
      <c r="AE2495" s="4"/>
      <c r="AF2495" s="4"/>
      <c r="AG2495" s="4"/>
      <c r="AH2495" s="4"/>
      <c r="AI2495" s="4"/>
      <c r="AJ2495" s="4"/>
      <c r="AK2495" s="4"/>
      <c r="AL2495" s="4"/>
      <c r="AM2495" s="4"/>
      <c r="AN2495" s="4"/>
      <c r="AO2495" s="4"/>
      <c r="AP2495" s="4"/>
      <c r="AQ2495" s="4"/>
      <c r="AR2495" s="4"/>
      <c r="AS2495" s="4"/>
      <c r="AT2495" s="4"/>
      <c r="AU2495" s="4"/>
      <c r="AV2495" s="4"/>
      <c r="AW2495" s="4"/>
      <c r="AX2495" s="4"/>
      <c r="AY2495" s="4"/>
      <c r="AZ2495" s="4"/>
      <c r="BA2495" s="4"/>
      <c r="BB2495" s="4"/>
      <c r="BC2495" s="4"/>
      <c r="BD2495" s="4"/>
      <c r="BE2495" s="4"/>
      <c r="BF2495" s="4"/>
      <c r="BG2495" s="4"/>
      <c r="BH2495" s="4"/>
      <c r="BI2495" s="4"/>
      <c r="BJ2495" s="4"/>
      <c r="BK2495" s="4"/>
      <c r="BL2495" s="4"/>
      <c r="BM2495" s="4"/>
      <c r="BN2495" s="4"/>
      <c r="BO2495" s="4"/>
      <c r="BP2495" s="4"/>
      <c r="BQ2495" s="4"/>
      <c r="BR2495" s="4"/>
      <c r="BS2495" s="4"/>
      <c r="BT2495" s="4"/>
      <c r="BU2495" s="4"/>
    </row>
    <row r="2496" spans="29:73" s="1" customFormat="1" x14ac:dyDescent="0.25">
      <c r="AC2496" s="4"/>
      <c r="AD2496" s="4"/>
      <c r="AE2496" s="4"/>
      <c r="AF2496" s="4"/>
      <c r="AG2496" s="4"/>
      <c r="AH2496" s="4"/>
      <c r="AI2496" s="4"/>
      <c r="AJ2496" s="4"/>
      <c r="AK2496" s="4"/>
      <c r="AL2496" s="4"/>
      <c r="AM2496" s="4"/>
      <c r="AN2496" s="4"/>
      <c r="AO2496" s="4"/>
      <c r="AP2496" s="4"/>
      <c r="AQ2496" s="4"/>
      <c r="AR2496" s="4"/>
      <c r="AS2496" s="4"/>
      <c r="AT2496" s="4"/>
      <c r="AU2496" s="4"/>
      <c r="AV2496" s="4"/>
      <c r="AW2496" s="4"/>
      <c r="AX2496" s="4"/>
      <c r="AY2496" s="4"/>
      <c r="AZ2496" s="4"/>
      <c r="BA2496" s="4"/>
      <c r="BB2496" s="4"/>
      <c r="BC2496" s="4"/>
      <c r="BD2496" s="4"/>
      <c r="BE2496" s="4"/>
      <c r="BF2496" s="4"/>
      <c r="BG2496" s="4"/>
      <c r="BH2496" s="4"/>
      <c r="BI2496" s="4"/>
      <c r="BJ2496" s="4"/>
      <c r="BK2496" s="4"/>
      <c r="BL2496" s="4"/>
      <c r="BM2496" s="4"/>
      <c r="BN2496" s="4"/>
      <c r="BO2496" s="4"/>
      <c r="BP2496" s="4"/>
      <c r="BQ2496" s="4"/>
      <c r="BR2496" s="4"/>
      <c r="BS2496" s="4"/>
      <c r="BT2496" s="4"/>
      <c r="BU2496" s="4"/>
    </row>
    <row r="2497" spans="29:73" s="1" customFormat="1" x14ac:dyDescent="0.25">
      <c r="AC2497" s="4"/>
      <c r="AD2497" s="4"/>
      <c r="AE2497" s="4"/>
      <c r="AF2497" s="4"/>
      <c r="AG2497" s="4"/>
      <c r="AH2497" s="4"/>
      <c r="AI2497" s="4"/>
      <c r="AJ2497" s="4"/>
      <c r="AK2497" s="4"/>
      <c r="AL2497" s="4"/>
      <c r="AM2497" s="4"/>
      <c r="AN2497" s="4"/>
      <c r="AO2497" s="4"/>
      <c r="AP2497" s="4"/>
      <c r="AQ2497" s="4"/>
      <c r="AR2497" s="4"/>
      <c r="AS2497" s="4"/>
      <c r="AT2497" s="4"/>
      <c r="AU2497" s="4"/>
      <c r="AV2497" s="4"/>
      <c r="AW2497" s="4"/>
      <c r="AX2497" s="4"/>
      <c r="AY2497" s="4"/>
      <c r="AZ2497" s="4"/>
      <c r="BA2497" s="4"/>
      <c r="BB2497" s="4"/>
      <c r="BC2497" s="4"/>
      <c r="BD2497" s="4"/>
      <c r="BE2497" s="4"/>
      <c r="BF2497" s="4"/>
      <c r="BG2497" s="4"/>
      <c r="BH2497" s="4"/>
      <c r="BI2497" s="4"/>
      <c r="BJ2497" s="4"/>
      <c r="BK2497" s="4"/>
      <c r="BL2497" s="4"/>
      <c r="BM2497" s="4"/>
      <c r="BN2497" s="4"/>
      <c r="BO2497" s="4"/>
      <c r="BP2497" s="4"/>
      <c r="BQ2497" s="4"/>
      <c r="BR2497" s="4"/>
      <c r="BS2497" s="4"/>
      <c r="BT2497" s="4"/>
      <c r="BU2497" s="4"/>
    </row>
    <row r="2498" spans="29:73" s="1" customFormat="1" x14ac:dyDescent="0.25">
      <c r="AC2498" s="4"/>
      <c r="AD2498" s="4"/>
      <c r="AE2498" s="4"/>
      <c r="AF2498" s="4"/>
      <c r="AG2498" s="4"/>
      <c r="AH2498" s="4"/>
      <c r="AI2498" s="4"/>
      <c r="AJ2498" s="4"/>
      <c r="AK2498" s="4"/>
      <c r="AL2498" s="4"/>
      <c r="AM2498" s="4"/>
      <c r="AN2498" s="4"/>
      <c r="AO2498" s="4"/>
      <c r="AP2498" s="4"/>
      <c r="AQ2498" s="4"/>
      <c r="AR2498" s="4"/>
      <c r="AS2498" s="4"/>
      <c r="AT2498" s="4"/>
      <c r="AU2498" s="4"/>
      <c r="AV2498" s="4"/>
      <c r="AW2498" s="4"/>
      <c r="AX2498" s="4"/>
      <c r="AY2498" s="4"/>
      <c r="AZ2498" s="4"/>
      <c r="BA2498" s="4"/>
      <c r="BB2498" s="4"/>
      <c r="BC2498" s="4"/>
      <c r="BD2498" s="4"/>
      <c r="BE2498" s="4"/>
      <c r="BF2498" s="4"/>
      <c r="BG2498" s="4"/>
      <c r="BH2498" s="4"/>
      <c r="BI2498" s="4"/>
      <c r="BJ2498" s="4"/>
      <c r="BK2498" s="4"/>
      <c r="BL2498" s="4"/>
      <c r="BM2498" s="4"/>
      <c r="BN2498" s="4"/>
      <c r="BO2498" s="4"/>
      <c r="BP2498" s="4"/>
      <c r="BQ2498" s="4"/>
      <c r="BR2498" s="4"/>
      <c r="BS2498" s="4"/>
      <c r="BT2498" s="4"/>
      <c r="BU2498" s="4"/>
    </row>
    <row r="2499" spans="29:73" s="1" customFormat="1" x14ac:dyDescent="0.25">
      <c r="AC2499" s="4"/>
      <c r="AD2499" s="4"/>
      <c r="AE2499" s="4"/>
      <c r="AF2499" s="4"/>
      <c r="AG2499" s="4"/>
      <c r="AH2499" s="4"/>
      <c r="AI2499" s="4"/>
      <c r="AJ2499" s="4"/>
      <c r="AK2499" s="4"/>
      <c r="AL2499" s="4"/>
      <c r="AM2499" s="4"/>
      <c r="AN2499" s="4"/>
      <c r="AO2499" s="4"/>
      <c r="AP2499" s="4"/>
      <c r="AQ2499" s="4"/>
      <c r="AR2499" s="4"/>
      <c r="AS2499" s="4"/>
      <c r="AT2499" s="4"/>
      <c r="AU2499" s="4"/>
      <c r="AV2499" s="4"/>
      <c r="AW2499" s="4"/>
      <c r="AX2499" s="4"/>
      <c r="AY2499" s="4"/>
      <c r="AZ2499" s="4"/>
      <c r="BA2499" s="4"/>
      <c r="BB2499" s="4"/>
      <c r="BC2499" s="4"/>
      <c r="BD2499" s="4"/>
      <c r="BE2499" s="4"/>
      <c r="BF2499" s="4"/>
      <c r="BG2499" s="4"/>
      <c r="BH2499" s="4"/>
      <c r="BI2499" s="4"/>
      <c r="BJ2499" s="4"/>
      <c r="BK2499" s="4"/>
      <c r="BL2499" s="4"/>
      <c r="BM2499" s="4"/>
      <c r="BN2499" s="4"/>
      <c r="BO2499" s="4"/>
      <c r="BP2499" s="4"/>
      <c r="BQ2499" s="4"/>
      <c r="BR2499" s="4"/>
      <c r="BS2499" s="4"/>
      <c r="BT2499" s="4"/>
      <c r="BU2499" s="4"/>
    </row>
    <row r="2500" spans="29:73" s="1" customFormat="1" x14ac:dyDescent="0.25">
      <c r="AC2500" s="4"/>
      <c r="AD2500" s="4"/>
      <c r="AE2500" s="4"/>
      <c r="AF2500" s="4"/>
      <c r="AG2500" s="4"/>
      <c r="AH2500" s="4"/>
      <c r="AI2500" s="4"/>
      <c r="AJ2500" s="4"/>
      <c r="AK2500" s="4"/>
      <c r="AL2500" s="4"/>
      <c r="AM2500" s="4"/>
      <c r="AN2500" s="4"/>
      <c r="AO2500" s="4"/>
      <c r="AP2500" s="4"/>
      <c r="AQ2500" s="4"/>
      <c r="AR2500" s="4"/>
      <c r="AS2500" s="4"/>
      <c r="AT2500" s="4"/>
      <c r="AU2500" s="4"/>
      <c r="AV2500" s="4"/>
      <c r="AW2500" s="4"/>
      <c r="AX2500" s="4"/>
      <c r="AY2500" s="4"/>
      <c r="AZ2500" s="4"/>
      <c r="BA2500" s="4"/>
      <c r="BB2500" s="4"/>
      <c r="BC2500" s="4"/>
      <c r="BD2500" s="4"/>
      <c r="BE2500" s="4"/>
      <c r="BF2500" s="4"/>
      <c r="BG2500" s="4"/>
      <c r="BH2500" s="4"/>
      <c r="BI2500" s="4"/>
      <c r="BJ2500" s="4"/>
      <c r="BK2500" s="4"/>
      <c r="BL2500" s="4"/>
      <c r="BM2500" s="4"/>
      <c r="BN2500" s="4"/>
      <c r="BO2500" s="4"/>
      <c r="BP2500" s="4"/>
      <c r="BQ2500" s="4"/>
      <c r="BR2500" s="4"/>
      <c r="BS2500" s="4"/>
      <c r="BT2500" s="4"/>
      <c r="BU2500" s="4"/>
    </row>
    <row r="2501" spans="29:73" s="1" customFormat="1" x14ac:dyDescent="0.25">
      <c r="AC2501" s="4"/>
      <c r="AD2501" s="4"/>
      <c r="AE2501" s="4"/>
      <c r="AF2501" s="4"/>
      <c r="AG2501" s="4"/>
      <c r="AH2501" s="4"/>
      <c r="AI2501" s="4"/>
      <c r="AJ2501" s="4"/>
      <c r="AK2501" s="4"/>
      <c r="AL2501" s="4"/>
      <c r="AM2501" s="4"/>
      <c r="AN2501" s="4"/>
      <c r="AO2501" s="4"/>
      <c r="AP2501" s="4"/>
      <c r="AQ2501" s="4"/>
      <c r="AR2501" s="4"/>
      <c r="AS2501" s="4"/>
      <c r="AT2501" s="4"/>
      <c r="AU2501" s="4"/>
      <c r="AV2501" s="4"/>
      <c r="AW2501" s="4"/>
      <c r="AX2501" s="4"/>
      <c r="AY2501" s="4"/>
      <c r="AZ2501" s="4"/>
      <c r="BA2501" s="4"/>
      <c r="BB2501" s="4"/>
      <c r="BC2501" s="4"/>
      <c r="BD2501" s="4"/>
      <c r="BE2501" s="4"/>
      <c r="BF2501" s="4"/>
      <c r="BG2501" s="4"/>
      <c r="BH2501" s="4"/>
      <c r="BI2501" s="4"/>
      <c r="BJ2501" s="4"/>
      <c r="BK2501" s="4"/>
      <c r="BL2501" s="4"/>
      <c r="BM2501" s="4"/>
      <c r="BN2501" s="4"/>
      <c r="BO2501" s="4"/>
      <c r="BP2501" s="4"/>
      <c r="BQ2501" s="4"/>
      <c r="BR2501" s="4"/>
      <c r="BS2501" s="4"/>
      <c r="BT2501" s="4"/>
      <c r="BU2501" s="4"/>
    </row>
    <row r="2502" spans="29:73" s="1" customFormat="1" x14ac:dyDescent="0.25">
      <c r="AC2502" s="4"/>
      <c r="AD2502" s="4"/>
      <c r="AE2502" s="4"/>
      <c r="AF2502" s="4"/>
      <c r="AG2502" s="4"/>
      <c r="AH2502" s="4"/>
      <c r="AI2502" s="4"/>
      <c r="AJ2502" s="4"/>
      <c r="AK2502" s="4"/>
      <c r="AL2502" s="4"/>
      <c r="AM2502" s="4"/>
      <c r="AN2502" s="4"/>
      <c r="AO2502" s="4"/>
      <c r="AP2502" s="4"/>
      <c r="AQ2502" s="4"/>
      <c r="AR2502" s="4"/>
      <c r="AS2502" s="4"/>
      <c r="AT2502" s="4"/>
      <c r="AU2502" s="4"/>
      <c r="AV2502" s="4"/>
      <c r="AW2502" s="4"/>
      <c r="AX2502" s="4"/>
      <c r="AY2502" s="4"/>
      <c r="AZ2502" s="4"/>
      <c r="BA2502" s="4"/>
      <c r="BB2502" s="4"/>
      <c r="BC2502" s="4"/>
      <c r="BD2502" s="4"/>
      <c r="BE2502" s="4"/>
      <c r="BF2502" s="4"/>
      <c r="BG2502" s="4"/>
      <c r="BH2502" s="4"/>
      <c r="BI2502" s="4"/>
      <c r="BJ2502" s="4"/>
      <c r="BK2502" s="4"/>
      <c r="BL2502" s="4"/>
      <c r="BM2502" s="4"/>
      <c r="BN2502" s="4"/>
      <c r="BO2502" s="4"/>
      <c r="BP2502" s="4"/>
      <c r="BQ2502" s="4"/>
      <c r="BR2502" s="4"/>
      <c r="BS2502" s="4"/>
      <c r="BT2502" s="4"/>
      <c r="BU2502" s="4"/>
    </row>
    <row r="2503" spans="29:73" s="1" customFormat="1" x14ac:dyDescent="0.25">
      <c r="AC2503" s="4"/>
      <c r="AD2503" s="4"/>
      <c r="AE2503" s="4"/>
      <c r="AF2503" s="4"/>
      <c r="AG2503" s="4"/>
      <c r="AH2503" s="4"/>
      <c r="AI2503" s="4"/>
      <c r="AJ2503" s="4"/>
      <c r="AK2503" s="4"/>
      <c r="AL2503" s="4"/>
      <c r="AM2503" s="4"/>
      <c r="AN2503" s="4"/>
      <c r="AO2503" s="4"/>
      <c r="AP2503" s="4"/>
      <c r="AQ2503" s="4"/>
      <c r="AR2503" s="4"/>
      <c r="AS2503" s="4"/>
      <c r="AT2503" s="4"/>
      <c r="AU2503" s="4"/>
      <c r="AV2503" s="4"/>
      <c r="AW2503" s="4"/>
      <c r="AX2503" s="4"/>
      <c r="AY2503" s="4"/>
      <c r="AZ2503" s="4"/>
      <c r="BA2503" s="4"/>
      <c r="BB2503" s="4"/>
      <c r="BC2503" s="4"/>
      <c r="BD2503" s="4"/>
      <c r="BE2503" s="4"/>
      <c r="BF2503" s="4"/>
      <c r="BG2503" s="4"/>
      <c r="BH2503" s="4"/>
      <c r="BI2503" s="4"/>
      <c r="BJ2503" s="4"/>
      <c r="BK2503" s="4"/>
      <c r="BL2503" s="4"/>
      <c r="BM2503" s="4"/>
      <c r="BN2503" s="4"/>
      <c r="BO2503" s="4"/>
      <c r="BP2503" s="4"/>
      <c r="BQ2503" s="4"/>
      <c r="BR2503" s="4"/>
      <c r="BS2503" s="4"/>
      <c r="BT2503" s="4"/>
      <c r="BU2503" s="4"/>
    </row>
    <row r="2504" spans="29:73" s="1" customFormat="1" x14ac:dyDescent="0.25">
      <c r="AC2504" s="4"/>
      <c r="AD2504" s="4"/>
      <c r="AE2504" s="4"/>
      <c r="AF2504" s="4"/>
      <c r="AG2504" s="4"/>
      <c r="AH2504" s="4"/>
      <c r="AI2504" s="4"/>
      <c r="AJ2504" s="4"/>
      <c r="AK2504" s="4"/>
      <c r="AL2504" s="4"/>
      <c r="AM2504" s="4"/>
      <c r="AN2504" s="4"/>
      <c r="AO2504" s="4"/>
      <c r="AP2504" s="4"/>
      <c r="AQ2504" s="4"/>
      <c r="AR2504" s="4"/>
      <c r="AS2504" s="4"/>
      <c r="AT2504" s="4"/>
      <c r="AU2504" s="4"/>
      <c r="AV2504" s="4"/>
      <c r="AW2504" s="4"/>
      <c r="AX2504" s="4"/>
      <c r="AY2504" s="4"/>
      <c r="AZ2504" s="4"/>
      <c r="BA2504" s="4"/>
      <c r="BB2504" s="4"/>
      <c r="BC2504" s="4"/>
      <c r="BD2504" s="4"/>
      <c r="BE2504" s="4"/>
      <c r="BF2504" s="4"/>
      <c r="BG2504" s="4"/>
      <c r="BH2504" s="4"/>
      <c r="BI2504" s="4"/>
      <c r="BJ2504" s="4"/>
      <c r="BK2504" s="4"/>
      <c r="BL2504" s="4"/>
      <c r="BM2504" s="4"/>
      <c r="BN2504" s="4"/>
      <c r="BO2504" s="4"/>
      <c r="BP2504" s="4"/>
      <c r="BQ2504" s="4"/>
      <c r="BR2504" s="4"/>
      <c r="BS2504" s="4"/>
      <c r="BT2504" s="4"/>
      <c r="BU2504" s="4"/>
    </row>
    <row r="2505" spans="29:73" s="1" customFormat="1" x14ac:dyDescent="0.25">
      <c r="AC2505" s="4"/>
      <c r="AD2505" s="4"/>
      <c r="AE2505" s="4"/>
      <c r="AF2505" s="4"/>
      <c r="AG2505" s="4"/>
      <c r="AH2505" s="4"/>
      <c r="AI2505" s="4"/>
      <c r="AJ2505" s="4"/>
      <c r="AK2505" s="4"/>
      <c r="AL2505" s="4"/>
      <c r="AM2505" s="4"/>
      <c r="AN2505" s="4"/>
      <c r="AO2505" s="4"/>
      <c r="AP2505" s="4"/>
      <c r="AQ2505" s="4"/>
      <c r="AR2505" s="4"/>
      <c r="AS2505" s="4"/>
      <c r="AT2505" s="4"/>
      <c r="AU2505" s="4"/>
      <c r="AV2505" s="4"/>
      <c r="AW2505" s="4"/>
      <c r="AX2505" s="4"/>
      <c r="AY2505" s="4"/>
      <c r="AZ2505" s="4"/>
      <c r="BA2505" s="4"/>
      <c r="BB2505" s="4"/>
      <c r="BC2505" s="4"/>
      <c r="BD2505" s="4"/>
      <c r="BE2505" s="4"/>
      <c r="BF2505" s="4"/>
      <c r="BG2505" s="4"/>
      <c r="BH2505" s="4"/>
      <c r="BI2505" s="4"/>
      <c r="BJ2505" s="4"/>
      <c r="BK2505" s="4"/>
      <c r="BL2505" s="4"/>
      <c r="BM2505" s="4"/>
      <c r="BN2505" s="4"/>
      <c r="BO2505" s="4"/>
      <c r="BP2505" s="4"/>
      <c r="BQ2505" s="4"/>
      <c r="BR2505" s="4"/>
      <c r="BS2505" s="4"/>
      <c r="BT2505" s="4"/>
      <c r="BU2505" s="4"/>
    </row>
    <row r="2506" spans="29:73" s="1" customFormat="1" x14ac:dyDescent="0.25">
      <c r="AC2506" s="4"/>
      <c r="AD2506" s="4"/>
      <c r="AE2506" s="4"/>
      <c r="AF2506" s="4"/>
      <c r="AG2506" s="4"/>
      <c r="AH2506" s="4"/>
      <c r="AI2506" s="4"/>
      <c r="AJ2506" s="4"/>
      <c r="AK2506" s="4"/>
      <c r="AL2506" s="4"/>
      <c r="AM2506" s="4"/>
      <c r="AN2506" s="4"/>
      <c r="AO2506" s="4"/>
      <c r="AP2506" s="4"/>
      <c r="AQ2506" s="4"/>
      <c r="AR2506" s="4"/>
      <c r="AS2506" s="4"/>
      <c r="AT2506" s="4"/>
      <c r="AU2506" s="4"/>
      <c r="AV2506" s="4"/>
      <c r="AW2506" s="4"/>
      <c r="AX2506" s="4"/>
      <c r="AY2506" s="4"/>
      <c r="AZ2506" s="4"/>
      <c r="BA2506" s="4"/>
      <c r="BB2506" s="4"/>
      <c r="BC2506" s="4"/>
      <c r="BD2506" s="4"/>
      <c r="BE2506" s="4"/>
      <c r="BF2506" s="4"/>
      <c r="BG2506" s="4"/>
      <c r="BH2506" s="4"/>
      <c r="BI2506" s="4"/>
      <c r="BJ2506" s="4"/>
      <c r="BK2506" s="4"/>
      <c r="BL2506" s="4"/>
      <c r="BM2506" s="4"/>
      <c r="BN2506" s="4"/>
      <c r="BO2506" s="4"/>
      <c r="BP2506" s="4"/>
      <c r="BQ2506" s="4"/>
      <c r="BR2506" s="4"/>
      <c r="BS2506" s="4"/>
      <c r="BT2506" s="4"/>
      <c r="BU2506" s="4"/>
    </row>
    <row r="2507" spans="29:73" s="1" customFormat="1" x14ac:dyDescent="0.25">
      <c r="AC2507" s="4"/>
      <c r="AD2507" s="4"/>
      <c r="AE2507" s="4"/>
      <c r="AF2507" s="4"/>
      <c r="AG2507" s="4"/>
      <c r="AH2507" s="4"/>
      <c r="AI2507" s="4"/>
      <c r="AJ2507" s="4"/>
      <c r="AK2507" s="4"/>
      <c r="AL2507" s="4"/>
      <c r="AM2507" s="4"/>
      <c r="AN2507" s="4"/>
      <c r="AO2507" s="4"/>
      <c r="AP2507" s="4"/>
      <c r="AQ2507" s="4"/>
      <c r="AR2507" s="4"/>
      <c r="AS2507" s="4"/>
      <c r="AT2507" s="4"/>
      <c r="AU2507" s="4"/>
      <c r="AV2507" s="4"/>
      <c r="AW2507" s="4"/>
      <c r="AX2507" s="4"/>
      <c r="AY2507" s="4"/>
      <c r="AZ2507" s="4"/>
      <c r="BA2507" s="4"/>
      <c r="BB2507" s="4"/>
      <c r="BC2507" s="4"/>
      <c r="BD2507" s="4"/>
      <c r="BE2507" s="4"/>
      <c r="BF2507" s="4"/>
      <c r="BG2507" s="4"/>
      <c r="BH2507" s="4"/>
      <c r="BI2507" s="4"/>
      <c r="BJ2507" s="4"/>
      <c r="BK2507" s="4"/>
      <c r="BL2507" s="4"/>
      <c r="BM2507" s="4"/>
      <c r="BN2507" s="4"/>
      <c r="BO2507" s="4"/>
      <c r="BP2507" s="4"/>
      <c r="BQ2507" s="4"/>
      <c r="BR2507" s="4"/>
      <c r="BS2507" s="4"/>
      <c r="BT2507" s="4"/>
      <c r="BU2507" s="4"/>
    </row>
    <row r="2508" spans="29:73" s="1" customFormat="1" x14ac:dyDescent="0.25">
      <c r="AC2508" s="4"/>
      <c r="AD2508" s="4"/>
      <c r="AE2508" s="4"/>
      <c r="AF2508" s="4"/>
      <c r="AG2508" s="4"/>
      <c r="AH2508" s="4"/>
      <c r="AI2508" s="4"/>
      <c r="AJ2508" s="4"/>
      <c r="AK2508" s="4"/>
      <c r="AL2508" s="4"/>
      <c r="AM2508" s="4"/>
      <c r="AN2508" s="4"/>
      <c r="AO2508" s="4"/>
      <c r="AP2508" s="4"/>
      <c r="AQ2508" s="4"/>
      <c r="AR2508" s="4"/>
      <c r="AS2508" s="4"/>
      <c r="AT2508" s="4"/>
      <c r="AU2508" s="4"/>
      <c r="AV2508" s="4"/>
      <c r="AW2508" s="4"/>
      <c r="AX2508" s="4"/>
      <c r="AY2508" s="4"/>
      <c r="AZ2508" s="4"/>
      <c r="BA2508" s="4"/>
      <c r="BB2508" s="4"/>
      <c r="BC2508" s="4"/>
      <c r="BD2508" s="4"/>
      <c r="BE2508" s="4"/>
      <c r="BF2508" s="4"/>
      <c r="BG2508" s="4"/>
      <c r="BH2508" s="4"/>
      <c r="BI2508" s="4"/>
      <c r="BJ2508" s="4"/>
      <c r="BK2508" s="4"/>
      <c r="BL2508" s="4"/>
      <c r="BM2508" s="4"/>
      <c r="BN2508" s="4"/>
      <c r="BO2508" s="4"/>
      <c r="BP2508" s="4"/>
      <c r="BQ2508" s="4"/>
      <c r="BR2508" s="4"/>
      <c r="BS2508" s="4"/>
      <c r="BT2508" s="4"/>
      <c r="BU2508" s="4"/>
    </row>
    <row r="2509" spans="29:73" s="1" customFormat="1" x14ac:dyDescent="0.25">
      <c r="AC2509" s="4"/>
      <c r="AD2509" s="4"/>
      <c r="AE2509" s="4"/>
      <c r="AF2509" s="4"/>
      <c r="AG2509" s="4"/>
      <c r="AH2509" s="4"/>
      <c r="AI2509" s="4"/>
      <c r="AJ2509" s="4"/>
      <c r="AK2509" s="4"/>
      <c r="AL2509" s="4"/>
      <c r="AM2509" s="4"/>
      <c r="AN2509" s="4"/>
      <c r="AO2509" s="4"/>
      <c r="AP2509" s="4"/>
      <c r="AQ2509" s="4"/>
      <c r="AR2509" s="4"/>
      <c r="AS2509" s="4"/>
      <c r="AT2509" s="4"/>
      <c r="AU2509" s="4"/>
      <c r="AV2509" s="4"/>
      <c r="AW2509" s="4"/>
      <c r="AX2509" s="4"/>
      <c r="AY2509" s="4"/>
      <c r="AZ2509" s="4"/>
      <c r="BA2509" s="4"/>
      <c r="BB2509" s="4"/>
      <c r="BC2509" s="4"/>
      <c r="BD2509" s="4"/>
      <c r="BE2509" s="4"/>
      <c r="BF2509" s="4"/>
      <c r="BG2509" s="4"/>
      <c r="BH2509" s="4"/>
      <c r="BI2509" s="4"/>
      <c r="BJ2509" s="4"/>
      <c r="BK2509" s="4"/>
      <c r="BL2509" s="4"/>
      <c r="BM2509" s="4"/>
      <c r="BN2509" s="4"/>
      <c r="BO2509" s="4"/>
      <c r="BP2509" s="4"/>
      <c r="BQ2509" s="4"/>
      <c r="BR2509" s="4"/>
      <c r="BS2509" s="4"/>
      <c r="BT2509" s="4"/>
      <c r="BU2509" s="4"/>
    </row>
    <row r="2510" spans="29:73" s="1" customFormat="1" x14ac:dyDescent="0.25">
      <c r="AC2510" s="4"/>
      <c r="AD2510" s="4"/>
      <c r="AE2510" s="4"/>
      <c r="AF2510" s="4"/>
      <c r="AG2510" s="4"/>
      <c r="AH2510" s="4"/>
      <c r="AI2510" s="4"/>
      <c r="AJ2510" s="4"/>
      <c r="AK2510" s="4"/>
      <c r="AL2510" s="4"/>
      <c r="AM2510" s="4"/>
      <c r="AN2510" s="4"/>
      <c r="AO2510" s="4"/>
      <c r="AP2510" s="4"/>
      <c r="AQ2510" s="4"/>
      <c r="AR2510" s="4"/>
      <c r="AS2510" s="4"/>
      <c r="AT2510" s="4"/>
      <c r="AU2510" s="4"/>
      <c r="AV2510" s="4"/>
      <c r="AW2510" s="4"/>
      <c r="AX2510" s="4"/>
      <c r="AY2510" s="4"/>
      <c r="AZ2510" s="4"/>
      <c r="BA2510" s="4"/>
      <c r="BB2510" s="4"/>
      <c r="BC2510" s="4"/>
      <c r="BD2510" s="4"/>
      <c r="BE2510" s="4"/>
      <c r="BF2510" s="4"/>
      <c r="BG2510" s="4"/>
      <c r="BH2510" s="4"/>
      <c r="BI2510" s="4"/>
      <c r="BJ2510" s="4"/>
      <c r="BK2510" s="4"/>
      <c r="BL2510" s="4"/>
      <c r="BM2510" s="4"/>
      <c r="BN2510" s="4"/>
      <c r="BO2510" s="4"/>
      <c r="BP2510" s="4"/>
      <c r="BQ2510" s="4"/>
      <c r="BR2510" s="4"/>
      <c r="BS2510" s="4"/>
      <c r="BT2510" s="4"/>
      <c r="BU2510" s="4"/>
    </row>
    <row r="2511" spans="29:73" s="1" customFormat="1" x14ac:dyDescent="0.25">
      <c r="AC2511" s="4"/>
      <c r="AD2511" s="4"/>
      <c r="AE2511" s="4"/>
      <c r="AF2511" s="4"/>
      <c r="AG2511" s="4"/>
      <c r="AH2511" s="4"/>
      <c r="AI2511" s="4"/>
      <c r="AJ2511" s="4"/>
      <c r="AK2511" s="4"/>
      <c r="AL2511" s="4"/>
      <c r="AM2511" s="4"/>
      <c r="AN2511" s="4"/>
      <c r="AO2511" s="4"/>
      <c r="AP2511" s="4"/>
      <c r="AQ2511" s="4"/>
      <c r="AR2511" s="4"/>
      <c r="AS2511" s="4"/>
      <c r="AT2511" s="4"/>
      <c r="AU2511" s="4"/>
      <c r="AV2511" s="4"/>
      <c r="AW2511" s="4"/>
      <c r="AX2511" s="4"/>
      <c r="AY2511" s="4"/>
      <c r="AZ2511" s="4"/>
      <c r="BA2511" s="4"/>
      <c r="BB2511" s="4"/>
      <c r="BC2511" s="4"/>
      <c r="BD2511" s="4"/>
      <c r="BE2511" s="4"/>
      <c r="BF2511" s="4"/>
      <c r="BG2511" s="4"/>
      <c r="BH2511" s="4"/>
      <c r="BI2511" s="4"/>
      <c r="BJ2511" s="4"/>
      <c r="BK2511" s="4"/>
      <c r="BL2511" s="4"/>
      <c r="BM2511" s="4"/>
      <c r="BN2511" s="4"/>
      <c r="BO2511" s="4"/>
      <c r="BP2511" s="4"/>
      <c r="BQ2511" s="4"/>
      <c r="BR2511" s="4"/>
      <c r="BS2511" s="4"/>
      <c r="BT2511" s="4"/>
      <c r="BU2511" s="4"/>
    </row>
    <row r="2512" spans="29:73" s="1" customFormat="1" x14ac:dyDescent="0.25">
      <c r="AC2512" s="4"/>
      <c r="AD2512" s="4"/>
      <c r="AE2512" s="4"/>
      <c r="AF2512" s="4"/>
      <c r="AG2512" s="4"/>
      <c r="AH2512" s="4"/>
      <c r="AI2512" s="4"/>
      <c r="AJ2512" s="4"/>
      <c r="AK2512" s="4"/>
      <c r="AL2512" s="4"/>
      <c r="AM2512" s="4"/>
      <c r="AN2512" s="4"/>
      <c r="AO2512" s="4"/>
      <c r="AP2512" s="4"/>
      <c r="AQ2512" s="4"/>
      <c r="AR2512" s="4"/>
      <c r="AS2512" s="4"/>
      <c r="AT2512" s="4"/>
      <c r="AU2512" s="4"/>
      <c r="AV2512" s="4"/>
      <c r="AW2512" s="4"/>
      <c r="AX2512" s="4"/>
      <c r="AY2512" s="4"/>
      <c r="AZ2512" s="4"/>
      <c r="BA2512" s="4"/>
      <c r="BB2512" s="4"/>
      <c r="BC2512" s="4"/>
      <c r="BD2512" s="4"/>
      <c r="BE2512" s="4"/>
      <c r="BF2512" s="4"/>
      <c r="BG2512" s="4"/>
      <c r="BH2512" s="4"/>
      <c r="BI2512" s="4"/>
      <c r="BJ2512" s="4"/>
      <c r="BK2512" s="4"/>
      <c r="BL2512" s="4"/>
      <c r="BM2512" s="4"/>
      <c r="BN2512" s="4"/>
      <c r="BO2512" s="4"/>
      <c r="BP2512" s="4"/>
      <c r="BQ2512" s="4"/>
      <c r="BR2512" s="4"/>
      <c r="BS2512" s="4"/>
      <c r="BT2512" s="4"/>
      <c r="BU2512" s="4"/>
    </row>
    <row r="2513" spans="29:73" s="1" customFormat="1" x14ac:dyDescent="0.25">
      <c r="AC2513" s="4"/>
      <c r="AD2513" s="4"/>
      <c r="AE2513" s="4"/>
      <c r="AF2513" s="4"/>
      <c r="AG2513" s="4"/>
      <c r="AH2513" s="4"/>
      <c r="AI2513" s="4"/>
      <c r="AJ2513" s="4"/>
      <c r="AK2513" s="4"/>
      <c r="AL2513" s="4"/>
      <c r="AM2513" s="4"/>
      <c r="AN2513" s="4"/>
      <c r="AO2513" s="4"/>
      <c r="AP2513" s="4"/>
      <c r="AQ2513" s="4"/>
      <c r="AR2513" s="4"/>
      <c r="AS2513" s="4"/>
      <c r="AT2513" s="4"/>
      <c r="AU2513" s="4"/>
      <c r="AV2513" s="4"/>
      <c r="AW2513" s="4"/>
      <c r="AX2513" s="4"/>
      <c r="AY2513" s="4"/>
      <c r="AZ2513" s="4"/>
      <c r="BA2513" s="4"/>
      <c r="BB2513" s="4"/>
      <c r="BC2513" s="4"/>
      <c r="BD2513" s="4"/>
      <c r="BE2513" s="4"/>
      <c r="BF2513" s="4"/>
      <c r="BG2513" s="4"/>
      <c r="BH2513" s="4"/>
      <c r="BI2513" s="4"/>
      <c r="BJ2513" s="4"/>
      <c r="BK2513" s="4"/>
      <c r="BL2513" s="4"/>
      <c r="BM2513" s="4"/>
      <c r="BN2513" s="4"/>
      <c r="BO2513" s="4"/>
      <c r="BP2513" s="4"/>
      <c r="BQ2513" s="4"/>
      <c r="BR2513" s="4"/>
      <c r="BS2513" s="4"/>
      <c r="BT2513" s="4"/>
      <c r="BU2513" s="4"/>
    </row>
    <row r="2514" spans="29:73" s="1" customFormat="1" x14ac:dyDescent="0.25">
      <c r="AC2514" s="4"/>
      <c r="AD2514" s="4"/>
      <c r="AE2514" s="4"/>
      <c r="AF2514" s="4"/>
      <c r="AG2514" s="4"/>
      <c r="AH2514" s="4"/>
      <c r="AI2514" s="4"/>
      <c r="AJ2514" s="4"/>
      <c r="AK2514" s="4"/>
      <c r="AL2514" s="4"/>
      <c r="AM2514" s="4"/>
      <c r="AN2514" s="4"/>
      <c r="AO2514" s="4"/>
      <c r="AP2514" s="4"/>
      <c r="AQ2514" s="4"/>
      <c r="AR2514" s="4"/>
      <c r="AS2514" s="4"/>
      <c r="AT2514" s="4"/>
      <c r="AU2514" s="4"/>
      <c r="AV2514" s="4"/>
      <c r="AW2514" s="4"/>
      <c r="AX2514" s="4"/>
      <c r="AY2514" s="4"/>
      <c r="AZ2514" s="4"/>
      <c r="BA2514" s="4"/>
      <c r="BB2514" s="4"/>
      <c r="BC2514" s="4"/>
      <c r="BD2514" s="4"/>
      <c r="BE2514" s="4"/>
      <c r="BF2514" s="4"/>
      <c r="BG2514" s="4"/>
      <c r="BH2514" s="4"/>
      <c r="BI2514" s="4"/>
      <c r="BJ2514" s="4"/>
      <c r="BK2514" s="4"/>
      <c r="BL2514" s="4"/>
      <c r="BM2514" s="4"/>
      <c r="BN2514" s="4"/>
      <c r="BO2514" s="4"/>
      <c r="BP2514" s="4"/>
      <c r="BQ2514" s="4"/>
      <c r="BR2514" s="4"/>
      <c r="BS2514" s="4"/>
      <c r="BT2514" s="4"/>
      <c r="BU2514" s="4"/>
    </row>
    <row r="2515" spans="29:73" s="1" customFormat="1" x14ac:dyDescent="0.25">
      <c r="AC2515" s="4"/>
      <c r="AD2515" s="4"/>
      <c r="AE2515" s="4"/>
      <c r="AF2515" s="4"/>
      <c r="AG2515" s="4"/>
      <c r="AH2515" s="4"/>
      <c r="AI2515" s="4"/>
      <c r="AJ2515" s="4"/>
      <c r="AK2515" s="4"/>
      <c r="AL2515" s="4"/>
      <c r="AM2515" s="4"/>
      <c r="AN2515" s="4"/>
      <c r="AO2515" s="4"/>
      <c r="AP2515" s="4"/>
      <c r="AQ2515" s="4"/>
      <c r="AR2515" s="4"/>
      <c r="AS2515" s="4"/>
      <c r="AT2515" s="4"/>
      <c r="AU2515" s="4"/>
      <c r="AV2515" s="4"/>
      <c r="AW2515" s="4"/>
      <c r="AX2515" s="4"/>
      <c r="AY2515" s="4"/>
      <c r="AZ2515" s="4"/>
      <c r="BA2515" s="4"/>
      <c r="BB2515" s="4"/>
      <c r="BC2515" s="4"/>
      <c r="BD2515" s="4"/>
      <c r="BE2515" s="4"/>
      <c r="BF2515" s="4"/>
      <c r="BG2515" s="4"/>
      <c r="BH2515" s="4"/>
      <c r="BI2515" s="4"/>
      <c r="BJ2515" s="4"/>
      <c r="BK2515" s="4"/>
      <c r="BL2515" s="4"/>
      <c r="BM2515" s="4"/>
      <c r="BN2515" s="4"/>
      <c r="BO2515" s="4"/>
      <c r="BP2515" s="4"/>
      <c r="BQ2515" s="4"/>
      <c r="BR2515" s="4"/>
      <c r="BS2515" s="4"/>
      <c r="BT2515" s="4"/>
      <c r="BU2515" s="4"/>
    </row>
    <row r="2516" spans="29:73" s="1" customFormat="1" x14ac:dyDescent="0.25">
      <c r="AC2516" s="4"/>
      <c r="AD2516" s="4"/>
      <c r="AE2516" s="4"/>
      <c r="AF2516" s="4"/>
      <c r="AG2516" s="4"/>
      <c r="AH2516" s="4"/>
      <c r="AI2516" s="4"/>
      <c r="AJ2516" s="4"/>
      <c r="AK2516" s="4"/>
      <c r="AL2516" s="4"/>
      <c r="AM2516" s="4"/>
      <c r="AN2516" s="4"/>
      <c r="AO2516" s="4"/>
      <c r="AP2516" s="4"/>
      <c r="AQ2516" s="4"/>
      <c r="AR2516" s="4"/>
      <c r="AS2516" s="4"/>
      <c r="AT2516" s="4"/>
      <c r="AU2516" s="4"/>
      <c r="AV2516" s="4"/>
      <c r="AW2516" s="4"/>
      <c r="AX2516" s="4"/>
      <c r="AY2516" s="4"/>
      <c r="AZ2516" s="4"/>
      <c r="BA2516" s="4"/>
      <c r="BB2516" s="4"/>
      <c r="BC2516" s="4"/>
      <c r="BD2516" s="4"/>
      <c r="BE2516" s="4"/>
      <c r="BF2516" s="4"/>
      <c r="BG2516" s="4"/>
      <c r="BH2516" s="4"/>
      <c r="BI2516" s="4"/>
      <c r="BJ2516" s="4"/>
      <c r="BK2516" s="4"/>
      <c r="BL2516" s="4"/>
      <c r="BM2516" s="4"/>
      <c r="BN2516" s="4"/>
      <c r="BO2516" s="4"/>
      <c r="BP2516" s="4"/>
      <c r="BQ2516" s="4"/>
      <c r="BR2516" s="4"/>
      <c r="BS2516" s="4"/>
      <c r="BT2516" s="4"/>
      <c r="BU2516" s="4"/>
    </row>
    <row r="2517" spans="29:73" s="1" customFormat="1" x14ac:dyDescent="0.25">
      <c r="AC2517" s="4"/>
      <c r="AD2517" s="4"/>
      <c r="AE2517" s="4"/>
      <c r="AF2517" s="4"/>
      <c r="AG2517" s="4"/>
      <c r="AH2517" s="4"/>
      <c r="AI2517" s="4"/>
      <c r="AJ2517" s="4"/>
      <c r="AK2517" s="4"/>
      <c r="AL2517" s="4"/>
      <c r="AM2517" s="4"/>
      <c r="AN2517" s="4"/>
      <c r="AO2517" s="4"/>
      <c r="AP2517" s="4"/>
      <c r="AQ2517" s="4"/>
      <c r="AR2517" s="4"/>
      <c r="AS2517" s="4"/>
      <c r="AT2517" s="4"/>
      <c r="AU2517" s="4"/>
      <c r="AV2517" s="4"/>
      <c r="AW2517" s="4"/>
      <c r="AX2517" s="4"/>
      <c r="AY2517" s="4"/>
      <c r="AZ2517" s="4"/>
      <c r="BA2517" s="4"/>
      <c r="BB2517" s="4"/>
      <c r="BC2517" s="4"/>
      <c r="BD2517" s="4"/>
      <c r="BE2517" s="4"/>
      <c r="BF2517" s="4"/>
      <c r="BG2517" s="4"/>
      <c r="BH2517" s="4"/>
      <c r="BI2517" s="4"/>
      <c r="BJ2517" s="4"/>
      <c r="BK2517" s="4"/>
      <c r="BL2517" s="4"/>
      <c r="BM2517" s="4"/>
      <c r="BN2517" s="4"/>
      <c r="BO2517" s="4"/>
      <c r="BP2517" s="4"/>
      <c r="BQ2517" s="4"/>
      <c r="BR2517" s="4"/>
      <c r="BS2517" s="4"/>
      <c r="BT2517" s="4"/>
      <c r="BU2517" s="4"/>
    </row>
    <row r="2518" spans="29:73" s="1" customFormat="1" x14ac:dyDescent="0.25">
      <c r="AC2518" s="4"/>
      <c r="AD2518" s="4"/>
      <c r="AE2518" s="4"/>
      <c r="AF2518" s="4"/>
      <c r="AG2518" s="4"/>
      <c r="AH2518" s="4"/>
      <c r="AI2518" s="4"/>
      <c r="AJ2518" s="4"/>
      <c r="AK2518" s="4"/>
      <c r="AL2518" s="4"/>
      <c r="AM2518" s="4"/>
      <c r="AN2518" s="4"/>
      <c r="AO2518" s="4"/>
      <c r="AP2518" s="4"/>
      <c r="AQ2518" s="4"/>
      <c r="AR2518" s="4"/>
      <c r="AS2518" s="4"/>
      <c r="AT2518" s="4"/>
      <c r="AU2518" s="4"/>
      <c r="AV2518" s="4"/>
      <c r="AW2518" s="4"/>
      <c r="AX2518" s="4"/>
      <c r="AY2518" s="4"/>
      <c r="AZ2518" s="4"/>
      <c r="BA2518" s="4"/>
      <c r="BB2518" s="4"/>
      <c r="BC2518" s="4"/>
      <c r="BD2518" s="4"/>
      <c r="BE2518" s="4"/>
      <c r="BF2518" s="4"/>
      <c r="BG2518" s="4"/>
      <c r="BH2518" s="4"/>
      <c r="BI2518" s="4"/>
      <c r="BJ2518" s="4"/>
      <c r="BK2518" s="4"/>
      <c r="BL2518" s="4"/>
      <c r="BM2518" s="4"/>
      <c r="BN2518" s="4"/>
      <c r="BO2518" s="4"/>
      <c r="BP2518" s="4"/>
      <c r="BQ2518" s="4"/>
      <c r="BR2518" s="4"/>
      <c r="BS2518" s="4"/>
      <c r="BT2518" s="4"/>
      <c r="BU2518" s="4"/>
    </row>
    <row r="2519" spans="29:73" s="1" customFormat="1" x14ac:dyDescent="0.25">
      <c r="AC2519" s="4"/>
      <c r="AD2519" s="4"/>
      <c r="AE2519" s="4"/>
      <c r="AF2519" s="4"/>
      <c r="AG2519" s="4"/>
      <c r="AH2519" s="4"/>
      <c r="AI2519" s="4"/>
      <c r="AJ2519" s="4"/>
      <c r="AK2519" s="4"/>
      <c r="AL2519" s="4"/>
      <c r="AM2519" s="4"/>
      <c r="AN2519" s="4"/>
      <c r="AO2519" s="4"/>
      <c r="AP2519" s="4"/>
      <c r="AQ2519" s="4"/>
      <c r="AR2519" s="4"/>
      <c r="AS2519" s="4"/>
      <c r="AT2519" s="4"/>
      <c r="AU2519" s="4"/>
      <c r="AV2519" s="4"/>
      <c r="AW2519" s="4"/>
      <c r="AX2519" s="4"/>
      <c r="AY2519" s="4"/>
      <c r="AZ2519" s="4"/>
      <c r="BA2519" s="4"/>
      <c r="BB2519" s="4"/>
      <c r="BC2519" s="4"/>
      <c r="BD2519" s="4"/>
      <c r="BE2519" s="4"/>
      <c r="BF2519" s="4"/>
      <c r="BG2519" s="4"/>
      <c r="BH2519" s="4"/>
      <c r="BI2519" s="4"/>
      <c r="BJ2519" s="4"/>
      <c r="BK2519" s="4"/>
      <c r="BL2519" s="4"/>
      <c r="BM2519" s="4"/>
      <c r="BN2519" s="4"/>
      <c r="BO2519" s="4"/>
      <c r="BP2519" s="4"/>
      <c r="BQ2519" s="4"/>
      <c r="BR2519" s="4"/>
      <c r="BS2519" s="4"/>
      <c r="BT2519" s="4"/>
      <c r="BU2519" s="4"/>
    </row>
    <row r="2520" spans="29:73" s="1" customFormat="1" x14ac:dyDescent="0.25">
      <c r="AC2520" s="4"/>
      <c r="AD2520" s="4"/>
      <c r="AE2520" s="4"/>
      <c r="AF2520" s="4"/>
      <c r="AG2520" s="4"/>
      <c r="AH2520" s="4"/>
      <c r="AI2520" s="4"/>
      <c r="AJ2520" s="4"/>
      <c r="AK2520" s="4"/>
      <c r="AL2520" s="4"/>
      <c r="AM2520" s="4"/>
      <c r="AN2520" s="4"/>
      <c r="AO2520" s="4"/>
      <c r="AP2520" s="4"/>
      <c r="AQ2520" s="4"/>
      <c r="AR2520" s="4"/>
      <c r="AS2520" s="4"/>
      <c r="AT2520" s="4"/>
      <c r="AU2520" s="4"/>
      <c r="AV2520" s="4"/>
      <c r="AW2520" s="4"/>
      <c r="AX2520" s="4"/>
      <c r="AY2520" s="4"/>
      <c r="AZ2520" s="4"/>
      <c r="BA2520" s="4"/>
      <c r="BB2520" s="4"/>
      <c r="BC2520" s="4"/>
      <c r="BD2520" s="4"/>
      <c r="BE2520" s="4"/>
      <c r="BF2520" s="4"/>
      <c r="BG2520" s="4"/>
      <c r="BH2520" s="4"/>
      <c r="BI2520" s="4"/>
      <c r="BJ2520" s="4"/>
      <c r="BK2520" s="4"/>
      <c r="BL2520" s="4"/>
      <c r="BM2520" s="4"/>
      <c r="BN2520" s="4"/>
      <c r="BO2520" s="4"/>
      <c r="BP2520" s="4"/>
      <c r="BQ2520" s="4"/>
      <c r="BR2520" s="4"/>
      <c r="BS2520" s="4"/>
      <c r="BT2520" s="4"/>
      <c r="BU2520" s="4"/>
    </row>
    <row r="2521" spans="29:73" s="1" customFormat="1" x14ac:dyDescent="0.25">
      <c r="AC2521" s="4"/>
      <c r="AD2521" s="4"/>
      <c r="AE2521" s="4"/>
      <c r="AF2521" s="4"/>
      <c r="AG2521" s="4"/>
      <c r="AH2521" s="4"/>
      <c r="AI2521" s="4"/>
      <c r="AJ2521" s="4"/>
      <c r="AK2521" s="4"/>
      <c r="AL2521" s="4"/>
      <c r="AM2521" s="4"/>
      <c r="AN2521" s="4"/>
      <c r="AO2521" s="4"/>
      <c r="AP2521" s="4"/>
      <c r="AQ2521" s="4"/>
      <c r="AR2521" s="4"/>
      <c r="AS2521" s="4"/>
      <c r="AT2521" s="4"/>
      <c r="AU2521" s="4"/>
      <c r="AV2521" s="4"/>
      <c r="AW2521" s="4"/>
      <c r="AX2521" s="4"/>
      <c r="AY2521" s="4"/>
      <c r="AZ2521" s="4"/>
      <c r="BA2521" s="4"/>
      <c r="BB2521" s="4"/>
      <c r="BC2521" s="4"/>
      <c r="BD2521" s="4"/>
      <c r="BE2521" s="4"/>
      <c r="BF2521" s="4"/>
      <c r="BG2521" s="4"/>
      <c r="BH2521" s="4"/>
      <c r="BI2521" s="4"/>
      <c r="BJ2521" s="4"/>
      <c r="BK2521" s="4"/>
      <c r="BL2521" s="4"/>
      <c r="BM2521" s="4"/>
      <c r="BN2521" s="4"/>
      <c r="BO2521" s="4"/>
      <c r="BP2521" s="4"/>
      <c r="BQ2521" s="4"/>
      <c r="BR2521" s="4"/>
      <c r="BS2521" s="4"/>
      <c r="BT2521" s="4"/>
      <c r="BU2521" s="4"/>
    </row>
    <row r="2522" spans="29:73" s="1" customFormat="1" x14ac:dyDescent="0.25">
      <c r="AC2522" s="4"/>
      <c r="AD2522" s="4"/>
      <c r="AE2522" s="4"/>
      <c r="AF2522" s="4"/>
      <c r="AG2522" s="4"/>
      <c r="AH2522" s="4"/>
      <c r="AI2522" s="4"/>
      <c r="AJ2522" s="4"/>
      <c r="AK2522" s="4"/>
      <c r="AL2522" s="4"/>
      <c r="AM2522" s="4"/>
      <c r="AN2522" s="4"/>
      <c r="AO2522" s="4"/>
      <c r="AP2522" s="4"/>
      <c r="AQ2522" s="4"/>
      <c r="AR2522" s="4"/>
      <c r="AS2522" s="4"/>
      <c r="AT2522" s="4"/>
      <c r="AU2522" s="4"/>
      <c r="AV2522" s="4"/>
      <c r="AW2522" s="4"/>
      <c r="AX2522" s="4"/>
      <c r="AY2522" s="4"/>
      <c r="AZ2522" s="4"/>
      <c r="BA2522" s="4"/>
      <c r="BB2522" s="4"/>
      <c r="BC2522" s="4"/>
      <c r="BD2522" s="4"/>
      <c r="BE2522" s="4"/>
      <c r="BF2522" s="4"/>
      <c r="BG2522" s="4"/>
      <c r="BH2522" s="4"/>
      <c r="BI2522" s="4"/>
      <c r="BJ2522" s="4"/>
      <c r="BK2522" s="4"/>
      <c r="BL2522" s="4"/>
      <c r="BM2522" s="4"/>
      <c r="BN2522" s="4"/>
      <c r="BO2522" s="4"/>
      <c r="BP2522" s="4"/>
      <c r="BQ2522" s="4"/>
      <c r="BR2522" s="4"/>
      <c r="BS2522" s="4"/>
      <c r="BT2522" s="4"/>
      <c r="BU2522" s="4"/>
    </row>
    <row r="2523" spans="29:73" s="1" customFormat="1" x14ac:dyDescent="0.25">
      <c r="AC2523" s="4"/>
      <c r="AD2523" s="4"/>
      <c r="AE2523" s="4"/>
      <c r="AF2523" s="4"/>
      <c r="AG2523" s="4"/>
      <c r="AH2523" s="4"/>
      <c r="AI2523" s="4"/>
      <c r="AJ2523" s="4"/>
      <c r="AK2523" s="4"/>
      <c r="AL2523" s="4"/>
      <c r="AM2523" s="4"/>
      <c r="AN2523" s="4"/>
      <c r="AO2523" s="4"/>
      <c r="AP2523" s="4"/>
      <c r="AQ2523" s="4"/>
      <c r="AR2523" s="4"/>
      <c r="AS2523" s="4"/>
      <c r="AT2523" s="4"/>
      <c r="AU2523" s="4"/>
      <c r="AV2523" s="4"/>
      <c r="AW2523" s="4"/>
      <c r="AX2523" s="4"/>
      <c r="AY2523" s="4"/>
      <c r="AZ2523" s="4"/>
      <c r="BA2523" s="4"/>
      <c r="BB2523" s="4"/>
      <c r="BC2523" s="4"/>
      <c r="BD2523" s="4"/>
      <c r="BE2523" s="4"/>
      <c r="BF2523" s="4"/>
      <c r="BG2523" s="4"/>
      <c r="BH2523" s="4"/>
      <c r="BI2523" s="4"/>
      <c r="BJ2523" s="4"/>
      <c r="BK2523" s="4"/>
      <c r="BL2523" s="4"/>
      <c r="BM2523" s="4"/>
      <c r="BN2523" s="4"/>
      <c r="BO2523" s="4"/>
      <c r="BP2523" s="4"/>
      <c r="BQ2523" s="4"/>
      <c r="BR2523" s="4"/>
      <c r="BS2523" s="4"/>
      <c r="BT2523" s="4"/>
      <c r="BU2523" s="4"/>
    </row>
    <row r="2524" spans="29:73" s="1" customFormat="1" x14ac:dyDescent="0.25">
      <c r="AC2524" s="4"/>
      <c r="AD2524" s="4"/>
      <c r="AE2524" s="4"/>
      <c r="AF2524" s="4"/>
      <c r="AG2524" s="4"/>
      <c r="AH2524" s="4"/>
      <c r="AI2524" s="4"/>
      <c r="AJ2524" s="4"/>
      <c r="AK2524" s="4"/>
      <c r="AL2524" s="4"/>
      <c r="AM2524" s="4"/>
      <c r="AN2524" s="4"/>
      <c r="AO2524" s="4"/>
      <c r="AP2524" s="4"/>
      <c r="AQ2524" s="4"/>
      <c r="AR2524" s="4"/>
      <c r="AS2524" s="4"/>
      <c r="AT2524" s="4"/>
      <c r="AU2524" s="4"/>
      <c r="AV2524" s="4"/>
      <c r="AW2524" s="4"/>
      <c r="AX2524" s="4"/>
      <c r="AY2524" s="4"/>
      <c r="AZ2524" s="4"/>
      <c r="BA2524" s="4"/>
      <c r="BB2524" s="4"/>
      <c r="BC2524" s="4"/>
      <c r="BD2524" s="4"/>
      <c r="BE2524" s="4"/>
      <c r="BF2524" s="4"/>
      <c r="BG2524" s="4"/>
      <c r="BH2524" s="4"/>
      <c r="BI2524" s="4"/>
      <c r="BJ2524" s="4"/>
      <c r="BK2524" s="4"/>
      <c r="BL2524" s="4"/>
      <c r="BM2524" s="4"/>
      <c r="BN2524" s="4"/>
      <c r="BO2524" s="4"/>
      <c r="BP2524" s="4"/>
      <c r="BQ2524" s="4"/>
      <c r="BR2524" s="4"/>
      <c r="BS2524" s="4"/>
      <c r="BT2524" s="4"/>
      <c r="BU2524" s="4"/>
    </row>
    <row r="2525" spans="29:73" s="1" customFormat="1" x14ac:dyDescent="0.25">
      <c r="AC2525" s="4"/>
      <c r="AD2525" s="4"/>
      <c r="AE2525" s="4"/>
      <c r="AF2525" s="4"/>
      <c r="AG2525" s="4"/>
      <c r="AH2525" s="4"/>
      <c r="AI2525" s="4"/>
      <c r="AJ2525" s="4"/>
      <c r="AK2525" s="4"/>
      <c r="AL2525" s="4"/>
      <c r="AM2525" s="4"/>
      <c r="AN2525" s="4"/>
      <c r="AO2525" s="4"/>
      <c r="AP2525" s="4"/>
      <c r="AQ2525" s="4"/>
      <c r="AR2525" s="4"/>
      <c r="AS2525" s="4"/>
      <c r="AT2525" s="4"/>
      <c r="AU2525" s="4"/>
      <c r="AV2525" s="4"/>
      <c r="AW2525" s="4"/>
      <c r="AX2525" s="4"/>
      <c r="AY2525" s="4"/>
      <c r="AZ2525" s="4"/>
      <c r="BA2525" s="4"/>
      <c r="BB2525" s="4"/>
      <c r="BC2525" s="4"/>
      <c r="BD2525" s="4"/>
      <c r="BE2525" s="4"/>
      <c r="BF2525" s="4"/>
      <c r="BG2525" s="4"/>
      <c r="BH2525" s="4"/>
      <c r="BI2525" s="4"/>
      <c r="BJ2525" s="4"/>
      <c r="BK2525" s="4"/>
      <c r="BL2525" s="4"/>
      <c r="BM2525" s="4"/>
      <c r="BN2525" s="4"/>
      <c r="BO2525" s="4"/>
      <c r="BP2525" s="4"/>
      <c r="BQ2525" s="4"/>
      <c r="BR2525" s="4"/>
      <c r="BS2525" s="4"/>
      <c r="BT2525" s="4"/>
      <c r="BU2525" s="4"/>
    </row>
    <row r="2526" spans="29:73" s="1" customFormat="1" x14ac:dyDescent="0.25">
      <c r="AC2526" s="4"/>
      <c r="AD2526" s="4"/>
      <c r="AE2526" s="4"/>
      <c r="AF2526" s="4"/>
      <c r="AG2526" s="4"/>
      <c r="AH2526" s="4"/>
      <c r="AI2526" s="4"/>
      <c r="AJ2526" s="4"/>
      <c r="AK2526" s="4"/>
      <c r="AL2526" s="4"/>
      <c r="AM2526" s="4"/>
      <c r="AN2526" s="4"/>
      <c r="AO2526" s="4"/>
      <c r="AP2526" s="4"/>
      <c r="AQ2526" s="4"/>
      <c r="AR2526" s="4"/>
      <c r="AS2526" s="4"/>
      <c r="AT2526" s="4"/>
      <c r="AU2526" s="4"/>
      <c r="AV2526" s="4"/>
      <c r="AW2526" s="4"/>
      <c r="AX2526" s="4"/>
      <c r="AY2526" s="4"/>
      <c r="AZ2526" s="4"/>
      <c r="BA2526" s="4"/>
      <c r="BB2526" s="4"/>
      <c r="BC2526" s="4"/>
      <c r="BD2526" s="4"/>
      <c r="BE2526" s="4"/>
      <c r="BF2526" s="4"/>
      <c r="BG2526" s="4"/>
      <c r="BH2526" s="4"/>
      <c r="BI2526" s="4"/>
      <c r="BJ2526" s="4"/>
      <c r="BK2526" s="4"/>
      <c r="BL2526" s="4"/>
      <c r="BM2526" s="4"/>
      <c r="BN2526" s="4"/>
      <c r="BO2526" s="4"/>
      <c r="BP2526" s="4"/>
      <c r="BQ2526" s="4"/>
      <c r="BR2526" s="4"/>
      <c r="BS2526" s="4"/>
      <c r="BT2526" s="4"/>
      <c r="BU2526" s="4"/>
    </row>
    <row r="2527" spans="29:73" s="1" customFormat="1" x14ac:dyDescent="0.25">
      <c r="AC2527" s="4"/>
      <c r="AD2527" s="4"/>
      <c r="AE2527" s="4"/>
      <c r="AF2527" s="4"/>
      <c r="AG2527" s="4"/>
      <c r="AH2527" s="4"/>
      <c r="AI2527" s="4"/>
      <c r="AJ2527" s="4"/>
      <c r="AK2527" s="4"/>
      <c r="AL2527" s="4"/>
      <c r="AM2527" s="4"/>
      <c r="AN2527" s="4"/>
      <c r="AO2527" s="4"/>
      <c r="AP2527" s="4"/>
      <c r="AQ2527" s="4"/>
      <c r="AR2527" s="4"/>
      <c r="AS2527" s="4"/>
      <c r="AT2527" s="4"/>
      <c r="AU2527" s="4"/>
      <c r="AV2527" s="4"/>
      <c r="AW2527" s="4"/>
      <c r="AX2527" s="4"/>
      <c r="AY2527" s="4"/>
      <c r="AZ2527" s="4"/>
      <c r="BA2527" s="4"/>
      <c r="BB2527" s="4"/>
      <c r="BC2527" s="4"/>
      <c r="BD2527" s="4"/>
      <c r="BE2527" s="4"/>
      <c r="BF2527" s="4"/>
      <c r="BG2527" s="4"/>
      <c r="BH2527" s="4"/>
      <c r="BI2527" s="4"/>
      <c r="BJ2527" s="4"/>
      <c r="BK2527" s="4"/>
      <c r="BL2527" s="4"/>
      <c r="BM2527" s="4"/>
      <c r="BN2527" s="4"/>
      <c r="BO2527" s="4"/>
      <c r="BP2527" s="4"/>
      <c r="BQ2527" s="4"/>
      <c r="BR2527" s="4"/>
      <c r="BS2527" s="4"/>
      <c r="BT2527" s="4"/>
      <c r="BU2527" s="4"/>
    </row>
    <row r="2528" spans="29:73" s="1" customFormat="1" x14ac:dyDescent="0.25">
      <c r="AC2528" s="4"/>
      <c r="AD2528" s="4"/>
      <c r="AE2528" s="4"/>
      <c r="AF2528" s="4"/>
      <c r="AG2528" s="4"/>
      <c r="AH2528" s="4"/>
      <c r="AI2528" s="4"/>
      <c r="AJ2528" s="4"/>
      <c r="AK2528" s="4"/>
      <c r="AL2528" s="4"/>
      <c r="AM2528" s="4"/>
      <c r="AN2528" s="4"/>
      <c r="AO2528" s="4"/>
      <c r="AP2528" s="4"/>
      <c r="AQ2528" s="4"/>
      <c r="AR2528" s="4"/>
      <c r="AS2528" s="4"/>
      <c r="AT2528" s="4"/>
      <c r="AU2528" s="4"/>
      <c r="AV2528" s="4"/>
      <c r="AW2528" s="4"/>
      <c r="AX2528" s="4"/>
      <c r="AY2528" s="4"/>
      <c r="AZ2528" s="4"/>
      <c r="BA2528" s="4"/>
      <c r="BB2528" s="4"/>
      <c r="BC2528" s="4"/>
      <c r="BD2528" s="4"/>
      <c r="BE2528" s="4"/>
      <c r="BF2528" s="4"/>
      <c r="BG2528" s="4"/>
      <c r="BH2528" s="4"/>
      <c r="BI2528" s="4"/>
      <c r="BJ2528" s="4"/>
      <c r="BK2528" s="4"/>
      <c r="BL2528" s="4"/>
      <c r="BM2528" s="4"/>
      <c r="BN2528" s="4"/>
      <c r="BO2528" s="4"/>
      <c r="BP2528" s="4"/>
      <c r="BQ2528" s="4"/>
      <c r="BR2528" s="4"/>
      <c r="BS2528" s="4"/>
      <c r="BT2528" s="4"/>
      <c r="BU2528" s="4"/>
    </row>
    <row r="2529" spans="29:73" s="1" customFormat="1" x14ac:dyDescent="0.25">
      <c r="AC2529" s="4"/>
      <c r="AD2529" s="4"/>
      <c r="AE2529" s="4"/>
      <c r="AF2529" s="4"/>
      <c r="AG2529" s="4"/>
      <c r="AH2529" s="4"/>
      <c r="AI2529" s="4"/>
      <c r="AJ2529" s="4"/>
      <c r="AK2529" s="4"/>
      <c r="AL2529" s="4"/>
      <c r="AM2529" s="4"/>
      <c r="AN2529" s="4"/>
      <c r="AO2529" s="4"/>
      <c r="AP2529" s="4"/>
      <c r="AQ2529" s="4"/>
      <c r="AR2529" s="4"/>
      <c r="AS2529" s="4"/>
      <c r="AT2529" s="4"/>
      <c r="AU2529" s="4"/>
      <c r="AV2529" s="4"/>
      <c r="AW2529" s="4"/>
      <c r="AX2529" s="4"/>
      <c r="AY2529" s="4"/>
      <c r="AZ2529" s="4"/>
      <c r="BA2529" s="4"/>
      <c r="BB2529" s="4"/>
      <c r="BC2529" s="4"/>
      <c r="BD2529" s="4"/>
      <c r="BE2529" s="4"/>
      <c r="BF2529" s="4"/>
      <c r="BG2529" s="4"/>
      <c r="BH2529" s="4"/>
      <c r="BI2529" s="4"/>
      <c r="BJ2529" s="4"/>
      <c r="BK2529" s="4"/>
      <c r="BL2529" s="4"/>
      <c r="BM2529" s="4"/>
      <c r="BN2529" s="4"/>
      <c r="BO2529" s="4"/>
      <c r="BP2529" s="4"/>
      <c r="BQ2529" s="4"/>
      <c r="BR2529" s="4"/>
      <c r="BS2529" s="4"/>
      <c r="BT2529" s="4"/>
      <c r="BU2529" s="4"/>
    </row>
    <row r="2530" spans="29:73" s="1" customFormat="1" x14ac:dyDescent="0.25">
      <c r="AC2530" s="4"/>
      <c r="AD2530" s="4"/>
      <c r="AE2530" s="4"/>
      <c r="AF2530" s="4"/>
      <c r="AG2530" s="4"/>
      <c r="AH2530" s="4"/>
      <c r="AI2530" s="4"/>
      <c r="AJ2530" s="4"/>
      <c r="AK2530" s="4"/>
      <c r="AL2530" s="4"/>
      <c r="AM2530" s="4"/>
      <c r="AN2530" s="4"/>
      <c r="AO2530" s="4"/>
      <c r="AP2530" s="4"/>
      <c r="AQ2530" s="4"/>
      <c r="AR2530" s="4"/>
      <c r="AS2530" s="4"/>
      <c r="AT2530" s="4"/>
      <c r="AU2530" s="4"/>
      <c r="AV2530" s="4"/>
      <c r="AW2530" s="4"/>
      <c r="AX2530" s="4"/>
      <c r="AY2530" s="4"/>
      <c r="AZ2530" s="4"/>
      <c r="BA2530" s="4"/>
      <c r="BB2530" s="4"/>
      <c r="BC2530" s="4"/>
      <c r="BD2530" s="4"/>
      <c r="BE2530" s="4"/>
      <c r="BF2530" s="4"/>
      <c r="BG2530" s="4"/>
      <c r="BH2530" s="4"/>
      <c r="BI2530" s="4"/>
      <c r="BJ2530" s="4"/>
      <c r="BK2530" s="4"/>
      <c r="BL2530" s="4"/>
      <c r="BM2530" s="4"/>
      <c r="BN2530" s="4"/>
      <c r="BO2530" s="4"/>
      <c r="BP2530" s="4"/>
      <c r="BQ2530" s="4"/>
      <c r="BR2530" s="4"/>
      <c r="BS2530" s="4"/>
      <c r="BT2530" s="4"/>
      <c r="BU2530" s="4"/>
    </row>
    <row r="2531" spans="29:73" s="1" customFormat="1" x14ac:dyDescent="0.25">
      <c r="AC2531" s="4"/>
      <c r="AD2531" s="4"/>
      <c r="AE2531" s="4"/>
      <c r="AF2531" s="4"/>
      <c r="AG2531" s="4"/>
      <c r="AH2531" s="4"/>
      <c r="AI2531" s="4"/>
      <c r="AJ2531" s="4"/>
      <c r="AK2531" s="4"/>
      <c r="AL2531" s="4"/>
      <c r="AM2531" s="4"/>
      <c r="AN2531" s="4"/>
      <c r="AO2531" s="4"/>
      <c r="AP2531" s="4"/>
      <c r="AQ2531" s="4"/>
      <c r="AR2531" s="4"/>
      <c r="AS2531" s="4"/>
      <c r="AT2531" s="4"/>
      <c r="AU2531" s="4"/>
      <c r="AV2531" s="4"/>
      <c r="AW2531" s="4"/>
      <c r="AX2531" s="4"/>
      <c r="AY2531" s="4"/>
      <c r="AZ2531" s="4"/>
      <c r="BA2531" s="4"/>
      <c r="BB2531" s="4"/>
      <c r="BC2531" s="4"/>
      <c r="BD2531" s="4"/>
      <c r="BE2531" s="4"/>
      <c r="BF2531" s="4"/>
      <c r="BG2531" s="4"/>
      <c r="BH2531" s="4"/>
      <c r="BI2531" s="4"/>
      <c r="BJ2531" s="4"/>
      <c r="BK2531" s="4"/>
      <c r="BL2531" s="4"/>
      <c r="BM2531" s="4"/>
      <c r="BN2531" s="4"/>
      <c r="BO2531" s="4"/>
      <c r="BP2531" s="4"/>
      <c r="BQ2531" s="4"/>
      <c r="BR2531" s="4"/>
      <c r="BS2531" s="4"/>
      <c r="BT2531" s="4"/>
      <c r="BU2531" s="4"/>
    </row>
    <row r="2532" spans="29:73" s="1" customFormat="1" x14ac:dyDescent="0.25">
      <c r="AC2532" s="4"/>
      <c r="AD2532" s="4"/>
      <c r="AE2532" s="4"/>
      <c r="AF2532" s="4"/>
      <c r="AG2532" s="4"/>
      <c r="AH2532" s="4"/>
      <c r="AI2532" s="4"/>
      <c r="AJ2532" s="4"/>
      <c r="AK2532" s="4"/>
      <c r="AL2532" s="4"/>
      <c r="AM2532" s="4"/>
      <c r="AN2532" s="4"/>
      <c r="AO2532" s="4"/>
      <c r="AP2532" s="4"/>
      <c r="AQ2532" s="4"/>
      <c r="AR2532" s="4"/>
      <c r="AS2532" s="4"/>
      <c r="AT2532" s="4"/>
      <c r="AU2532" s="4"/>
      <c r="AV2532" s="4"/>
      <c r="AW2532" s="4"/>
      <c r="AX2532" s="4"/>
      <c r="AY2532" s="4"/>
      <c r="AZ2532" s="4"/>
      <c r="BA2532" s="4"/>
      <c r="BB2532" s="4"/>
      <c r="BC2532" s="4"/>
      <c r="BD2532" s="4"/>
      <c r="BE2532" s="4"/>
      <c r="BF2532" s="4"/>
      <c r="BG2532" s="4"/>
      <c r="BH2532" s="4"/>
      <c r="BI2532" s="4"/>
      <c r="BJ2532" s="4"/>
      <c r="BK2532" s="4"/>
      <c r="BL2532" s="4"/>
      <c r="BM2532" s="4"/>
      <c r="BN2532" s="4"/>
      <c r="BO2532" s="4"/>
      <c r="BP2532" s="4"/>
      <c r="BQ2532" s="4"/>
      <c r="BR2532" s="4"/>
      <c r="BS2532" s="4"/>
      <c r="BT2532" s="4"/>
      <c r="BU2532" s="4"/>
    </row>
    <row r="2533" spans="29:73" s="1" customFormat="1" x14ac:dyDescent="0.25">
      <c r="AC2533" s="4"/>
      <c r="AD2533" s="4"/>
      <c r="AE2533" s="4"/>
      <c r="AF2533" s="4"/>
      <c r="AG2533" s="4"/>
      <c r="AH2533" s="4"/>
      <c r="AI2533" s="4"/>
      <c r="AJ2533" s="4"/>
      <c r="AK2533" s="4"/>
      <c r="AL2533" s="4"/>
      <c r="AM2533" s="4"/>
      <c r="AN2533" s="4"/>
      <c r="AO2533" s="4"/>
      <c r="AP2533" s="4"/>
      <c r="AQ2533" s="4"/>
      <c r="AR2533" s="4"/>
      <c r="AS2533" s="4"/>
      <c r="AT2533" s="4"/>
      <c r="AU2533" s="4"/>
      <c r="AV2533" s="4"/>
      <c r="AW2533" s="4"/>
      <c r="AX2533" s="4"/>
      <c r="AY2533" s="4"/>
      <c r="AZ2533" s="4"/>
      <c r="BA2533" s="4"/>
      <c r="BB2533" s="4"/>
      <c r="BC2533" s="4"/>
      <c r="BD2533" s="4"/>
      <c r="BE2533" s="4"/>
      <c r="BF2533" s="4"/>
      <c r="BG2533" s="4"/>
      <c r="BH2533" s="4"/>
      <c r="BI2533" s="4"/>
      <c r="BJ2533" s="4"/>
      <c r="BK2533" s="4"/>
      <c r="BL2533" s="4"/>
      <c r="BM2533" s="4"/>
      <c r="BN2533" s="4"/>
      <c r="BO2533" s="4"/>
      <c r="BP2533" s="4"/>
      <c r="BQ2533" s="4"/>
      <c r="BR2533" s="4"/>
      <c r="BS2533" s="4"/>
      <c r="BT2533" s="4"/>
      <c r="BU2533" s="4"/>
    </row>
    <row r="2534" spans="29:73" s="1" customFormat="1" x14ac:dyDescent="0.25">
      <c r="AC2534" s="4"/>
      <c r="AD2534" s="4"/>
      <c r="AE2534" s="4"/>
      <c r="AF2534" s="4"/>
      <c r="AG2534" s="4"/>
      <c r="AH2534" s="4"/>
      <c r="AI2534" s="4"/>
      <c r="AJ2534" s="4"/>
      <c r="AK2534" s="4"/>
      <c r="AL2534" s="4"/>
      <c r="AM2534" s="4"/>
      <c r="AN2534" s="4"/>
      <c r="AO2534" s="4"/>
      <c r="AP2534" s="4"/>
      <c r="AQ2534" s="4"/>
      <c r="AR2534" s="4"/>
      <c r="AS2534" s="4"/>
      <c r="AT2534" s="4"/>
      <c r="AU2534" s="4"/>
      <c r="AV2534" s="4"/>
      <c r="AW2534" s="4"/>
      <c r="AX2534" s="4"/>
      <c r="AY2534" s="4"/>
      <c r="AZ2534" s="4"/>
      <c r="BA2534" s="4"/>
      <c r="BB2534" s="4"/>
      <c r="BC2534" s="4"/>
      <c r="BD2534" s="4"/>
      <c r="BE2534" s="4"/>
      <c r="BF2534" s="4"/>
      <c r="BG2534" s="4"/>
      <c r="BH2534" s="4"/>
      <c r="BI2534" s="4"/>
      <c r="BJ2534" s="4"/>
      <c r="BK2534" s="4"/>
      <c r="BL2534" s="4"/>
      <c r="BM2534" s="4"/>
      <c r="BN2534" s="4"/>
      <c r="BO2534" s="4"/>
      <c r="BP2534" s="4"/>
      <c r="BQ2534" s="4"/>
      <c r="BR2534" s="4"/>
      <c r="BS2534" s="4"/>
      <c r="BT2534" s="4"/>
      <c r="BU2534" s="4"/>
    </row>
    <row r="2535" spans="29:73" s="1" customFormat="1" x14ac:dyDescent="0.25">
      <c r="AC2535" s="4"/>
      <c r="AD2535" s="4"/>
      <c r="AE2535" s="4"/>
      <c r="AF2535" s="4"/>
      <c r="AG2535" s="4"/>
      <c r="AH2535" s="4"/>
      <c r="AI2535" s="4"/>
      <c r="AJ2535" s="4"/>
      <c r="AK2535" s="4"/>
      <c r="AL2535" s="4"/>
      <c r="AM2535" s="4"/>
      <c r="AN2535" s="4"/>
      <c r="AO2535" s="4"/>
      <c r="AP2535" s="4"/>
      <c r="AQ2535" s="4"/>
      <c r="AR2535" s="4"/>
      <c r="AS2535" s="4"/>
      <c r="AT2535" s="4"/>
      <c r="AU2535" s="4"/>
      <c r="AV2535" s="4"/>
      <c r="AW2535" s="4"/>
      <c r="AX2535" s="4"/>
      <c r="AY2535" s="4"/>
      <c r="AZ2535" s="4"/>
      <c r="BA2535" s="4"/>
      <c r="BB2535" s="4"/>
      <c r="BC2535" s="4"/>
      <c r="BD2535" s="4"/>
      <c r="BE2535" s="4"/>
      <c r="BF2535" s="4"/>
      <c r="BG2535" s="4"/>
      <c r="BH2535" s="4"/>
      <c r="BI2535" s="4"/>
      <c r="BJ2535" s="4"/>
      <c r="BK2535" s="4"/>
      <c r="BL2535" s="4"/>
      <c r="BM2535" s="4"/>
      <c r="BN2535" s="4"/>
      <c r="BO2535" s="4"/>
      <c r="BP2535" s="4"/>
      <c r="BQ2535" s="4"/>
      <c r="BR2535" s="4"/>
      <c r="BS2535" s="4"/>
      <c r="BT2535" s="4"/>
      <c r="BU2535" s="4"/>
    </row>
    <row r="2536" spans="29:73" s="1" customFormat="1" x14ac:dyDescent="0.25">
      <c r="AC2536" s="4"/>
      <c r="AD2536" s="4"/>
      <c r="AE2536" s="4"/>
      <c r="AF2536" s="4"/>
      <c r="AG2536" s="4"/>
      <c r="AH2536" s="4"/>
      <c r="AI2536" s="4"/>
      <c r="AJ2536" s="4"/>
      <c r="AK2536" s="4"/>
      <c r="AL2536" s="4"/>
      <c r="AM2536" s="4"/>
      <c r="AN2536" s="4"/>
      <c r="AO2536" s="4"/>
      <c r="AP2536" s="4"/>
      <c r="AQ2536" s="4"/>
      <c r="AR2536" s="4"/>
      <c r="AS2536" s="4"/>
      <c r="AT2536" s="4"/>
      <c r="AU2536" s="4"/>
      <c r="AV2536" s="4"/>
      <c r="AW2536" s="4"/>
      <c r="AX2536" s="4"/>
      <c r="AY2536" s="4"/>
      <c r="AZ2536" s="4"/>
      <c r="BA2536" s="4"/>
      <c r="BB2536" s="4"/>
      <c r="BC2536" s="4"/>
      <c r="BD2536" s="4"/>
      <c r="BE2536" s="4"/>
      <c r="BF2536" s="4"/>
      <c r="BG2536" s="4"/>
      <c r="BH2536" s="4"/>
      <c r="BI2536" s="4"/>
      <c r="BJ2536" s="4"/>
      <c r="BK2536" s="4"/>
      <c r="BL2536" s="4"/>
      <c r="BM2536" s="4"/>
      <c r="BN2536" s="4"/>
      <c r="BO2536" s="4"/>
      <c r="BP2536" s="4"/>
      <c r="BQ2536" s="4"/>
      <c r="BR2536" s="4"/>
      <c r="BS2536" s="4"/>
      <c r="BT2536" s="4"/>
      <c r="BU2536" s="4"/>
    </row>
    <row r="2537" spans="29:73" s="1" customFormat="1" x14ac:dyDescent="0.25">
      <c r="AC2537" s="4"/>
      <c r="AD2537" s="4"/>
      <c r="AE2537" s="4"/>
      <c r="AF2537" s="4"/>
      <c r="AG2537" s="4"/>
      <c r="AH2537" s="4"/>
      <c r="AI2537" s="4"/>
      <c r="AJ2537" s="4"/>
      <c r="AK2537" s="4"/>
      <c r="AL2537" s="4"/>
      <c r="AM2537" s="4"/>
      <c r="AN2537" s="4"/>
      <c r="AO2537" s="4"/>
      <c r="AP2537" s="4"/>
      <c r="AQ2537" s="4"/>
      <c r="AR2537" s="4"/>
      <c r="AS2537" s="4"/>
      <c r="AT2537" s="4"/>
      <c r="AU2537" s="4"/>
      <c r="AV2537" s="4"/>
      <c r="AW2537" s="4"/>
      <c r="AX2537" s="4"/>
      <c r="AY2537" s="4"/>
      <c r="AZ2537" s="4"/>
      <c r="BA2537" s="4"/>
      <c r="BB2537" s="4"/>
      <c r="BC2537" s="4"/>
      <c r="BD2537" s="4"/>
      <c r="BE2537" s="4"/>
      <c r="BF2537" s="4"/>
      <c r="BG2537" s="4"/>
      <c r="BH2537" s="4"/>
      <c r="BI2537" s="4"/>
      <c r="BJ2537" s="4"/>
      <c r="BK2537" s="4"/>
      <c r="BL2537" s="4"/>
      <c r="BM2537" s="4"/>
      <c r="BN2537" s="4"/>
      <c r="BO2537" s="4"/>
      <c r="BP2537" s="4"/>
      <c r="BQ2537" s="4"/>
      <c r="BR2537" s="4"/>
      <c r="BS2537" s="4"/>
      <c r="BT2537" s="4"/>
      <c r="BU2537" s="4"/>
    </row>
    <row r="2538" spans="29:73" s="1" customFormat="1" x14ac:dyDescent="0.25">
      <c r="AC2538" s="4"/>
      <c r="AD2538" s="4"/>
      <c r="AE2538" s="4"/>
      <c r="AF2538" s="4"/>
      <c r="AG2538" s="4"/>
      <c r="AH2538" s="4"/>
      <c r="AI2538" s="4"/>
      <c r="AJ2538" s="4"/>
      <c r="AK2538" s="4"/>
      <c r="AL2538" s="4"/>
      <c r="AM2538" s="4"/>
      <c r="AN2538" s="4"/>
      <c r="AO2538" s="4"/>
      <c r="AP2538" s="4"/>
      <c r="AQ2538" s="4"/>
      <c r="AR2538" s="4"/>
      <c r="AS2538" s="4"/>
      <c r="AT2538" s="4"/>
      <c r="AU2538" s="4"/>
      <c r="AV2538" s="4"/>
      <c r="AW2538" s="4"/>
      <c r="AX2538" s="4"/>
      <c r="AY2538" s="4"/>
      <c r="AZ2538" s="4"/>
      <c r="BA2538" s="4"/>
      <c r="BB2538" s="4"/>
      <c r="BC2538" s="4"/>
      <c r="BD2538" s="4"/>
      <c r="BE2538" s="4"/>
      <c r="BF2538" s="4"/>
      <c r="BG2538" s="4"/>
      <c r="BH2538" s="4"/>
      <c r="BI2538" s="4"/>
      <c r="BJ2538" s="4"/>
      <c r="BK2538" s="4"/>
      <c r="BL2538" s="4"/>
      <c r="BM2538" s="4"/>
      <c r="BN2538" s="4"/>
      <c r="BO2538" s="4"/>
      <c r="BP2538" s="4"/>
      <c r="BQ2538" s="4"/>
      <c r="BR2538" s="4"/>
      <c r="BS2538" s="4"/>
      <c r="BT2538" s="4"/>
      <c r="BU2538" s="4"/>
    </row>
    <row r="2539" spans="29:73" s="1" customFormat="1" x14ac:dyDescent="0.25">
      <c r="AC2539" s="4"/>
      <c r="AD2539" s="4"/>
      <c r="AE2539" s="4"/>
      <c r="AF2539" s="4"/>
      <c r="AG2539" s="4"/>
      <c r="AH2539" s="4"/>
      <c r="AI2539" s="4"/>
      <c r="AJ2539" s="4"/>
      <c r="AK2539" s="4"/>
      <c r="AL2539" s="4"/>
      <c r="AM2539" s="4"/>
      <c r="AN2539" s="4"/>
      <c r="AO2539" s="4"/>
      <c r="AP2539" s="4"/>
      <c r="AQ2539" s="4"/>
      <c r="AR2539" s="4"/>
      <c r="AS2539" s="4"/>
      <c r="AT2539" s="4"/>
      <c r="AU2539" s="4"/>
      <c r="AV2539" s="4"/>
      <c r="AW2539" s="4"/>
      <c r="AX2539" s="4"/>
      <c r="AY2539" s="4"/>
      <c r="AZ2539" s="4"/>
      <c r="BA2539" s="4"/>
      <c r="BB2539" s="4"/>
      <c r="BC2539" s="4"/>
      <c r="BD2539" s="4"/>
      <c r="BE2539" s="4"/>
      <c r="BF2539" s="4"/>
      <c r="BG2539" s="4"/>
      <c r="BH2539" s="4"/>
      <c r="BI2539" s="4"/>
      <c r="BJ2539" s="4"/>
      <c r="BK2539" s="4"/>
      <c r="BL2539" s="4"/>
      <c r="BM2539" s="4"/>
      <c r="BN2539" s="4"/>
      <c r="BO2539" s="4"/>
      <c r="BP2539" s="4"/>
      <c r="BQ2539" s="4"/>
      <c r="BR2539" s="4"/>
      <c r="BS2539" s="4"/>
      <c r="BT2539" s="4"/>
      <c r="BU2539" s="4"/>
    </row>
    <row r="2540" spans="29:73" s="1" customFormat="1" x14ac:dyDescent="0.25">
      <c r="AC2540" s="4"/>
      <c r="AD2540" s="4"/>
      <c r="AE2540" s="4"/>
      <c r="AF2540" s="4"/>
      <c r="AG2540" s="4"/>
      <c r="AH2540" s="4"/>
      <c r="AI2540" s="4"/>
      <c r="AJ2540" s="4"/>
      <c r="AK2540" s="4"/>
      <c r="AL2540" s="4"/>
      <c r="AM2540" s="4"/>
      <c r="AN2540" s="4"/>
      <c r="AO2540" s="4"/>
      <c r="AP2540" s="4"/>
      <c r="AQ2540" s="4"/>
      <c r="AR2540" s="4"/>
      <c r="AS2540" s="4"/>
      <c r="AT2540" s="4"/>
      <c r="AU2540" s="4"/>
      <c r="AV2540" s="4"/>
      <c r="AW2540" s="4"/>
      <c r="AX2540" s="4"/>
      <c r="AY2540" s="4"/>
      <c r="AZ2540" s="4"/>
      <c r="BA2540" s="4"/>
      <c r="BB2540" s="4"/>
      <c r="BC2540" s="4"/>
      <c r="BD2540" s="4"/>
      <c r="BE2540" s="4"/>
      <c r="BF2540" s="4"/>
      <c r="BG2540" s="4"/>
      <c r="BH2540" s="4"/>
      <c r="BI2540" s="4"/>
      <c r="BJ2540" s="4"/>
      <c r="BK2540" s="4"/>
      <c r="BL2540" s="4"/>
      <c r="BM2540" s="4"/>
      <c r="BN2540" s="4"/>
      <c r="BO2540" s="4"/>
      <c r="BP2540" s="4"/>
      <c r="BQ2540" s="4"/>
      <c r="BR2540" s="4"/>
      <c r="BS2540" s="4"/>
      <c r="BT2540" s="4"/>
      <c r="BU2540" s="4"/>
    </row>
    <row r="2541" spans="29:73" s="1" customFormat="1" x14ac:dyDescent="0.25">
      <c r="AC2541" s="4"/>
      <c r="AD2541" s="4"/>
      <c r="AE2541" s="4"/>
      <c r="AF2541" s="4"/>
      <c r="AG2541" s="4"/>
      <c r="AH2541" s="4"/>
      <c r="AI2541" s="4"/>
      <c r="AJ2541" s="4"/>
      <c r="AK2541" s="4"/>
      <c r="AL2541" s="4"/>
      <c r="AM2541" s="4"/>
      <c r="AN2541" s="4"/>
      <c r="AO2541" s="4"/>
      <c r="AP2541" s="4"/>
      <c r="AQ2541" s="4"/>
      <c r="AR2541" s="4"/>
      <c r="AS2541" s="4"/>
      <c r="AT2541" s="4"/>
      <c r="AU2541" s="4"/>
      <c r="AV2541" s="4"/>
      <c r="AW2541" s="4"/>
      <c r="AX2541" s="4"/>
      <c r="AY2541" s="4"/>
      <c r="AZ2541" s="4"/>
      <c r="BA2541" s="4"/>
      <c r="BB2541" s="4"/>
      <c r="BC2541" s="4"/>
      <c r="BD2541" s="4"/>
      <c r="BE2541" s="4"/>
      <c r="BF2541" s="4"/>
      <c r="BG2541" s="4"/>
      <c r="BH2541" s="4"/>
      <c r="BI2541" s="4"/>
      <c r="BJ2541" s="4"/>
      <c r="BK2541" s="4"/>
      <c r="BL2541" s="4"/>
      <c r="BM2541" s="4"/>
      <c r="BN2541" s="4"/>
      <c r="BO2541" s="4"/>
      <c r="BP2541" s="4"/>
      <c r="BQ2541" s="4"/>
      <c r="BR2541" s="4"/>
      <c r="BS2541" s="4"/>
      <c r="BT2541" s="4"/>
      <c r="BU2541" s="4"/>
    </row>
    <row r="2542" spans="29:73" s="1" customFormat="1" x14ac:dyDescent="0.25">
      <c r="AC2542" s="4"/>
      <c r="AD2542" s="4"/>
      <c r="AE2542" s="4"/>
      <c r="AF2542" s="4"/>
      <c r="AG2542" s="4"/>
      <c r="AH2542" s="4"/>
      <c r="AI2542" s="4"/>
      <c r="AJ2542" s="4"/>
      <c r="AK2542" s="4"/>
      <c r="AL2542" s="4"/>
      <c r="AM2542" s="4"/>
      <c r="AN2542" s="4"/>
      <c r="AO2542" s="4"/>
      <c r="AP2542" s="4"/>
      <c r="AQ2542" s="4"/>
      <c r="AR2542" s="4"/>
      <c r="AS2542" s="4"/>
      <c r="AT2542" s="4"/>
      <c r="AU2542" s="4"/>
      <c r="AV2542" s="4"/>
      <c r="AW2542" s="4"/>
      <c r="AX2542" s="4"/>
      <c r="AY2542" s="4"/>
      <c r="AZ2542" s="4"/>
      <c r="BA2542" s="4"/>
      <c r="BB2542" s="4"/>
      <c r="BC2542" s="4"/>
      <c r="BD2542" s="4"/>
      <c r="BE2542" s="4"/>
      <c r="BF2542" s="4"/>
      <c r="BG2542" s="4"/>
      <c r="BH2542" s="4"/>
      <c r="BI2542" s="4"/>
      <c r="BJ2542" s="4"/>
      <c r="BK2542" s="4"/>
      <c r="BL2542" s="4"/>
      <c r="BM2542" s="4"/>
      <c r="BN2542" s="4"/>
      <c r="BO2542" s="4"/>
      <c r="BP2542" s="4"/>
      <c r="BQ2542" s="4"/>
      <c r="BR2542" s="4"/>
      <c r="BS2542" s="4"/>
      <c r="BT2542" s="4"/>
      <c r="BU2542" s="4"/>
    </row>
    <row r="2543" spans="29:73" s="1" customFormat="1" x14ac:dyDescent="0.25">
      <c r="AC2543" s="4"/>
      <c r="AD2543" s="4"/>
      <c r="AE2543" s="4"/>
      <c r="AF2543" s="4"/>
      <c r="AG2543" s="4"/>
      <c r="AH2543" s="4"/>
      <c r="AI2543" s="4"/>
      <c r="AJ2543" s="4"/>
      <c r="AK2543" s="4"/>
      <c r="AL2543" s="4"/>
      <c r="AM2543" s="4"/>
      <c r="AN2543" s="4"/>
      <c r="AO2543" s="4"/>
      <c r="AP2543" s="4"/>
      <c r="AQ2543" s="4"/>
      <c r="AR2543" s="4"/>
      <c r="AS2543" s="4"/>
      <c r="AT2543" s="4"/>
      <c r="AU2543" s="4"/>
      <c r="AV2543" s="4"/>
      <c r="AW2543" s="4"/>
      <c r="AX2543" s="4"/>
      <c r="AY2543" s="4"/>
      <c r="AZ2543" s="4"/>
      <c r="BA2543" s="4"/>
      <c r="BB2543" s="4"/>
      <c r="BC2543" s="4"/>
      <c r="BD2543" s="4"/>
      <c r="BE2543" s="4"/>
      <c r="BF2543" s="4"/>
      <c r="BG2543" s="4"/>
      <c r="BH2543" s="4"/>
      <c r="BI2543" s="4"/>
      <c r="BJ2543" s="4"/>
      <c r="BK2543" s="4"/>
      <c r="BL2543" s="4"/>
      <c r="BM2543" s="4"/>
      <c r="BN2543" s="4"/>
      <c r="BO2543" s="4"/>
      <c r="BP2543" s="4"/>
      <c r="BQ2543" s="4"/>
      <c r="BR2543" s="4"/>
      <c r="BS2543" s="4"/>
      <c r="BT2543" s="4"/>
      <c r="BU2543" s="4"/>
    </row>
    <row r="2544" spans="29:73" s="1" customFormat="1" x14ac:dyDescent="0.25">
      <c r="AC2544" s="4"/>
      <c r="AD2544" s="4"/>
      <c r="AE2544" s="4"/>
      <c r="AF2544" s="4"/>
      <c r="AG2544" s="4"/>
      <c r="AH2544" s="4"/>
      <c r="AI2544" s="4"/>
      <c r="AJ2544" s="4"/>
      <c r="AK2544" s="4"/>
      <c r="AL2544" s="4"/>
      <c r="AM2544" s="4"/>
      <c r="AN2544" s="4"/>
      <c r="AO2544" s="4"/>
      <c r="AP2544" s="4"/>
      <c r="AQ2544" s="4"/>
      <c r="AR2544" s="4"/>
      <c r="AS2544" s="4"/>
      <c r="AT2544" s="4"/>
      <c r="AU2544" s="4"/>
      <c r="AV2544" s="4"/>
      <c r="AW2544" s="4"/>
      <c r="AX2544" s="4"/>
      <c r="AY2544" s="4"/>
      <c r="AZ2544" s="4"/>
      <c r="BA2544" s="4"/>
      <c r="BB2544" s="4"/>
      <c r="BC2544" s="4"/>
      <c r="BD2544" s="4"/>
      <c r="BE2544" s="4"/>
      <c r="BF2544" s="4"/>
      <c r="BG2544" s="4"/>
      <c r="BH2544" s="4"/>
      <c r="BI2544" s="4"/>
      <c r="BJ2544" s="4"/>
      <c r="BK2544" s="4"/>
      <c r="BL2544" s="4"/>
      <c r="BM2544" s="4"/>
      <c r="BN2544" s="4"/>
      <c r="BO2544" s="4"/>
      <c r="BP2544" s="4"/>
      <c r="BQ2544" s="4"/>
      <c r="BR2544" s="4"/>
      <c r="BS2544" s="4"/>
      <c r="BT2544" s="4"/>
      <c r="BU2544" s="4"/>
    </row>
    <row r="2545" spans="29:73" s="1" customFormat="1" x14ac:dyDescent="0.25">
      <c r="AC2545" s="4"/>
      <c r="AD2545" s="4"/>
      <c r="AE2545" s="4"/>
      <c r="AF2545" s="4"/>
      <c r="AG2545" s="4"/>
      <c r="AH2545" s="4"/>
      <c r="AI2545" s="4"/>
      <c r="AJ2545" s="4"/>
      <c r="AK2545" s="4"/>
      <c r="AL2545" s="4"/>
      <c r="AM2545" s="4"/>
      <c r="AN2545" s="4"/>
      <c r="AO2545" s="4"/>
      <c r="AP2545" s="4"/>
      <c r="AQ2545" s="4"/>
      <c r="AR2545" s="4"/>
      <c r="AS2545" s="4"/>
      <c r="AT2545" s="4"/>
      <c r="AU2545" s="4"/>
      <c r="AV2545" s="4"/>
      <c r="AW2545" s="4"/>
      <c r="AX2545" s="4"/>
      <c r="AY2545" s="4"/>
      <c r="AZ2545" s="4"/>
      <c r="BA2545" s="4"/>
      <c r="BB2545" s="4"/>
      <c r="BC2545" s="4"/>
      <c r="BD2545" s="4"/>
      <c r="BE2545" s="4"/>
      <c r="BF2545" s="4"/>
      <c r="BG2545" s="4"/>
      <c r="BH2545" s="4"/>
      <c r="BI2545" s="4"/>
      <c r="BJ2545" s="4"/>
      <c r="BK2545" s="4"/>
      <c r="BL2545" s="4"/>
      <c r="BM2545" s="4"/>
      <c r="BN2545" s="4"/>
      <c r="BO2545" s="4"/>
      <c r="BP2545" s="4"/>
      <c r="BQ2545" s="4"/>
      <c r="BR2545" s="4"/>
      <c r="BS2545" s="4"/>
      <c r="BT2545" s="4"/>
      <c r="BU2545" s="4"/>
    </row>
    <row r="2546" spans="29:73" s="1" customFormat="1" x14ac:dyDescent="0.25">
      <c r="AC2546" s="4"/>
      <c r="AD2546" s="4"/>
      <c r="AE2546" s="4"/>
      <c r="AF2546" s="4"/>
      <c r="AG2546" s="4"/>
      <c r="AH2546" s="4"/>
      <c r="AI2546" s="4"/>
      <c r="AJ2546" s="4"/>
      <c r="AK2546" s="4"/>
      <c r="AL2546" s="4"/>
      <c r="AM2546" s="4"/>
      <c r="AN2546" s="4"/>
      <c r="AO2546" s="4"/>
      <c r="AP2546" s="4"/>
      <c r="AQ2546" s="4"/>
      <c r="AR2546" s="4"/>
      <c r="AS2546" s="4"/>
      <c r="AT2546" s="4"/>
      <c r="AU2546" s="4"/>
      <c r="AV2546" s="4"/>
      <c r="AW2546" s="4"/>
      <c r="AX2546" s="4"/>
      <c r="AY2546" s="4"/>
      <c r="AZ2546" s="4"/>
      <c r="BA2546" s="4"/>
      <c r="BB2546" s="4"/>
      <c r="BC2546" s="4"/>
      <c r="BD2546" s="4"/>
      <c r="BE2546" s="4"/>
      <c r="BF2546" s="4"/>
      <c r="BG2546" s="4"/>
      <c r="BH2546" s="4"/>
      <c r="BI2546" s="4"/>
      <c r="BJ2546" s="4"/>
      <c r="BK2546" s="4"/>
      <c r="BL2546" s="4"/>
      <c r="BM2546" s="4"/>
      <c r="BN2546" s="4"/>
      <c r="BO2546" s="4"/>
      <c r="BP2546" s="4"/>
      <c r="BQ2546" s="4"/>
      <c r="BR2546" s="4"/>
      <c r="BS2546" s="4"/>
      <c r="BT2546" s="4"/>
      <c r="BU2546" s="4"/>
    </row>
    <row r="2547" spans="29:73" s="1" customFormat="1" x14ac:dyDescent="0.25">
      <c r="AC2547" s="4"/>
      <c r="AD2547" s="4"/>
      <c r="AE2547" s="4"/>
      <c r="AF2547" s="4"/>
      <c r="AG2547" s="4"/>
      <c r="AH2547" s="4"/>
      <c r="AI2547" s="4"/>
      <c r="AJ2547" s="4"/>
      <c r="AK2547" s="4"/>
      <c r="AL2547" s="4"/>
      <c r="AM2547" s="4"/>
      <c r="AN2547" s="4"/>
      <c r="AO2547" s="4"/>
      <c r="AP2547" s="4"/>
      <c r="AQ2547" s="4"/>
      <c r="AR2547" s="4"/>
      <c r="AS2547" s="4"/>
      <c r="AT2547" s="4"/>
      <c r="AU2547" s="4"/>
      <c r="AV2547" s="4"/>
      <c r="AW2547" s="4"/>
      <c r="AX2547" s="4"/>
      <c r="AY2547" s="4"/>
      <c r="AZ2547" s="4"/>
      <c r="BA2547" s="4"/>
      <c r="BB2547" s="4"/>
      <c r="BC2547" s="4"/>
      <c r="BD2547" s="4"/>
      <c r="BE2547" s="4"/>
      <c r="BF2547" s="4"/>
      <c r="BG2547" s="4"/>
      <c r="BH2547" s="4"/>
      <c r="BI2547" s="4"/>
      <c r="BJ2547" s="4"/>
      <c r="BK2547" s="4"/>
      <c r="BL2547" s="4"/>
      <c r="BM2547" s="4"/>
      <c r="BN2547" s="4"/>
      <c r="BO2547" s="4"/>
      <c r="BP2547" s="4"/>
      <c r="BQ2547" s="4"/>
      <c r="BR2547" s="4"/>
      <c r="BS2547" s="4"/>
      <c r="BT2547" s="4"/>
      <c r="BU2547" s="4"/>
    </row>
    <row r="2548" spans="29:73" s="1" customFormat="1" x14ac:dyDescent="0.25">
      <c r="AC2548" s="4"/>
      <c r="AD2548" s="4"/>
      <c r="AE2548" s="4"/>
      <c r="AF2548" s="4"/>
      <c r="AG2548" s="4"/>
      <c r="AH2548" s="4"/>
      <c r="AI2548" s="4"/>
      <c r="AJ2548" s="4"/>
      <c r="AK2548" s="4"/>
      <c r="AL2548" s="4"/>
      <c r="AM2548" s="4"/>
      <c r="AN2548" s="4"/>
      <c r="AO2548" s="4"/>
      <c r="AP2548" s="4"/>
      <c r="AQ2548" s="4"/>
      <c r="AR2548" s="4"/>
      <c r="AS2548" s="4"/>
      <c r="AT2548" s="4"/>
      <c r="AU2548" s="4"/>
      <c r="AV2548" s="4"/>
      <c r="AW2548" s="4"/>
      <c r="AX2548" s="4"/>
      <c r="AY2548" s="4"/>
      <c r="AZ2548" s="4"/>
      <c r="BA2548" s="4"/>
      <c r="BB2548" s="4"/>
      <c r="BC2548" s="4"/>
      <c r="BD2548" s="4"/>
      <c r="BE2548" s="4"/>
      <c r="BF2548" s="4"/>
      <c r="BG2548" s="4"/>
      <c r="BH2548" s="4"/>
      <c r="BI2548" s="4"/>
      <c r="BJ2548" s="4"/>
      <c r="BK2548" s="4"/>
      <c r="BL2548" s="4"/>
      <c r="BM2548" s="4"/>
      <c r="BN2548" s="4"/>
      <c r="BO2548" s="4"/>
      <c r="BP2548" s="4"/>
      <c r="BQ2548" s="4"/>
      <c r="BR2548" s="4"/>
      <c r="BS2548" s="4"/>
      <c r="BT2548" s="4"/>
      <c r="BU2548" s="4"/>
    </row>
    <row r="2549" spans="29:73" s="1" customFormat="1" x14ac:dyDescent="0.25">
      <c r="AC2549" s="4"/>
      <c r="AD2549" s="4"/>
      <c r="AE2549" s="4"/>
      <c r="AF2549" s="4"/>
      <c r="AG2549" s="4"/>
      <c r="AH2549" s="4"/>
      <c r="AI2549" s="4"/>
      <c r="AJ2549" s="4"/>
      <c r="AK2549" s="4"/>
      <c r="AL2549" s="4"/>
      <c r="AM2549" s="4"/>
      <c r="AN2549" s="4"/>
      <c r="AO2549" s="4"/>
      <c r="AP2549" s="4"/>
      <c r="AQ2549" s="4"/>
      <c r="AR2549" s="4"/>
      <c r="AS2549" s="4"/>
      <c r="AT2549" s="4"/>
      <c r="AU2549" s="4"/>
      <c r="AV2549" s="4"/>
      <c r="AW2549" s="4"/>
      <c r="AX2549" s="4"/>
      <c r="AY2549" s="4"/>
      <c r="AZ2549" s="4"/>
      <c r="BA2549" s="4"/>
      <c r="BB2549" s="4"/>
      <c r="BC2549" s="4"/>
      <c r="BD2549" s="4"/>
      <c r="BE2549" s="4"/>
      <c r="BF2549" s="4"/>
      <c r="BG2549" s="4"/>
      <c r="BH2549" s="4"/>
      <c r="BI2549" s="4"/>
      <c r="BJ2549" s="4"/>
      <c r="BK2549" s="4"/>
      <c r="BL2549" s="4"/>
      <c r="BM2549" s="4"/>
      <c r="BN2549" s="4"/>
      <c r="BO2549" s="4"/>
      <c r="BP2549" s="4"/>
      <c r="BQ2549" s="4"/>
      <c r="BR2549" s="4"/>
      <c r="BS2549" s="4"/>
      <c r="BT2549" s="4"/>
      <c r="BU2549" s="4"/>
    </row>
    <row r="2550" spans="29:73" s="1" customFormat="1" x14ac:dyDescent="0.25">
      <c r="AC2550" s="4"/>
      <c r="AD2550" s="4"/>
      <c r="AE2550" s="4"/>
      <c r="AF2550" s="4"/>
      <c r="AG2550" s="4"/>
      <c r="AH2550" s="4"/>
      <c r="AI2550" s="4"/>
      <c r="AJ2550" s="4"/>
      <c r="AK2550" s="4"/>
      <c r="AL2550" s="4"/>
      <c r="AM2550" s="4"/>
      <c r="AN2550" s="4"/>
      <c r="AO2550" s="4"/>
      <c r="AP2550" s="4"/>
      <c r="AQ2550" s="4"/>
      <c r="AR2550" s="4"/>
      <c r="AS2550" s="4"/>
      <c r="AT2550" s="4"/>
      <c r="AU2550" s="4"/>
      <c r="AV2550" s="4"/>
      <c r="AW2550" s="4"/>
      <c r="AX2550" s="4"/>
      <c r="AY2550" s="4"/>
      <c r="AZ2550" s="4"/>
      <c r="BA2550" s="4"/>
      <c r="BB2550" s="4"/>
      <c r="BC2550" s="4"/>
      <c r="BD2550" s="4"/>
      <c r="BE2550" s="4"/>
      <c r="BF2550" s="4"/>
      <c r="BG2550" s="4"/>
      <c r="BH2550" s="4"/>
      <c r="BI2550" s="4"/>
      <c r="BJ2550" s="4"/>
      <c r="BK2550" s="4"/>
      <c r="BL2550" s="4"/>
      <c r="BM2550" s="4"/>
      <c r="BN2550" s="4"/>
      <c r="BO2550" s="4"/>
      <c r="BP2550" s="4"/>
      <c r="BQ2550" s="4"/>
      <c r="BR2550" s="4"/>
      <c r="BS2550" s="4"/>
      <c r="BT2550" s="4"/>
      <c r="BU2550" s="4"/>
    </row>
    <row r="2551" spans="29:73" s="1" customFormat="1" x14ac:dyDescent="0.25">
      <c r="AC2551" s="4"/>
      <c r="AD2551" s="4"/>
      <c r="AE2551" s="4"/>
      <c r="AF2551" s="4"/>
      <c r="AG2551" s="4"/>
      <c r="AH2551" s="4"/>
      <c r="AI2551" s="4"/>
      <c r="AJ2551" s="4"/>
      <c r="AK2551" s="4"/>
      <c r="AL2551" s="4"/>
      <c r="AM2551" s="4"/>
      <c r="AN2551" s="4"/>
      <c r="AO2551" s="4"/>
      <c r="AP2551" s="4"/>
      <c r="AQ2551" s="4"/>
      <c r="AR2551" s="4"/>
      <c r="AS2551" s="4"/>
      <c r="AT2551" s="4"/>
      <c r="AU2551" s="4"/>
      <c r="AV2551" s="4"/>
      <c r="AW2551" s="4"/>
      <c r="AX2551" s="4"/>
      <c r="AY2551" s="4"/>
      <c r="AZ2551" s="4"/>
      <c r="BA2551" s="4"/>
      <c r="BB2551" s="4"/>
      <c r="BC2551" s="4"/>
      <c r="BD2551" s="4"/>
      <c r="BE2551" s="4"/>
      <c r="BF2551" s="4"/>
      <c r="BG2551" s="4"/>
      <c r="BH2551" s="4"/>
      <c r="BI2551" s="4"/>
      <c r="BJ2551" s="4"/>
      <c r="BK2551" s="4"/>
      <c r="BL2551" s="4"/>
      <c r="BM2551" s="4"/>
      <c r="BN2551" s="4"/>
      <c r="BO2551" s="4"/>
      <c r="BP2551" s="4"/>
      <c r="BQ2551" s="4"/>
      <c r="BR2551" s="4"/>
      <c r="BS2551" s="4"/>
      <c r="BT2551" s="4"/>
      <c r="BU2551" s="4"/>
    </row>
    <row r="2552" spans="29:73" s="1" customFormat="1" x14ac:dyDescent="0.25">
      <c r="AC2552" s="4"/>
      <c r="AD2552" s="4"/>
      <c r="AE2552" s="4"/>
      <c r="AF2552" s="4"/>
      <c r="AG2552" s="4"/>
      <c r="AH2552" s="4"/>
      <c r="AI2552" s="4"/>
      <c r="AJ2552" s="4"/>
      <c r="AK2552" s="4"/>
      <c r="AL2552" s="4"/>
      <c r="AM2552" s="4"/>
      <c r="AN2552" s="4"/>
      <c r="AO2552" s="4"/>
      <c r="AP2552" s="4"/>
      <c r="AQ2552" s="4"/>
      <c r="AR2552" s="4"/>
      <c r="AS2552" s="4"/>
      <c r="AT2552" s="4"/>
      <c r="AU2552" s="4"/>
      <c r="AV2552" s="4"/>
      <c r="AW2552" s="4"/>
      <c r="AX2552" s="4"/>
      <c r="AY2552" s="4"/>
      <c r="AZ2552" s="4"/>
      <c r="BA2552" s="4"/>
      <c r="BB2552" s="4"/>
      <c r="BC2552" s="4"/>
      <c r="BD2552" s="4"/>
      <c r="BE2552" s="4"/>
      <c r="BF2552" s="4"/>
      <c r="BG2552" s="4"/>
      <c r="BH2552" s="4"/>
      <c r="BI2552" s="4"/>
      <c r="BJ2552" s="4"/>
      <c r="BK2552" s="4"/>
      <c r="BL2552" s="4"/>
      <c r="BM2552" s="4"/>
      <c r="BN2552" s="4"/>
      <c r="BO2552" s="4"/>
      <c r="BP2552" s="4"/>
      <c r="BQ2552" s="4"/>
      <c r="BR2552" s="4"/>
      <c r="BS2552" s="4"/>
      <c r="BT2552" s="4"/>
      <c r="BU2552" s="4"/>
    </row>
    <row r="2553" spans="29:73" s="1" customFormat="1" x14ac:dyDescent="0.25">
      <c r="AC2553" s="4"/>
      <c r="AD2553" s="4"/>
      <c r="AE2553" s="4"/>
      <c r="AF2553" s="4"/>
      <c r="AG2553" s="4"/>
      <c r="AH2553" s="4"/>
      <c r="AI2553" s="4"/>
      <c r="AJ2553" s="4"/>
      <c r="AK2553" s="4"/>
      <c r="AL2553" s="4"/>
      <c r="AM2553" s="4"/>
      <c r="AN2553" s="4"/>
      <c r="AO2553" s="4"/>
      <c r="AP2553" s="4"/>
      <c r="AQ2553" s="4"/>
      <c r="AR2553" s="4"/>
      <c r="AS2553" s="4"/>
      <c r="AT2553" s="4"/>
      <c r="AU2553" s="4"/>
      <c r="AV2553" s="4"/>
      <c r="AW2553" s="4"/>
      <c r="AX2553" s="4"/>
      <c r="AY2553" s="4"/>
      <c r="AZ2553" s="4"/>
      <c r="BA2553" s="4"/>
      <c r="BB2553" s="4"/>
      <c r="BC2553" s="4"/>
      <c r="BD2553" s="4"/>
      <c r="BE2553" s="4"/>
      <c r="BF2553" s="4"/>
      <c r="BG2553" s="4"/>
      <c r="BH2553" s="4"/>
      <c r="BI2553" s="4"/>
      <c r="BJ2553" s="4"/>
      <c r="BK2553" s="4"/>
      <c r="BL2553" s="4"/>
      <c r="BM2553" s="4"/>
      <c r="BN2553" s="4"/>
      <c r="BO2553" s="4"/>
      <c r="BP2553" s="4"/>
      <c r="BQ2553" s="4"/>
      <c r="BR2553" s="4"/>
      <c r="BS2553" s="4"/>
      <c r="BT2553" s="4"/>
      <c r="BU2553" s="4"/>
    </row>
    <row r="2554" spans="29:73" s="1" customFormat="1" x14ac:dyDescent="0.25">
      <c r="AC2554" s="4"/>
      <c r="AD2554" s="4"/>
      <c r="AE2554" s="4"/>
      <c r="AF2554" s="4"/>
      <c r="AG2554" s="4"/>
      <c r="AH2554" s="4"/>
      <c r="AI2554" s="4"/>
      <c r="AJ2554" s="4"/>
      <c r="AK2554" s="4"/>
      <c r="AL2554" s="4"/>
      <c r="AM2554" s="4"/>
      <c r="AN2554" s="4"/>
      <c r="AO2554" s="4"/>
      <c r="AP2554" s="4"/>
      <c r="AQ2554" s="4"/>
      <c r="AR2554" s="4"/>
      <c r="AS2554" s="4"/>
      <c r="AT2554" s="4"/>
      <c r="AU2554" s="4"/>
      <c r="AV2554" s="4"/>
      <c r="AW2554" s="4"/>
      <c r="AX2554" s="4"/>
      <c r="AY2554" s="4"/>
      <c r="AZ2554" s="4"/>
      <c r="BA2554" s="4"/>
      <c r="BB2554" s="4"/>
      <c r="BC2554" s="4"/>
      <c r="BD2554" s="4"/>
      <c r="BE2554" s="4"/>
      <c r="BF2554" s="4"/>
      <c r="BG2554" s="4"/>
      <c r="BH2554" s="4"/>
      <c r="BI2554" s="4"/>
      <c r="BJ2554" s="4"/>
      <c r="BK2554" s="4"/>
      <c r="BL2554" s="4"/>
      <c r="BM2554" s="4"/>
      <c r="BN2554" s="4"/>
      <c r="BO2554" s="4"/>
      <c r="BP2554" s="4"/>
      <c r="BQ2554" s="4"/>
      <c r="BR2554" s="4"/>
      <c r="BS2554" s="4"/>
      <c r="BT2554" s="4"/>
      <c r="BU2554" s="4"/>
    </row>
    <row r="2555" spans="29:73" s="1" customFormat="1" x14ac:dyDescent="0.25">
      <c r="AC2555" s="4"/>
      <c r="AD2555" s="4"/>
      <c r="AE2555" s="4"/>
      <c r="AF2555" s="4"/>
      <c r="AG2555" s="4"/>
      <c r="AH2555" s="4"/>
      <c r="AI2555" s="4"/>
      <c r="AJ2555" s="4"/>
      <c r="AK2555" s="4"/>
      <c r="AL2555" s="4"/>
      <c r="AM2555" s="4"/>
      <c r="AN2555" s="4"/>
      <c r="AO2555" s="4"/>
      <c r="AP2555" s="4"/>
      <c r="AQ2555" s="4"/>
      <c r="AR2555" s="4"/>
      <c r="AS2555" s="4"/>
      <c r="AT2555" s="4"/>
      <c r="AU2555" s="4"/>
      <c r="AV2555" s="4"/>
      <c r="AW2555" s="4"/>
      <c r="AX2555" s="4"/>
      <c r="AY2555" s="4"/>
      <c r="AZ2555" s="4"/>
      <c r="BA2555" s="4"/>
      <c r="BB2555" s="4"/>
      <c r="BC2555" s="4"/>
      <c r="BD2555" s="4"/>
      <c r="BE2555" s="4"/>
      <c r="BF2555" s="4"/>
      <c r="BG2555" s="4"/>
      <c r="BH2555" s="4"/>
      <c r="BI2555" s="4"/>
      <c r="BJ2555" s="4"/>
      <c r="BK2555" s="4"/>
      <c r="BL2555" s="4"/>
      <c r="BM2555" s="4"/>
      <c r="BN2555" s="4"/>
      <c r="BO2555" s="4"/>
      <c r="BP2555" s="4"/>
      <c r="BQ2555" s="4"/>
      <c r="BR2555" s="4"/>
      <c r="BS2555" s="4"/>
      <c r="BT2555" s="4"/>
      <c r="BU2555" s="4"/>
    </row>
    <row r="2556" spans="29:73" s="1" customFormat="1" x14ac:dyDescent="0.25">
      <c r="AC2556" s="4"/>
      <c r="AD2556" s="4"/>
      <c r="AE2556" s="4"/>
      <c r="AF2556" s="4"/>
      <c r="AG2556" s="4"/>
      <c r="AH2556" s="4"/>
      <c r="AI2556" s="4"/>
      <c r="AJ2556" s="4"/>
      <c r="AK2556" s="4"/>
      <c r="AL2556" s="4"/>
      <c r="AM2556" s="4"/>
      <c r="AN2556" s="4"/>
      <c r="AO2556" s="4"/>
      <c r="AP2556" s="4"/>
      <c r="AQ2556" s="4"/>
      <c r="AR2556" s="4"/>
      <c r="AS2556" s="4"/>
      <c r="AT2556" s="4"/>
      <c r="AU2556" s="4"/>
      <c r="AV2556" s="4"/>
      <c r="AW2556" s="4"/>
      <c r="AX2556" s="4"/>
      <c r="AY2556" s="4"/>
      <c r="AZ2556" s="4"/>
      <c r="BA2556" s="4"/>
      <c r="BB2556" s="4"/>
      <c r="BC2556" s="4"/>
      <c r="BD2556" s="4"/>
      <c r="BE2556" s="4"/>
      <c r="BF2556" s="4"/>
      <c r="BG2556" s="4"/>
      <c r="BH2556" s="4"/>
      <c r="BI2556" s="4"/>
      <c r="BJ2556" s="4"/>
      <c r="BK2556" s="4"/>
      <c r="BL2556" s="4"/>
      <c r="BM2556" s="4"/>
      <c r="BN2556" s="4"/>
      <c r="BO2556" s="4"/>
      <c r="BP2556" s="4"/>
      <c r="BQ2556" s="4"/>
      <c r="BR2556" s="4"/>
      <c r="BS2556" s="4"/>
      <c r="BT2556" s="4"/>
      <c r="BU2556" s="4"/>
    </row>
    <row r="2557" spans="29:73" s="1" customFormat="1" x14ac:dyDescent="0.25">
      <c r="AC2557" s="4"/>
      <c r="AD2557" s="4"/>
      <c r="AE2557" s="4"/>
      <c r="AF2557" s="4"/>
      <c r="AG2557" s="4"/>
      <c r="AH2557" s="4"/>
      <c r="AI2557" s="4"/>
      <c r="AJ2557" s="4"/>
      <c r="AK2557" s="4"/>
      <c r="AL2557" s="4"/>
      <c r="AM2557" s="4"/>
      <c r="AN2557" s="4"/>
      <c r="AO2557" s="4"/>
      <c r="AP2557" s="4"/>
      <c r="AQ2557" s="4"/>
      <c r="AR2557" s="4"/>
      <c r="AS2557" s="4"/>
      <c r="AT2557" s="4"/>
      <c r="AU2557" s="4"/>
      <c r="AV2557" s="4"/>
      <c r="AW2557" s="4"/>
      <c r="AX2557" s="4"/>
      <c r="AY2557" s="4"/>
      <c r="AZ2557" s="4"/>
      <c r="BA2557" s="4"/>
      <c r="BB2557" s="4"/>
      <c r="BC2557" s="4"/>
      <c r="BD2557" s="4"/>
      <c r="BE2557" s="4"/>
      <c r="BF2557" s="4"/>
      <c r="BG2557" s="4"/>
      <c r="BH2557" s="4"/>
      <c r="BI2557" s="4"/>
      <c r="BJ2557" s="4"/>
      <c r="BK2557" s="4"/>
      <c r="BL2557" s="4"/>
      <c r="BM2557" s="4"/>
      <c r="BN2557" s="4"/>
      <c r="BO2557" s="4"/>
      <c r="BP2557" s="4"/>
      <c r="BQ2557" s="4"/>
      <c r="BR2557" s="4"/>
      <c r="BS2557" s="4"/>
      <c r="BT2557" s="4"/>
      <c r="BU2557" s="4"/>
    </row>
    <row r="2558" spans="29:73" s="1" customFormat="1" x14ac:dyDescent="0.25">
      <c r="AC2558" s="4"/>
      <c r="AD2558" s="4"/>
      <c r="AE2558" s="4"/>
      <c r="AF2558" s="4"/>
      <c r="AG2558" s="4"/>
      <c r="AH2558" s="4"/>
      <c r="AI2558" s="4"/>
      <c r="AJ2558" s="4"/>
      <c r="AK2558" s="4"/>
      <c r="AL2558" s="4"/>
      <c r="AM2558" s="4"/>
      <c r="AN2558" s="4"/>
      <c r="AO2558" s="4"/>
      <c r="AP2558" s="4"/>
      <c r="AQ2558" s="4"/>
      <c r="AR2558" s="4"/>
      <c r="AS2558" s="4"/>
      <c r="AT2558" s="4"/>
      <c r="AU2558" s="4"/>
      <c r="AV2558" s="4"/>
      <c r="AW2558" s="4"/>
      <c r="AX2558" s="4"/>
      <c r="AY2558" s="4"/>
      <c r="AZ2558" s="4"/>
      <c r="BA2558" s="4"/>
      <c r="BB2558" s="4"/>
      <c r="BC2558" s="4"/>
      <c r="BD2558" s="4"/>
      <c r="BE2558" s="4"/>
      <c r="BF2558" s="4"/>
      <c r="BG2558" s="4"/>
      <c r="BH2558" s="4"/>
      <c r="BI2558" s="4"/>
      <c r="BJ2558" s="4"/>
      <c r="BK2558" s="4"/>
      <c r="BL2558" s="4"/>
      <c r="BM2558" s="4"/>
      <c r="BN2558" s="4"/>
      <c r="BO2558" s="4"/>
      <c r="BP2558" s="4"/>
      <c r="BQ2558" s="4"/>
      <c r="BR2558" s="4"/>
      <c r="BS2558" s="4"/>
      <c r="BT2558" s="4"/>
      <c r="BU2558" s="4"/>
    </row>
    <row r="2559" spans="29:73" s="1" customFormat="1" x14ac:dyDescent="0.25">
      <c r="AC2559" s="4"/>
      <c r="AD2559" s="4"/>
      <c r="AE2559" s="4"/>
      <c r="AF2559" s="4"/>
      <c r="AG2559" s="4"/>
      <c r="AH2559" s="4"/>
      <c r="AI2559" s="4"/>
      <c r="AJ2559" s="4"/>
      <c r="AK2559" s="4"/>
      <c r="AL2559" s="4"/>
      <c r="AM2559" s="4"/>
      <c r="AN2559" s="4"/>
      <c r="AO2559" s="4"/>
      <c r="AP2559" s="4"/>
      <c r="AQ2559" s="4"/>
      <c r="AR2559" s="4"/>
      <c r="AS2559" s="4"/>
      <c r="AT2559" s="4"/>
      <c r="AU2559" s="4"/>
      <c r="AV2559" s="4"/>
      <c r="AW2559" s="4"/>
      <c r="AX2559" s="4"/>
      <c r="AY2559" s="4"/>
      <c r="AZ2559" s="4"/>
      <c r="BA2559" s="4"/>
      <c r="BB2559" s="4"/>
      <c r="BC2559" s="4"/>
      <c r="BD2559" s="4"/>
      <c r="BE2559" s="4"/>
      <c r="BF2559" s="4"/>
      <c r="BG2559" s="4"/>
      <c r="BH2559" s="4"/>
      <c r="BI2559" s="4"/>
      <c r="BJ2559" s="4"/>
      <c r="BK2559" s="4"/>
      <c r="BL2559" s="4"/>
      <c r="BM2559" s="4"/>
      <c r="BN2559" s="4"/>
      <c r="BO2559" s="4"/>
      <c r="BP2559" s="4"/>
      <c r="BQ2559" s="4"/>
      <c r="BR2559" s="4"/>
      <c r="BS2559" s="4"/>
      <c r="BT2559" s="4"/>
      <c r="BU2559" s="4"/>
    </row>
    <row r="2560" spans="29:73" s="1" customFormat="1" x14ac:dyDescent="0.25">
      <c r="AC2560" s="4"/>
      <c r="AD2560" s="4"/>
      <c r="AE2560" s="4"/>
      <c r="AF2560" s="4"/>
      <c r="AG2560" s="4"/>
      <c r="AH2560" s="4"/>
      <c r="AI2560" s="4"/>
      <c r="AJ2560" s="4"/>
      <c r="AK2560" s="4"/>
      <c r="AL2560" s="4"/>
      <c r="AM2560" s="4"/>
      <c r="AN2560" s="4"/>
      <c r="AO2560" s="4"/>
      <c r="AP2560" s="4"/>
      <c r="AQ2560" s="4"/>
      <c r="AR2560" s="4"/>
      <c r="AS2560" s="4"/>
      <c r="AT2560" s="4"/>
      <c r="AU2560" s="4"/>
      <c r="AV2560" s="4"/>
      <c r="AW2560" s="4"/>
      <c r="AX2560" s="4"/>
      <c r="AY2560" s="4"/>
      <c r="AZ2560" s="4"/>
      <c r="BA2560" s="4"/>
      <c r="BB2560" s="4"/>
      <c r="BC2560" s="4"/>
      <c r="BD2560" s="4"/>
      <c r="BE2560" s="4"/>
      <c r="BF2560" s="4"/>
      <c r="BG2560" s="4"/>
      <c r="BH2560" s="4"/>
      <c r="BI2560" s="4"/>
      <c r="BJ2560" s="4"/>
      <c r="BK2560" s="4"/>
      <c r="BL2560" s="4"/>
      <c r="BM2560" s="4"/>
      <c r="BN2560" s="4"/>
      <c r="BO2560" s="4"/>
      <c r="BP2560" s="4"/>
      <c r="BQ2560" s="4"/>
      <c r="BR2560" s="4"/>
      <c r="BS2560" s="4"/>
      <c r="BT2560" s="4"/>
      <c r="BU2560" s="4"/>
    </row>
    <row r="2561" spans="29:73" s="1" customFormat="1" x14ac:dyDescent="0.25">
      <c r="AC2561" s="4"/>
      <c r="AD2561" s="4"/>
      <c r="AE2561" s="4"/>
      <c r="AF2561" s="4"/>
      <c r="AG2561" s="4"/>
      <c r="AH2561" s="4"/>
      <c r="AI2561" s="4"/>
      <c r="AJ2561" s="4"/>
      <c r="AK2561" s="4"/>
      <c r="AL2561" s="4"/>
      <c r="AM2561" s="4"/>
      <c r="AN2561" s="4"/>
      <c r="AO2561" s="4"/>
      <c r="AP2561" s="4"/>
      <c r="AQ2561" s="4"/>
      <c r="AR2561" s="4"/>
      <c r="AS2561" s="4"/>
      <c r="AT2561" s="4"/>
      <c r="AU2561" s="4"/>
      <c r="AV2561" s="4"/>
      <c r="AW2561" s="4"/>
      <c r="AX2561" s="4"/>
      <c r="AY2561" s="4"/>
      <c r="AZ2561" s="4"/>
      <c r="BA2561" s="4"/>
      <c r="BB2561" s="4"/>
      <c r="BC2561" s="4"/>
      <c r="BD2561" s="4"/>
      <c r="BE2561" s="4"/>
      <c r="BF2561" s="4"/>
      <c r="BG2561" s="4"/>
      <c r="BH2561" s="4"/>
      <c r="BI2561" s="4"/>
      <c r="BJ2561" s="4"/>
      <c r="BK2561" s="4"/>
      <c r="BL2561" s="4"/>
      <c r="BM2561" s="4"/>
      <c r="BN2561" s="4"/>
      <c r="BO2561" s="4"/>
      <c r="BP2561" s="4"/>
      <c r="BQ2561" s="4"/>
      <c r="BR2561" s="4"/>
      <c r="BS2561" s="4"/>
      <c r="BT2561" s="4"/>
      <c r="BU2561" s="4"/>
    </row>
    <row r="2562" spans="29:73" s="1" customFormat="1" x14ac:dyDescent="0.25">
      <c r="AC2562" s="4"/>
      <c r="AD2562" s="4"/>
      <c r="AE2562" s="4"/>
      <c r="AF2562" s="4"/>
      <c r="AG2562" s="4"/>
      <c r="AH2562" s="4"/>
      <c r="AI2562" s="4"/>
      <c r="AJ2562" s="4"/>
      <c r="AK2562" s="4"/>
      <c r="AL2562" s="4"/>
      <c r="AM2562" s="4"/>
      <c r="AN2562" s="4"/>
      <c r="AO2562" s="4"/>
      <c r="AP2562" s="4"/>
      <c r="AQ2562" s="4"/>
      <c r="AR2562" s="4"/>
      <c r="AS2562" s="4"/>
      <c r="AT2562" s="4"/>
      <c r="AU2562" s="4"/>
      <c r="AV2562" s="4"/>
      <c r="AW2562" s="4"/>
      <c r="AX2562" s="4"/>
      <c r="AY2562" s="4"/>
      <c r="AZ2562" s="4"/>
      <c r="BA2562" s="4"/>
      <c r="BB2562" s="4"/>
      <c r="BC2562" s="4"/>
      <c r="BD2562" s="4"/>
      <c r="BE2562" s="4"/>
      <c r="BF2562" s="4"/>
      <c r="BG2562" s="4"/>
      <c r="BH2562" s="4"/>
      <c r="BI2562" s="4"/>
      <c r="BJ2562" s="4"/>
      <c r="BK2562" s="4"/>
      <c r="BL2562" s="4"/>
      <c r="BM2562" s="4"/>
      <c r="BN2562" s="4"/>
      <c r="BO2562" s="4"/>
      <c r="BP2562" s="4"/>
      <c r="BQ2562" s="4"/>
      <c r="BR2562" s="4"/>
      <c r="BS2562" s="4"/>
      <c r="BT2562" s="4"/>
      <c r="BU2562" s="4"/>
    </row>
    <row r="2563" spans="29:73" s="1" customFormat="1" x14ac:dyDescent="0.25">
      <c r="AC2563" s="4"/>
      <c r="AD2563" s="4"/>
      <c r="AE2563" s="4"/>
      <c r="AF2563" s="4"/>
      <c r="AG2563" s="4"/>
      <c r="AH2563" s="4"/>
      <c r="AI2563" s="4"/>
      <c r="AJ2563" s="4"/>
      <c r="AK2563" s="4"/>
      <c r="AL2563" s="4"/>
      <c r="AM2563" s="4"/>
      <c r="AN2563" s="4"/>
      <c r="AO2563" s="4"/>
      <c r="AP2563" s="4"/>
      <c r="AQ2563" s="4"/>
      <c r="AR2563" s="4"/>
      <c r="AS2563" s="4"/>
      <c r="AT2563" s="4"/>
      <c r="AU2563" s="4"/>
      <c r="AV2563" s="4"/>
      <c r="AW2563" s="4"/>
      <c r="AX2563" s="4"/>
      <c r="AY2563" s="4"/>
      <c r="AZ2563" s="4"/>
      <c r="BA2563" s="4"/>
      <c r="BB2563" s="4"/>
      <c r="BC2563" s="4"/>
      <c r="BD2563" s="4"/>
      <c r="BE2563" s="4"/>
      <c r="BF2563" s="4"/>
      <c r="BG2563" s="4"/>
      <c r="BH2563" s="4"/>
      <c r="BI2563" s="4"/>
      <c r="BJ2563" s="4"/>
      <c r="BK2563" s="4"/>
      <c r="BL2563" s="4"/>
      <c r="BM2563" s="4"/>
      <c r="BN2563" s="4"/>
      <c r="BO2563" s="4"/>
      <c r="BP2563" s="4"/>
      <c r="BQ2563" s="4"/>
      <c r="BR2563" s="4"/>
      <c r="BS2563" s="4"/>
      <c r="BT2563" s="4"/>
      <c r="BU2563" s="4"/>
    </row>
    <row r="2564" spans="29:73" s="1" customFormat="1" x14ac:dyDescent="0.25">
      <c r="AC2564" s="4"/>
      <c r="AD2564" s="4"/>
      <c r="AE2564" s="4"/>
      <c r="AF2564" s="4"/>
      <c r="AG2564" s="4"/>
      <c r="AH2564" s="4"/>
      <c r="AI2564" s="4"/>
      <c r="AJ2564" s="4"/>
      <c r="AK2564" s="4"/>
      <c r="AL2564" s="4"/>
      <c r="AM2564" s="4"/>
      <c r="AN2564" s="4"/>
      <c r="AO2564" s="4"/>
      <c r="AP2564" s="4"/>
      <c r="AQ2564" s="4"/>
      <c r="AR2564" s="4"/>
      <c r="AS2564" s="4"/>
      <c r="AT2564" s="4"/>
      <c r="AU2564" s="4"/>
      <c r="AV2564" s="4"/>
      <c r="AW2564" s="4"/>
      <c r="AX2564" s="4"/>
      <c r="AY2564" s="4"/>
      <c r="AZ2564" s="4"/>
      <c r="BA2564" s="4"/>
      <c r="BB2564" s="4"/>
      <c r="BC2564" s="4"/>
      <c r="BD2564" s="4"/>
      <c r="BE2564" s="4"/>
      <c r="BF2564" s="4"/>
      <c r="BG2564" s="4"/>
      <c r="BH2564" s="4"/>
      <c r="BI2564" s="4"/>
      <c r="BJ2564" s="4"/>
      <c r="BK2564" s="4"/>
      <c r="BL2564" s="4"/>
      <c r="BM2564" s="4"/>
      <c r="BN2564" s="4"/>
      <c r="BO2564" s="4"/>
      <c r="BP2564" s="4"/>
      <c r="BQ2564" s="4"/>
      <c r="BR2564" s="4"/>
      <c r="BS2564" s="4"/>
      <c r="BT2564" s="4"/>
      <c r="BU2564" s="4"/>
    </row>
    <row r="2565" spans="29:73" s="1" customFormat="1" x14ac:dyDescent="0.25">
      <c r="AC2565" s="4"/>
      <c r="AD2565" s="4"/>
      <c r="AE2565" s="4"/>
      <c r="AF2565" s="4"/>
      <c r="AG2565" s="4"/>
      <c r="AH2565" s="4"/>
      <c r="AI2565" s="4"/>
      <c r="AJ2565" s="4"/>
      <c r="AK2565" s="4"/>
      <c r="AL2565" s="4"/>
      <c r="AM2565" s="4"/>
      <c r="AN2565" s="4"/>
      <c r="AO2565" s="4"/>
      <c r="AP2565" s="4"/>
      <c r="AQ2565" s="4"/>
      <c r="AR2565" s="4"/>
      <c r="AS2565" s="4"/>
      <c r="AT2565" s="4"/>
      <c r="AU2565" s="4"/>
      <c r="AV2565" s="4"/>
      <c r="AW2565" s="4"/>
      <c r="AX2565" s="4"/>
      <c r="AY2565" s="4"/>
      <c r="AZ2565" s="4"/>
      <c r="BA2565" s="4"/>
      <c r="BB2565" s="4"/>
      <c r="BC2565" s="4"/>
      <c r="BD2565" s="4"/>
      <c r="BE2565" s="4"/>
      <c r="BF2565" s="4"/>
      <c r="BG2565" s="4"/>
      <c r="BH2565" s="4"/>
      <c r="BI2565" s="4"/>
      <c r="BJ2565" s="4"/>
      <c r="BK2565" s="4"/>
      <c r="BL2565" s="4"/>
      <c r="BM2565" s="4"/>
      <c r="BN2565" s="4"/>
      <c r="BO2565" s="4"/>
      <c r="BP2565" s="4"/>
      <c r="BQ2565" s="4"/>
      <c r="BR2565" s="4"/>
      <c r="BS2565" s="4"/>
      <c r="BT2565" s="4"/>
      <c r="BU2565" s="4"/>
    </row>
    <row r="2566" spans="29:73" s="1" customFormat="1" x14ac:dyDescent="0.25">
      <c r="AC2566" s="4"/>
      <c r="AD2566" s="4"/>
      <c r="AE2566" s="4"/>
      <c r="AF2566" s="4"/>
      <c r="AG2566" s="4"/>
      <c r="AH2566" s="4"/>
      <c r="AI2566" s="4"/>
      <c r="AJ2566" s="4"/>
      <c r="AK2566" s="4"/>
      <c r="AL2566" s="4"/>
      <c r="AM2566" s="4"/>
      <c r="AN2566" s="4"/>
      <c r="AO2566" s="4"/>
      <c r="AP2566" s="4"/>
      <c r="AQ2566" s="4"/>
      <c r="AR2566" s="4"/>
      <c r="AS2566" s="4"/>
      <c r="AT2566" s="4"/>
      <c r="AU2566" s="4"/>
      <c r="AV2566" s="4"/>
      <c r="AW2566" s="4"/>
      <c r="AX2566" s="4"/>
      <c r="AY2566" s="4"/>
      <c r="AZ2566" s="4"/>
      <c r="BA2566" s="4"/>
      <c r="BB2566" s="4"/>
      <c r="BC2566" s="4"/>
      <c r="BD2566" s="4"/>
      <c r="BE2566" s="4"/>
      <c r="BF2566" s="4"/>
      <c r="BG2566" s="4"/>
      <c r="BH2566" s="4"/>
      <c r="BI2566" s="4"/>
      <c r="BJ2566" s="4"/>
      <c r="BK2566" s="4"/>
      <c r="BL2566" s="4"/>
      <c r="BM2566" s="4"/>
      <c r="BN2566" s="4"/>
      <c r="BO2566" s="4"/>
      <c r="BP2566" s="4"/>
      <c r="BQ2566" s="4"/>
      <c r="BR2566" s="4"/>
      <c r="BS2566" s="4"/>
      <c r="BT2566" s="4"/>
      <c r="BU2566" s="4"/>
    </row>
    <row r="2567" spans="29:73" s="1" customFormat="1" x14ac:dyDescent="0.25">
      <c r="AC2567" s="4"/>
      <c r="AD2567" s="4"/>
      <c r="AE2567" s="4"/>
      <c r="AF2567" s="4"/>
      <c r="AG2567" s="4"/>
      <c r="AH2567" s="4"/>
      <c r="AI2567" s="4"/>
      <c r="AJ2567" s="4"/>
      <c r="AK2567" s="4"/>
      <c r="AL2567" s="4"/>
      <c r="AM2567" s="4"/>
      <c r="AN2567" s="4"/>
      <c r="AO2567" s="4"/>
      <c r="AP2567" s="4"/>
      <c r="AQ2567" s="4"/>
      <c r="AR2567" s="4"/>
      <c r="AS2567" s="4"/>
      <c r="AT2567" s="4"/>
      <c r="AU2567" s="4"/>
      <c r="AV2567" s="4"/>
      <c r="AW2567" s="4"/>
      <c r="AX2567" s="4"/>
      <c r="AY2567" s="4"/>
      <c r="AZ2567" s="4"/>
      <c r="BA2567" s="4"/>
      <c r="BB2567" s="4"/>
      <c r="BC2567" s="4"/>
      <c r="BD2567" s="4"/>
      <c r="BE2567" s="4"/>
      <c r="BF2567" s="4"/>
      <c r="BG2567" s="4"/>
      <c r="BH2567" s="4"/>
      <c r="BI2567" s="4"/>
      <c r="BJ2567" s="4"/>
      <c r="BK2567" s="4"/>
      <c r="BL2567" s="4"/>
      <c r="BM2567" s="4"/>
      <c r="BN2567" s="4"/>
      <c r="BO2567" s="4"/>
      <c r="BP2567" s="4"/>
      <c r="BQ2567" s="4"/>
      <c r="BR2567" s="4"/>
      <c r="BS2567" s="4"/>
      <c r="BT2567" s="4"/>
      <c r="BU2567" s="4"/>
    </row>
    <row r="2568" spans="29:73" s="1" customFormat="1" x14ac:dyDescent="0.25">
      <c r="AC2568" s="4"/>
      <c r="AD2568" s="4"/>
      <c r="AE2568" s="4"/>
      <c r="AF2568" s="4"/>
      <c r="AG2568" s="4"/>
      <c r="AH2568" s="4"/>
      <c r="AI2568" s="4"/>
      <c r="AJ2568" s="4"/>
      <c r="AK2568" s="4"/>
      <c r="AL2568" s="4"/>
      <c r="AM2568" s="4"/>
      <c r="AN2568" s="4"/>
      <c r="AO2568" s="4"/>
      <c r="AP2568" s="4"/>
      <c r="AQ2568" s="4"/>
      <c r="AR2568" s="4"/>
      <c r="AS2568" s="4"/>
      <c r="AT2568" s="4"/>
      <c r="AU2568" s="4"/>
      <c r="AV2568" s="4"/>
      <c r="AW2568" s="4"/>
      <c r="AX2568" s="4"/>
      <c r="AY2568" s="4"/>
      <c r="AZ2568" s="4"/>
      <c r="BA2568" s="4"/>
      <c r="BB2568" s="4"/>
      <c r="BC2568" s="4"/>
      <c r="BD2568" s="4"/>
      <c r="BE2568" s="4"/>
      <c r="BF2568" s="4"/>
      <c r="BG2568" s="4"/>
      <c r="BH2568" s="4"/>
      <c r="BI2568" s="4"/>
      <c r="BJ2568" s="4"/>
      <c r="BK2568" s="4"/>
      <c r="BL2568" s="4"/>
      <c r="BM2568" s="4"/>
      <c r="BN2568" s="4"/>
      <c r="BO2568" s="4"/>
      <c r="BP2568" s="4"/>
      <c r="BQ2568" s="4"/>
      <c r="BR2568" s="4"/>
      <c r="BS2568" s="4"/>
      <c r="BT2568" s="4"/>
      <c r="BU2568" s="4"/>
    </row>
    <row r="2569" spans="29:73" s="1" customFormat="1" x14ac:dyDescent="0.25">
      <c r="AC2569" s="4"/>
      <c r="AD2569" s="4"/>
      <c r="AE2569" s="4"/>
      <c r="AF2569" s="4"/>
      <c r="AG2569" s="4"/>
      <c r="AH2569" s="4"/>
      <c r="AI2569" s="4"/>
      <c r="AJ2569" s="4"/>
      <c r="AK2569" s="4"/>
      <c r="AL2569" s="4"/>
      <c r="AM2569" s="4"/>
      <c r="AN2569" s="4"/>
      <c r="AO2569" s="4"/>
      <c r="AP2569" s="4"/>
      <c r="AQ2569" s="4"/>
      <c r="AR2569" s="4"/>
      <c r="AS2569" s="4"/>
      <c r="AT2569" s="4"/>
      <c r="AU2569" s="4"/>
      <c r="AV2569" s="4"/>
      <c r="AW2569" s="4"/>
      <c r="AX2569" s="4"/>
      <c r="AY2569" s="4"/>
      <c r="AZ2569" s="4"/>
      <c r="BA2569" s="4"/>
      <c r="BB2569" s="4"/>
      <c r="BC2569" s="4"/>
      <c r="BD2569" s="4"/>
      <c r="BE2569" s="4"/>
      <c r="BF2569" s="4"/>
      <c r="BG2569" s="4"/>
      <c r="BH2569" s="4"/>
      <c r="BI2569" s="4"/>
      <c r="BJ2569" s="4"/>
      <c r="BK2569" s="4"/>
      <c r="BL2569" s="4"/>
      <c r="BM2569" s="4"/>
      <c r="BN2569" s="4"/>
      <c r="BO2569" s="4"/>
      <c r="BP2569" s="4"/>
      <c r="BQ2569" s="4"/>
      <c r="BR2569" s="4"/>
      <c r="BS2569" s="4"/>
      <c r="BT2569" s="4"/>
      <c r="BU2569" s="4"/>
    </row>
    <row r="2570" spans="29:73" s="1" customFormat="1" x14ac:dyDescent="0.25">
      <c r="AC2570" s="4"/>
      <c r="AD2570" s="4"/>
      <c r="AE2570" s="4"/>
      <c r="AF2570" s="4"/>
      <c r="AG2570" s="4"/>
      <c r="AH2570" s="4"/>
      <c r="AI2570" s="4"/>
      <c r="AJ2570" s="4"/>
      <c r="AK2570" s="4"/>
      <c r="AL2570" s="4"/>
      <c r="AM2570" s="4"/>
      <c r="AN2570" s="4"/>
      <c r="AO2570" s="4"/>
      <c r="AP2570" s="4"/>
      <c r="AQ2570" s="4"/>
      <c r="AR2570" s="4"/>
      <c r="AS2570" s="4"/>
      <c r="AT2570" s="4"/>
      <c r="AU2570" s="4"/>
      <c r="AV2570" s="4"/>
      <c r="AW2570" s="4"/>
      <c r="AX2570" s="4"/>
      <c r="AY2570" s="4"/>
      <c r="AZ2570" s="4"/>
      <c r="BA2570" s="4"/>
      <c r="BB2570" s="4"/>
      <c r="BC2570" s="4"/>
      <c r="BD2570" s="4"/>
      <c r="BE2570" s="4"/>
      <c r="BF2570" s="4"/>
      <c r="BG2570" s="4"/>
      <c r="BH2570" s="4"/>
      <c r="BI2570" s="4"/>
      <c r="BJ2570" s="4"/>
      <c r="BK2570" s="4"/>
      <c r="BL2570" s="4"/>
      <c r="BM2570" s="4"/>
      <c r="BN2570" s="4"/>
      <c r="BO2570" s="4"/>
      <c r="BP2570" s="4"/>
      <c r="BQ2570" s="4"/>
      <c r="BR2570" s="4"/>
      <c r="BS2570" s="4"/>
      <c r="BT2570" s="4"/>
      <c r="BU2570" s="4"/>
    </row>
    <row r="2571" spans="29:73" s="1" customFormat="1" x14ac:dyDescent="0.25">
      <c r="AC2571" s="4"/>
      <c r="AD2571" s="4"/>
      <c r="AE2571" s="4"/>
      <c r="AF2571" s="4"/>
      <c r="AG2571" s="4"/>
      <c r="AH2571" s="4"/>
      <c r="AI2571" s="4"/>
      <c r="AJ2571" s="4"/>
      <c r="AK2571" s="4"/>
      <c r="AL2571" s="4"/>
      <c r="AM2571" s="4"/>
      <c r="AN2571" s="4"/>
      <c r="AO2571" s="4"/>
      <c r="AP2571" s="4"/>
      <c r="AQ2571" s="4"/>
      <c r="AR2571" s="4"/>
      <c r="AS2571" s="4"/>
      <c r="AT2571" s="4"/>
      <c r="AU2571" s="4"/>
      <c r="AV2571" s="4"/>
      <c r="AW2571" s="4"/>
      <c r="AX2571" s="4"/>
      <c r="AY2571" s="4"/>
      <c r="AZ2571" s="4"/>
      <c r="BA2571" s="4"/>
      <c r="BB2571" s="4"/>
      <c r="BC2571" s="4"/>
      <c r="BD2571" s="4"/>
      <c r="BE2571" s="4"/>
      <c r="BF2571" s="4"/>
      <c r="BG2571" s="4"/>
      <c r="BH2571" s="4"/>
      <c r="BI2571" s="4"/>
      <c r="BJ2571" s="4"/>
      <c r="BK2571" s="4"/>
      <c r="BL2571" s="4"/>
      <c r="BM2571" s="4"/>
      <c r="BN2571" s="4"/>
      <c r="BO2571" s="4"/>
      <c r="BP2571" s="4"/>
      <c r="BQ2571" s="4"/>
      <c r="BR2571" s="4"/>
      <c r="BS2571" s="4"/>
      <c r="BT2571" s="4"/>
      <c r="BU2571" s="4"/>
    </row>
    <row r="2572" spans="29:73" s="1" customFormat="1" x14ac:dyDescent="0.25">
      <c r="AC2572" s="4"/>
      <c r="AD2572" s="4"/>
      <c r="AE2572" s="4"/>
      <c r="AF2572" s="4"/>
      <c r="AG2572" s="4"/>
      <c r="AH2572" s="4"/>
      <c r="AI2572" s="4"/>
      <c r="AJ2572" s="4"/>
      <c r="AK2572" s="4"/>
      <c r="AL2572" s="4"/>
      <c r="AM2572" s="4"/>
      <c r="AN2572" s="4"/>
      <c r="AO2572" s="4"/>
      <c r="AP2572" s="4"/>
      <c r="AQ2572" s="4"/>
      <c r="AR2572" s="4"/>
      <c r="AS2572" s="4"/>
      <c r="AT2572" s="4"/>
      <c r="AU2572" s="4"/>
      <c r="AV2572" s="4"/>
      <c r="AW2572" s="4"/>
      <c r="AX2572" s="4"/>
      <c r="AY2572" s="4"/>
      <c r="AZ2572" s="4"/>
      <c r="BA2572" s="4"/>
      <c r="BB2572" s="4"/>
      <c r="BC2572" s="4"/>
      <c r="BD2572" s="4"/>
      <c r="BE2572" s="4"/>
      <c r="BF2572" s="4"/>
      <c r="BG2572" s="4"/>
      <c r="BH2572" s="4"/>
      <c r="BI2572" s="4"/>
      <c r="BJ2572" s="4"/>
      <c r="BK2572" s="4"/>
      <c r="BL2572" s="4"/>
      <c r="BM2572" s="4"/>
      <c r="BN2572" s="4"/>
      <c r="BO2572" s="4"/>
      <c r="BP2572" s="4"/>
      <c r="BQ2572" s="4"/>
      <c r="BR2572" s="4"/>
      <c r="BS2572" s="4"/>
      <c r="BT2572" s="4"/>
      <c r="BU2572" s="4"/>
    </row>
    <row r="2573" spans="29:73" s="1" customFormat="1" x14ac:dyDescent="0.25">
      <c r="AC2573" s="4"/>
      <c r="AD2573" s="4"/>
      <c r="AE2573" s="4"/>
      <c r="AF2573" s="4"/>
      <c r="AG2573" s="4"/>
      <c r="AH2573" s="4"/>
      <c r="AI2573" s="4"/>
      <c r="AJ2573" s="4"/>
      <c r="AK2573" s="4"/>
      <c r="AL2573" s="4"/>
      <c r="AM2573" s="4"/>
      <c r="AN2573" s="4"/>
      <c r="AO2573" s="4"/>
      <c r="AP2573" s="4"/>
      <c r="AQ2573" s="4"/>
      <c r="AR2573" s="4"/>
      <c r="AS2573" s="4"/>
      <c r="AT2573" s="4"/>
      <c r="AU2573" s="4"/>
      <c r="AV2573" s="4"/>
      <c r="AW2573" s="4"/>
      <c r="AX2573" s="4"/>
      <c r="AY2573" s="4"/>
      <c r="AZ2573" s="4"/>
      <c r="BA2573" s="4"/>
      <c r="BB2573" s="4"/>
      <c r="BC2573" s="4"/>
      <c r="BD2573" s="4"/>
      <c r="BE2573" s="4"/>
      <c r="BF2573" s="4"/>
      <c r="BG2573" s="4"/>
      <c r="BH2573" s="4"/>
      <c r="BI2573" s="4"/>
      <c r="BJ2573" s="4"/>
      <c r="BK2573" s="4"/>
      <c r="BL2573" s="4"/>
      <c r="BM2573" s="4"/>
      <c r="BN2573" s="4"/>
      <c r="BO2573" s="4"/>
      <c r="BP2573" s="4"/>
      <c r="BQ2573" s="4"/>
      <c r="BR2573" s="4"/>
      <c r="BS2573" s="4"/>
      <c r="BT2573" s="4"/>
      <c r="BU2573" s="4"/>
    </row>
    <row r="2574" spans="29:73" s="1" customFormat="1" x14ac:dyDescent="0.25">
      <c r="AC2574" s="4"/>
      <c r="AD2574" s="4"/>
      <c r="AE2574" s="4"/>
      <c r="AF2574" s="4"/>
      <c r="AG2574" s="4"/>
      <c r="AH2574" s="4"/>
      <c r="AI2574" s="4"/>
      <c r="AJ2574" s="4"/>
      <c r="AK2574" s="4"/>
      <c r="AL2574" s="4"/>
      <c r="AM2574" s="4"/>
      <c r="AN2574" s="4"/>
      <c r="AO2574" s="4"/>
      <c r="AP2574" s="4"/>
      <c r="AQ2574" s="4"/>
      <c r="AR2574" s="4"/>
      <c r="AS2574" s="4"/>
      <c r="AT2574" s="4"/>
      <c r="AU2574" s="4"/>
      <c r="AV2574" s="4"/>
      <c r="AW2574" s="4"/>
      <c r="AX2574" s="4"/>
      <c r="AY2574" s="4"/>
      <c r="AZ2574" s="4"/>
      <c r="BA2574" s="4"/>
      <c r="BB2574" s="4"/>
      <c r="BC2574" s="4"/>
      <c r="BD2574" s="4"/>
      <c r="BE2574" s="4"/>
      <c r="BF2574" s="4"/>
      <c r="BG2574" s="4"/>
      <c r="BH2574" s="4"/>
      <c r="BI2574" s="4"/>
      <c r="BJ2574" s="4"/>
      <c r="BK2574" s="4"/>
      <c r="BL2574" s="4"/>
      <c r="BM2574" s="4"/>
      <c r="BN2574" s="4"/>
      <c r="BO2574" s="4"/>
      <c r="BP2574" s="4"/>
      <c r="BQ2574" s="4"/>
      <c r="BR2574" s="4"/>
      <c r="BS2574" s="4"/>
      <c r="BT2574" s="4"/>
      <c r="BU2574" s="4"/>
    </row>
    <row r="2575" spans="29:73" s="1" customFormat="1" x14ac:dyDescent="0.25">
      <c r="AC2575" s="4"/>
      <c r="AD2575" s="4"/>
      <c r="AE2575" s="4"/>
      <c r="AF2575" s="4"/>
      <c r="AG2575" s="4"/>
      <c r="AH2575" s="4"/>
      <c r="AI2575" s="4"/>
      <c r="AJ2575" s="4"/>
      <c r="AK2575" s="4"/>
      <c r="AL2575" s="4"/>
      <c r="AM2575" s="4"/>
      <c r="AN2575" s="4"/>
      <c r="AO2575" s="4"/>
      <c r="AP2575" s="4"/>
      <c r="AQ2575" s="4"/>
      <c r="AR2575" s="4"/>
      <c r="AS2575" s="4"/>
      <c r="AT2575" s="4"/>
      <c r="AU2575" s="4"/>
      <c r="AV2575" s="4"/>
      <c r="AW2575" s="4"/>
      <c r="AX2575" s="4"/>
      <c r="AY2575" s="4"/>
      <c r="AZ2575" s="4"/>
      <c r="BA2575" s="4"/>
      <c r="BB2575" s="4"/>
      <c r="BC2575" s="4"/>
      <c r="BD2575" s="4"/>
      <c r="BE2575" s="4"/>
      <c r="BF2575" s="4"/>
      <c r="BG2575" s="4"/>
      <c r="BH2575" s="4"/>
      <c r="BI2575" s="4"/>
      <c r="BJ2575" s="4"/>
      <c r="BK2575" s="4"/>
      <c r="BL2575" s="4"/>
      <c r="BM2575" s="4"/>
      <c r="BN2575" s="4"/>
      <c r="BO2575" s="4"/>
      <c r="BP2575" s="4"/>
      <c r="BQ2575" s="4"/>
      <c r="BR2575" s="4"/>
      <c r="BS2575" s="4"/>
      <c r="BT2575" s="4"/>
      <c r="BU2575" s="4"/>
    </row>
    <row r="2576" spans="29:73" s="1" customFormat="1" x14ac:dyDescent="0.25">
      <c r="AC2576" s="4"/>
      <c r="AD2576" s="4"/>
      <c r="AE2576" s="4"/>
      <c r="AF2576" s="4"/>
      <c r="AG2576" s="4"/>
      <c r="AH2576" s="4"/>
      <c r="AI2576" s="4"/>
      <c r="AJ2576" s="4"/>
      <c r="AK2576" s="4"/>
      <c r="AL2576" s="4"/>
      <c r="AM2576" s="4"/>
      <c r="AN2576" s="4"/>
      <c r="AO2576" s="4"/>
      <c r="AP2576" s="4"/>
      <c r="AQ2576" s="4"/>
      <c r="AR2576" s="4"/>
      <c r="AS2576" s="4"/>
      <c r="AT2576" s="4"/>
      <c r="AU2576" s="4"/>
      <c r="AV2576" s="4"/>
      <c r="AW2576" s="4"/>
      <c r="AX2576" s="4"/>
      <c r="AY2576" s="4"/>
      <c r="AZ2576" s="4"/>
      <c r="BA2576" s="4"/>
      <c r="BB2576" s="4"/>
      <c r="BC2576" s="4"/>
      <c r="BD2576" s="4"/>
      <c r="BE2576" s="4"/>
      <c r="BF2576" s="4"/>
      <c r="BG2576" s="4"/>
      <c r="BH2576" s="4"/>
      <c r="BI2576" s="4"/>
      <c r="BJ2576" s="4"/>
      <c r="BK2576" s="4"/>
      <c r="BL2576" s="4"/>
      <c r="BM2576" s="4"/>
      <c r="BN2576" s="4"/>
      <c r="BO2576" s="4"/>
      <c r="BP2576" s="4"/>
      <c r="BQ2576" s="4"/>
      <c r="BR2576" s="4"/>
      <c r="BS2576" s="4"/>
      <c r="BT2576" s="4"/>
      <c r="BU2576" s="4"/>
    </row>
    <row r="2577" spans="29:73" s="1" customFormat="1" x14ac:dyDescent="0.25">
      <c r="AC2577" s="4"/>
      <c r="AD2577" s="4"/>
      <c r="AE2577" s="4"/>
      <c r="AF2577" s="4"/>
      <c r="AG2577" s="4"/>
      <c r="AH2577" s="4"/>
      <c r="AI2577" s="4"/>
      <c r="AJ2577" s="4"/>
      <c r="AK2577" s="4"/>
      <c r="AL2577" s="4"/>
      <c r="AM2577" s="4"/>
      <c r="AN2577" s="4"/>
      <c r="AO2577" s="4"/>
      <c r="AP2577" s="4"/>
      <c r="AQ2577" s="4"/>
      <c r="AR2577" s="4"/>
      <c r="AS2577" s="4"/>
      <c r="AT2577" s="4"/>
      <c r="AU2577" s="4"/>
      <c r="AV2577" s="4"/>
      <c r="AW2577" s="4"/>
      <c r="AX2577" s="4"/>
      <c r="AY2577" s="4"/>
      <c r="AZ2577" s="4"/>
      <c r="BA2577" s="4"/>
      <c r="BB2577" s="4"/>
      <c r="BC2577" s="4"/>
      <c r="BD2577" s="4"/>
      <c r="BE2577" s="4"/>
      <c r="BF2577" s="4"/>
      <c r="BG2577" s="4"/>
      <c r="BH2577" s="4"/>
      <c r="BI2577" s="4"/>
      <c r="BJ2577" s="4"/>
      <c r="BK2577" s="4"/>
      <c r="BL2577" s="4"/>
      <c r="BM2577" s="4"/>
      <c r="BN2577" s="4"/>
      <c r="BO2577" s="4"/>
      <c r="BP2577" s="4"/>
      <c r="BQ2577" s="4"/>
      <c r="BR2577" s="4"/>
      <c r="BS2577" s="4"/>
      <c r="BT2577" s="4"/>
      <c r="BU2577" s="4"/>
    </row>
    <row r="2578" spans="29:73" s="1" customFormat="1" x14ac:dyDescent="0.25">
      <c r="AC2578" s="4"/>
      <c r="AD2578" s="4"/>
      <c r="AE2578" s="4"/>
      <c r="AF2578" s="4"/>
      <c r="AG2578" s="4"/>
      <c r="AH2578" s="4"/>
      <c r="AI2578" s="4"/>
      <c r="AJ2578" s="4"/>
      <c r="AK2578" s="4"/>
      <c r="AL2578" s="4"/>
      <c r="AM2578" s="4"/>
      <c r="AN2578" s="4"/>
      <c r="AO2578" s="4"/>
      <c r="AP2578" s="4"/>
      <c r="AQ2578" s="4"/>
      <c r="AR2578" s="4"/>
      <c r="AS2578" s="4"/>
      <c r="AT2578" s="4"/>
      <c r="AU2578" s="4"/>
      <c r="AV2578" s="4"/>
      <c r="AW2578" s="4"/>
      <c r="AX2578" s="4"/>
      <c r="AY2578" s="4"/>
      <c r="AZ2578" s="4"/>
      <c r="BA2578" s="4"/>
      <c r="BB2578" s="4"/>
      <c r="BC2578" s="4"/>
      <c r="BD2578" s="4"/>
      <c r="BE2578" s="4"/>
      <c r="BF2578" s="4"/>
      <c r="BG2578" s="4"/>
      <c r="BH2578" s="4"/>
      <c r="BI2578" s="4"/>
      <c r="BJ2578" s="4"/>
      <c r="BK2578" s="4"/>
      <c r="BL2578" s="4"/>
      <c r="BM2578" s="4"/>
      <c r="BN2578" s="4"/>
      <c r="BO2578" s="4"/>
      <c r="BP2578" s="4"/>
      <c r="BQ2578" s="4"/>
      <c r="BR2578" s="4"/>
      <c r="BS2578" s="4"/>
      <c r="BT2578" s="4"/>
      <c r="BU2578" s="4"/>
    </row>
    <row r="2579" spans="29:73" s="1" customFormat="1" x14ac:dyDescent="0.25">
      <c r="AC2579" s="4"/>
      <c r="AD2579" s="4"/>
      <c r="AE2579" s="4"/>
      <c r="AF2579" s="4"/>
      <c r="AG2579" s="4"/>
      <c r="AH2579" s="4"/>
      <c r="AI2579" s="4"/>
      <c r="AJ2579" s="4"/>
      <c r="AK2579" s="4"/>
      <c r="AL2579" s="4"/>
      <c r="AM2579" s="4"/>
      <c r="AN2579" s="4"/>
      <c r="AO2579" s="4"/>
      <c r="AP2579" s="4"/>
      <c r="AQ2579" s="4"/>
      <c r="AR2579" s="4"/>
      <c r="AS2579" s="4"/>
      <c r="AT2579" s="4"/>
      <c r="AU2579" s="4"/>
      <c r="AV2579" s="4"/>
      <c r="AW2579" s="4"/>
      <c r="AX2579" s="4"/>
      <c r="AY2579" s="4"/>
      <c r="AZ2579" s="4"/>
      <c r="BA2579" s="4"/>
      <c r="BB2579" s="4"/>
      <c r="BC2579" s="4"/>
      <c r="BD2579" s="4"/>
      <c r="BE2579" s="4"/>
      <c r="BF2579" s="4"/>
      <c r="BG2579" s="4"/>
      <c r="BH2579" s="4"/>
      <c r="BI2579" s="4"/>
      <c r="BJ2579" s="4"/>
      <c r="BK2579" s="4"/>
      <c r="BL2579" s="4"/>
      <c r="BM2579" s="4"/>
      <c r="BN2579" s="4"/>
      <c r="BO2579" s="4"/>
      <c r="BP2579" s="4"/>
      <c r="BQ2579" s="4"/>
      <c r="BR2579" s="4"/>
      <c r="BS2579" s="4"/>
      <c r="BT2579" s="4"/>
      <c r="BU2579" s="4"/>
    </row>
    <row r="2580" spans="29:73" s="1" customFormat="1" x14ac:dyDescent="0.25">
      <c r="AC2580" s="4"/>
      <c r="AD2580" s="4"/>
      <c r="AE2580" s="4"/>
      <c r="AF2580" s="4"/>
      <c r="AG2580" s="4"/>
      <c r="AH2580" s="4"/>
      <c r="AI2580" s="4"/>
      <c r="AJ2580" s="4"/>
      <c r="AK2580" s="4"/>
      <c r="AL2580" s="4"/>
      <c r="AM2580" s="4"/>
      <c r="AN2580" s="4"/>
      <c r="AO2580" s="4"/>
      <c r="AP2580" s="4"/>
      <c r="AQ2580" s="4"/>
      <c r="AR2580" s="4"/>
      <c r="AS2580" s="4"/>
      <c r="AT2580" s="4"/>
      <c r="AU2580" s="4"/>
      <c r="AV2580" s="4"/>
      <c r="AW2580" s="4"/>
      <c r="AX2580" s="4"/>
      <c r="AY2580" s="4"/>
      <c r="AZ2580" s="4"/>
      <c r="BA2580" s="4"/>
      <c r="BB2580" s="4"/>
      <c r="BC2580" s="4"/>
      <c r="BD2580" s="4"/>
      <c r="BE2580" s="4"/>
      <c r="BF2580" s="4"/>
      <c r="BG2580" s="4"/>
      <c r="BH2580" s="4"/>
      <c r="BI2580" s="4"/>
      <c r="BJ2580" s="4"/>
      <c r="BK2580" s="4"/>
      <c r="BL2580" s="4"/>
      <c r="BM2580" s="4"/>
      <c r="BN2580" s="4"/>
      <c r="BO2580" s="4"/>
      <c r="BP2580" s="4"/>
      <c r="BQ2580" s="4"/>
      <c r="BR2580" s="4"/>
      <c r="BS2580" s="4"/>
      <c r="BT2580" s="4"/>
      <c r="BU2580" s="4"/>
    </row>
    <row r="2581" spans="29:73" s="1" customFormat="1" x14ac:dyDescent="0.25">
      <c r="AC2581" s="4"/>
      <c r="AD2581" s="4"/>
      <c r="AE2581" s="4"/>
      <c r="AF2581" s="4"/>
      <c r="AG2581" s="4"/>
      <c r="AH2581" s="4"/>
      <c r="AI2581" s="4"/>
      <c r="AJ2581" s="4"/>
      <c r="AK2581" s="4"/>
      <c r="AL2581" s="4"/>
      <c r="AM2581" s="4"/>
      <c r="AN2581" s="4"/>
      <c r="AO2581" s="4"/>
      <c r="AP2581" s="4"/>
      <c r="AQ2581" s="4"/>
      <c r="AR2581" s="4"/>
      <c r="AS2581" s="4"/>
      <c r="AT2581" s="4"/>
      <c r="AU2581" s="4"/>
      <c r="AV2581" s="4"/>
      <c r="AW2581" s="4"/>
      <c r="AX2581" s="4"/>
      <c r="AY2581" s="4"/>
      <c r="AZ2581" s="4"/>
      <c r="BA2581" s="4"/>
      <c r="BB2581" s="4"/>
      <c r="BC2581" s="4"/>
      <c r="BD2581" s="4"/>
      <c r="BE2581" s="4"/>
      <c r="BF2581" s="4"/>
      <c r="BG2581" s="4"/>
      <c r="BH2581" s="4"/>
      <c r="BI2581" s="4"/>
      <c r="BJ2581" s="4"/>
      <c r="BK2581" s="4"/>
      <c r="BL2581" s="4"/>
      <c r="BM2581" s="4"/>
      <c r="BN2581" s="4"/>
      <c r="BO2581" s="4"/>
      <c r="BP2581" s="4"/>
      <c r="BQ2581" s="4"/>
      <c r="BR2581" s="4"/>
      <c r="BS2581" s="4"/>
      <c r="BT2581" s="4"/>
      <c r="BU2581" s="4"/>
    </row>
    <row r="2582" spans="29:73" s="1" customFormat="1" x14ac:dyDescent="0.25">
      <c r="AC2582" s="4"/>
      <c r="AD2582" s="4"/>
      <c r="AE2582" s="4"/>
      <c r="AF2582" s="4"/>
      <c r="AG2582" s="4"/>
      <c r="AH2582" s="4"/>
      <c r="AI2582" s="4"/>
      <c r="AJ2582" s="4"/>
      <c r="AK2582" s="4"/>
      <c r="AL2582" s="4"/>
      <c r="AM2582" s="4"/>
      <c r="AN2582" s="4"/>
      <c r="AO2582" s="4"/>
      <c r="AP2582" s="4"/>
      <c r="AQ2582" s="4"/>
      <c r="AR2582" s="4"/>
      <c r="AS2582" s="4"/>
      <c r="AT2582" s="4"/>
      <c r="AU2582" s="4"/>
      <c r="AV2582" s="4"/>
      <c r="AW2582" s="4"/>
      <c r="AX2582" s="4"/>
      <c r="AY2582" s="4"/>
      <c r="AZ2582" s="4"/>
      <c r="BA2582" s="4"/>
      <c r="BB2582" s="4"/>
      <c r="BC2582" s="4"/>
      <c r="BD2582" s="4"/>
      <c r="BE2582" s="4"/>
      <c r="BF2582" s="4"/>
      <c r="BG2582" s="4"/>
      <c r="BH2582" s="4"/>
      <c r="BI2582" s="4"/>
      <c r="BJ2582" s="4"/>
      <c r="BK2582" s="4"/>
      <c r="BL2582" s="4"/>
      <c r="BM2582" s="4"/>
      <c r="BN2582" s="4"/>
      <c r="BO2582" s="4"/>
      <c r="BP2582" s="4"/>
      <c r="BQ2582" s="4"/>
      <c r="BR2582" s="4"/>
      <c r="BS2582" s="4"/>
      <c r="BT2582" s="4"/>
      <c r="BU2582" s="4"/>
    </row>
    <row r="2583" spans="29:73" s="1" customFormat="1" x14ac:dyDescent="0.25">
      <c r="AC2583" s="4"/>
      <c r="AD2583" s="4"/>
      <c r="AE2583" s="4"/>
      <c r="AF2583" s="4"/>
      <c r="AG2583" s="4"/>
      <c r="AH2583" s="4"/>
      <c r="AI2583" s="4"/>
      <c r="AJ2583" s="4"/>
      <c r="AK2583" s="4"/>
      <c r="AL2583" s="4"/>
      <c r="AM2583" s="4"/>
      <c r="AN2583" s="4"/>
      <c r="AO2583" s="4"/>
      <c r="AP2583" s="4"/>
      <c r="AQ2583" s="4"/>
      <c r="AR2583" s="4"/>
      <c r="AS2583" s="4"/>
      <c r="AT2583" s="4"/>
      <c r="AU2583" s="4"/>
      <c r="AV2583" s="4"/>
      <c r="AW2583" s="4"/>
      <c r="AX2583" s="4"/>
      <c r="AY2583" s="4"/>
      <c r="AZ2583" s="4"/>
      <c r="BA2583" s="4"/>
      <c r="BB2583" s="4"/>
      <c r="BC2583" s="4"/>
      <c r="BD2583" s="4"/>
      <c r="BE2583" s="4"/>
      <c r="BF2583" s="4"/>
      <c r="BG2583" s="4"/>
      <c r="BH2583" s="4"/>
      <c r="BI2583" s="4"/>
      <c r="BJ2583" s="4"/>
      <c r="BK2583" s="4"/>
      <c r="BL2583" s="4"/>
      <c r="BM2583" s="4"/>
      <c r="BN2583" s="4"/>
      <c r="BO2583" s="4"/>
      <c r="BP2583" s="4"/>
      <c r="BQ2583" s="4"/>
      <c r="BR2583" s="4"/>
      <c r="BS2583" s="4"/>
      <c r="BT2583" s="4"/>
      <c r="BU2583" s="4"/>
    </row>
    <row r="2584" spans="29:73" s="1" customFormat="1" x14ac:dyDescent="0.25">
      <c r="AC2584" s="4"/>
      <c r="AD2584" s="4"/>
      <c r="AE2584" s="4"/>
      <c r="AF2584" s="4"/>
      <c r="AG2584" s="4"/>
      <c r="AH2584" s="4"/>
      <c r="AI2584" s="4"/>
      <c r="AJ2584" s="4"/>
      <c r="AK2584" s="4"/>
      <c r="AL2584" s="4"/>
      <c r="AM2584" s="4"/>
      <c r="AN2584" s="4"/>
      <c r="AO2584" s="4"/>
      <c r="AP2584" s="4"/>
      <c r="AQ2584" s="4"/>
      <c r="AR2584" s="4"/>
      <c r="AS2584" s="4"/>
      <c r="AT2584" s="4"/>
      <c r="AU2584" s="4"/>
      <c r="AV2584" s="4"/>
      <c r="AW2584" s="4"/>
      <c r="AX2584" s="4"/>
      <c r="AY2584" s="4"/>
      <c r="AZ2584" s="4"/>
      <c r="BA2584" s="4"/>
      <c r="BB2584" s="4"/>
      <c r="BC2584" s="4"/>
      <c r="BD2584" s="4"/>
      <c r="BE2584" s="4"/>
      <c r="BF2584" s="4"/>
      <c r="BG2584" s="4"/>
      <c r="BH2584" s="4"/>
      <c r="BI2584" s="4"/>
      <c r="BJ2584" s="4"/>
      <c r="BK2584" s="4"/>
      <c r="BL2584" s="4"/>
      <c r="BM2584" s="4"/>
      <c r="BN2584" s="4"/>
      <c r="BO2584" s="4"/>
      <c r="BP2584" s="4"/>
      <c r="BQ2584" s="4"/>
      <c r="BR2584" s="4"/>
      <c r="BS2584" s="4"/>
      <c r="BT2584" s="4"/>
      <c r="BU2584" s="4"/>
    </row>
    <row r="2585" spans="29:73" s="1" customFormat="1" x14ac:dyDescent="0.25">
      <c r="AC2585" s="4"/>
      <c r="AD2585" s="4"/>
      <c r="AE2585" s="4"/>
      <c r="AF2585" s="4"/>
      <c r="AG2585" s="4"/>
      <c r="AH2585" s="4"/>
      <c r="AI2585" s="4"/>
      <c r="AJ2585" s="4"/>
      <c r="AK2585" s="4"/>
      <c r="AL2585" s="4"/>
      <c r="AM2585" s="4"/>
      <c r="AN2585" s="4"/>
      <c r="AO2585" s="4"/>
      <c r="AP2585" s="4"/>
      <c r="AQ2585" s="4"/>
      <c r="AR2585" s="4"/>
      <c r="AS2585" s="4"/>
      <c r="AT2585" s="4"/>
      <c r="AU2585" s="4"/>
      <c r="AV2585" s="4"/>
      <c r="AW2585" s="4"/>
      <c r="AX2585" s="4"/>
      <c r="AY2585" s="4"/>
      <c r="AZ2585" s="4"/>
      <c r="BA2585" s="4"/>
      <c r="BB2585" s="4"/>
      <c r="BC2585" s="4"/>
      <c r="BD2585" s="4"/>
      <c r="BE2585" s="4"/>
      <c r="BF2585" s="4"/>
      <c r="BG2585" s="4"/>
      <c r="BH2585" s="4"/>
      <c r="BI2585" s="4"/>
      <c r="BJ2585" s="4"/>
      <c r="BK2585" s="4"/>
      <c r="BL2585" s="4"/>
      <c r="BM2585" s="4"/>
      <c r="BN2585" s="4"/>
      <c r="BO2585" s="4"/>
      <c r="BP2585" s="4"/>
      <c r="BQ2585" s="4"/>
      <c r="BR2585" s="4"/>
      <c r="BS2585" s="4"/>
      <c r="BT2585" s="4"/>
      <c r="BU2585" s="4"/>
    </row>
    <row r="2586" spans="29:73" s="1" customFormat="1" x14ac:dyDescent="0.25">
      <c r="AC2586" s="4"/>
      <c r="AD2586" s="4"/>
      <c r="AE2586" s="4"/>
      <c r="AF2586" s="4"/>
      <c r="AG2586" s="4"/>
      <c r="AH2586" s="4"/>
      <c r="AI2586" s="4"/>
      <c r="AJ2586" s="4"/>
      <c r="AK2586" s="4"/>
      <c r="AL2586" s="4"/>
      <c r="AM2586" s="4"/>
      <c r="AN2586" s="4"/>
      <c r="AO2586" s="4"/>
      <c r="AP2586" s="4"/>
      <c r="AQ2586" s="4"/>
      <c r="AR2586" s="4"/>
      <c r="AS2586" s="4"/>
      <c r="AT2586" s="4"/>
      <c r="AU2586" s="4"/>
      <c r="AV2586" s="4"/>
      <c r="AW2586" s="4"/>
      <c r="AX2586" s="4"/>
      <c r="AY2586" s="4"/>
      <c r="AZ2586" s="4"/>
      <c r="BA2586" s="4"/>
      <c r="BB2586" s="4"/>
      <c r="BC2586" s="4"/>
      <c r="BD2586" s="4"/>
      <c r="BE2586" s="4"/>
      <c r="BF2586" s="4"/>
      <c r="BG2586" s="4"/>
      <c r="BH2586" s="4"/>
      <c r="BI2586" s="4"/>
      <c r="BJ2586" s="4"/>
      <c r="BK2586" s="4"/>
      <c r="BL2586" s="4"/>
      <c r="BM2586" s="4"/>
      <c r="BN2586" s="4"/>
      <c r="BO2586" s="4"/>
      <c r="BP2586" s="4"/>
      <c r="BQ2586" s="4"/>
      <c r="BR2586" s="4"/>
      <c r="BS2586" s="4"/>
      <c r="BT2586" s="4"/>
      <c r="BU2586" s="4"/>
    </row>
    <row r="2587" spans="29:73" s="1" customFormat="1" x14ac:dyDescent="0.25">
      <c r="AC2587" s="4"/>
      <c r="AD2587" s="4"/>
      <c r="AE2587" s="4"/>
      <c r="AF2587" s="4"/>
      <c r="AG2587" s="4"/>
      <c r="AH2587" s="4"/>
      <c r="AI2587" s="4"/>
      <c r="AJ2587" s="4"/>
      <c r="AK2587" s="4"/>
      <c r="AL2587" s="4"/>
      <c r="AM2587" s="4"/>
      <c r="AN2587" s="4"/>
      <c r="AO2587" s="4"/>
      <c r="AP2587" s="4"/>
      <c r="AQ2587" s="4"/>
      <c r="AR2587" s="4"/>
      <c r="AS2587" s="4"/>
      <c r="AT2587" s="4"/>
      <c r="AU2587" s="4"/>
      <c r="AV2587" s="4"/>
      <c r="AW2587" s="4"/>
      <c r="AX2587" s="4"/>
      <c r="AY2587" s="4"/>
      <c r="AZ2587" s="4"/>
      <c r="BA2587" s="4"/>
      <c r="BB2587" s="4"/>
      <c r="BC2587" s="4"/>
      <c r="BD2587" s="4"/>
      <c r="BE2587" s="4"/>
      <c r="BF2587" s="4"/>
      <c r="BG2587" s="4"/>
      <c r="BH2587" s="4"/>
      <c r="BI2587" s="4"/>
      <c r="BJ2587" s="4"/>
      <c r="BK2587" s="4"/>
      <c r="BL2587" s="4"/>
      <c r="BM2587" s="4"/>
      <c r="BN2587" s="4"/>
      <c r="BO2587" s="4"/>
      <c r="BP2587" s="4"/>
      <c r="BQ2587" s="4"/>
      <c r="BR2587" s="4"/>
      <c r="BS2587" s="4"/>
      <c r="BT2587" s="4"/>
      <c r="BU2587" s="4"/>
    </row>
    <row r="2588" spans="29:73" s="1" customFormat="1" x14ac:dyDescent="0.25">
      <c r="AC2588" s="4"/>
      <c r="AD2588" s="4"/>
      <c r="AE2588" s="4"/>
      <c r="AF2588" s="4"/>
      <c r="AG2588" s="4"/>
      <c r="AH2588" s="4"/>
      <c r="AI2588" s="4"/>
      <c r="AJ2588" s="4"/>
      <c r="AK2588" s="4"/>
      <c r="AL2588" s="4"/>
      <c r="AM2588" s="4"/>
      <c r="AN2588" s="4"/>
      <c r="AO2588" s="4"/>
      <c r="AP2588" s="4"/>
      <c r="AQ2588" s="4"/>
      <c r="AR2588" s="4"/>
      <c r="AS2588" s="4"/>
      <c r="AT2588" s="4"/>
      <c r="AU2588" s="4"/>
      <c r="AV2588" s="4"/>
      <c r="AW2588" s="4"/>
      <c r="AX2588" s="4"/>
      <c r="AY2588" s="4"/>
      <c r="AZ2588" s="4"/>
      <c r="BA2588" s="4"/>
      <c r="BB2588" s="4"/>
      <c r="BC2588" s="4"/>
      <c r="BD2588" s="4"/>
      <c r="BE2588" s="4"/>
      <c r="BF2588" s="4"/>
      <c r="BG2588" s="4"/>
      <c r="BH2588" s="4"/>
      <c r="BI2588" s="4"/>
      <c r="BJ2588" s="4"/>
      <c r="BK2588" s="4"/>
      <c r="BL2588" s="4"/>
      <c r="BM2588" s="4"/>
      <c r="BN2588" s="4"/>
      <c r="BO2588" s="4"/>
      <c r="BP2588" s="4"/>
      <c r="BQ2588" s="4"/>
      <c r="BR2588" s="4"/>
      <c r="BS2588" s="4"/>
      <c r="BT2588" s="4"/>
      <c r="BU2588" s="4"/>
    </row>
    <row r="2589" spans="29:73" s="1" customFormat="1" x14ac:dyDescent="0.25">
      <c r="AC2589" s="4"/>
      <c r="AD2589" s="4"/>
      <c r="AE2589" s="4"/>
      <c r="AF2589" s="4"/>
      <c r="AG2589" s="4"/>
      <c r="AH2589" s="4"/>
      <c r="AI2589" s="4"/>
      <c r="AJ2589" s="4"/>
      <c r="AK2589" s="4"/>
      <c r="AL2589" s="4"/>
      <c r="AM2589" s="4"/>
      <c r="AN2589" s="4"/>
      <c r="AO2589" s="4"/>
      <c r="AP2589" s="4"/>
      <c r="AQ2589" s="4"/>
      <c r="AR2589" s="4"/>
      <c r="AS2589" s="4"/>
      <c r="AT2589" s="4"/>
      <c r="AU2589" s="4"/>
      <c r="AV2589" s="4"/>
      <c r="AW2589" s="4"/>
      <c r="AX2589" s="4"/>
      <c r="AY2589" s="4"/>
      <c r="AZ2589" s="4"/>
      <c r="BA2589" s="4"/>
      <c r="BB2589" s="4"/>
      <c r="BC2589" s="4"/>
      <c r="BD2589" s="4"/>
      <c r="BE2589" s="4"/>
      <c r="BF2589" s="4"/>
      <c r="BG2589" s="4"/>
      <c r="BH2589" s="4"/>
      <c r="BI2589" s="4"/>
      <c r="BJ2589" s="4"/>
      <c r="BK2589" s="4"/>
      <c r="BL2589" s="4"/>
      <c r="BM2589" s="4"/>
      <c r="BN2589" s="4"/>
      <c r="BO2589" s="4"/>
      <c r="BP2589" s="4"/>
      <c r="BQ2589" s="4"/>
      <c r="BR2589" s="4"/>
      <c r="BS2589" s="4"/>
      <c r="BT2589" s="4"/>
      <c r="BU2589" s="4"/>
    </row>
    <row r="2590" spans="29:73" s="1" customFormat="1" x14ac:dyDescent="0.25">
      <c r="AC2590" s="4"/>
      <c r="AD2590" s="4"/>
      <c r="AE2590" s="4"/>
      <c r="AF2590" s="4"/>
      <c r="AG2590" s="4"/>
      <c r="AH2590" s="4"/>
      <c r="AI2590" s="4"/>
      <c r="AJ2590" s="4"/>
      <c r="AK2590" s="4"/>
      <c r="AL2590" s="4"/>
      <c r="AM2590" s="4"/>
      <c r="AN2590" s="4"/>
      <c r="AO2590" s="4"/>
      <c r="AP2590" s="4"/>
      <c r="AQ2590" s="4"/>
      <c r="AR2590" s="4"/>
      <c r="AS2590" s="4"/>
      <c r="AT2590" s="4"/>
      <c r="AU2590" s="4"/>
      <c r="AV2590" s="4"/>
      <c r="AW2590" s="4"/>
      <c r="AX2590" s="4"/>
      <c r="AY2590" s="4"/>
      <c r="AZ2590" s="4"/>
      <c r="BA2590" s="4"/>
      <c r="BB2590" s="4"/>
      <c r="BC2590" s="4"/>
      <c r="BD2590" s="4"/>
      <c r="BE2590" s="4"/>
      <c r="BF2590" s="4"/>
      <c r="BG2590" s="4"/>
      <c r="BH2590" s="4"/>
      <c r="BI2590" s="4"/>
      <c r="BJ2590" s="4"/>
      <c r="BK2590" s="4"/>
      <c r="BL2590" s="4"/>
      <c r="BM2590" s="4"/>
      <c r="BN2590" s="4"/>
      <c r="BO2590" s="4"/>
      <c r="BP2590" s="4"/>
      <c r="BQ2590" s="4"/>
      <c r="BR2590" s="4"/>
      <c r="BS2590" s="4"/>
      <c r="BT2590" s="4"/>
      <c r="BU2590" s="4"/>
    </row>
    <row r="2591" spans="29:73" s="1" customFormat="1" x14ac:dyDescent="0.25">
      <c r="AC2591" s="4"/>
      <c r="AD2591" s="4"/>
      <c r="AE2591" s="4"/>
      <c r="AF2591" s="4"/>
      <c r="AG2591" s="4"/>
      <c r="AH2591" s="4"/>
      <c r="AI2591" s="4"/>
      <c r="AJ2591" s="4"/>
      <c r="AK2591" s="4"/>
      <c r="AL2591" s="4"/>
      <c r="AM2591" s="4"/>
      <c r="AN2591" s="4"/>
      <c r="AO2591" s="4"/>
      <c r="AP2591" s="4"/>
      <c r="AQ2591" s="4"/>
      <c r="AR2591" s="4"/>
      <c r="AS2591" s="4"/>
      <c r="AT2591" s="4"/>
      <c r="AU2591" s="4"/>
      <c r="AV2591" s="4"/>
      <c r="AW2591" s="4"/>
      <c r="AX2591" s="4"/>
      <c r="AY2591" s="4"/>
      <c r="AZ2591" s="4"/>
      <c r="BA2591" s="4"/>
      <c r="BB2591" s="4"/>
      <c r="BC2591" s="4"/>
      <c r="BD2591" s="4"/>
      <c r="BE2591" s="4"/>
      <c r="BF2591" s="4"/>
      <c r="BG2591" s="4"/>
      <c r="BH2591" s="4"/>
      <c r="BI2591" s="4"/>
      <c r="BJ2591" s="4"/>
      <c r="BK2591" s="4"/>
      <c r="BL2591" s="4"/>
      <c r="BM2591" s="4"/>
      <c r="BN2591" s="4"/>
      <c r="BO2591" s="4"/>
      <c r="BP2591" s="4"/>
      <c r="BQ2591" s="4"/>
      <c r="BR2591" s="4"/>
      <c r="BS2591" s="4"/>
      <c r="BT2591" s="4"/>
      <c r="BU2591" s="4"/>
    </row>
    <row r="2592" spans="29:73" s="1" customFormat="1" x14ac:dyDescent="0.25">
      <c r="AC2592" s="4"/>
      <c r="AD2592" s="4"/>
      <c r="AE2592" s="4"/>
      <c r="AF2592" s="4"/>
      <c r="AG2592" s="4"/>
      <c r="AH2592" s="4"/>
      <c r="AI2592" s="4"/>
      <c r="AJ2592" s="4"/>
      <c r="AK2592" s="4"/>
      <c r="AL2592" s="4"/>
      <c r="AM2592" s="4"/>
      <c r="AN2592" s="4"/>
      <c r="AO2592" s="4"/>
      <c r="AP2592" s="4"/>
      <c r="AQ2592" s="4"/>
      <c r="AR2592" s="4"/>
      <c r="AS2592" s="4"/>
      <c r="AT2592" s="4"/>
      <c r="AU2592" s="4"/>
      <c r="AV2592" s="4"/>
      <c r="AW2592" s="4"/>
      <c r="AX2592" s="4"/>
      <c r="AY2592" s="4"/>
      <c r="AZ2592" s="4"/>
      <c r="BA2592" s="4"/>
      <c r="BB2592" s="4"/>
      <c r="BC2592" s="4"/>
      <c r="BD2592" s="4"/>
      <c r="BE2592" s="4"/>
      <c r="BF2592" s="4"/>
      <c r="BG2592" s="4"/>
      <c r="BH2592" s="4"/>
      <c r="BI2592" s="4"/>
      <c r="BJ2592" s="4"/>
      <c r="BK2592" s="4"/>
      <c r="BL2592" s="4"/>
      <c r="BM2592" s="4"/>
      <c r="BN2592" s="4"/>
      <c r="BO2592" s="4"/>
      <c r="BP2592" s="4"/>
      <c r="BQ2592" s="4"/>
      <c r="BR2592" s="4"/>
      <c r="BS2592" s="4"/>
      <c r="BT2592" s="4"/>
      <c r="BU2592" s="4"/>
    </row>
    <row r="2593" spans="29:73" s="1" customFormat="1" x14ac:dyDescent="0.25">
      <c r="AC2593" s="4"/>
      <c r="AD2593" s="4"/>
      <c r="AE2593" s="4"/>
      <c r="AF2593" s="4"/>
      <c r="AG2593" s="4"/>
      <c r="AH2593" s="4"/>
      <c r="AI2593" s="4"/>
      <c r="AJ2593" s="4"/>
      <c r="AK2593" s="4"/>
      <c r="AL2593" s="4"/>
      <c r="AM2593" s="4"/>
      <c r="AN2593" s="4"/>
      <c r="AO2593" s="4"/>
      <c r="AP2593" s="4"/>
      <c r="AQ2593" s="4"/>
      <c r="AR2593" s="4"/>
      <c r="AS2593" s="4"/>
      <c r="AT2593" s="4"/>
      <c r="AU2593" s="4"/>
      <c r="AV2593" s="4"/>
      <c r="AW2593" s="4"/>
      <c r="AX2593" s="4"/>
      <c r="AY2593" s="4"/>
      <c r="AZ2593" s="4"/>
      <c r="BA2593" s="4"/>
      <c r="BB2593" s="4"/>
      <c r="BC2593" s="4"/>
      <c r="BD2593" s="4"/>
      <c r="BE2593" s="4"/>
      <c r="BF2593" s="4"/>
      <c r="BG2593" s="4"/>
      <c r="BH2593" s="4"/>
      <c r="BI2593" s="4"/>
      <c r="BJ2593" s="4"/>
      <c r="BK2593" s="4"/>
      <c r="BL2593" s="4"/>
      <c r="BM2593" s="4"/>
      <c r="BN2593" s="4"/>
      <c r="BO2593" s="4"/>
      <c r="BP2593" s="4"/>
      <c r="BQ2593" s="4"/>
      <c r="BR2593" s="4"/>
      <c r="BS2593" s="4"/>
      <c r="BT2593" s="4"/>
      <c r="BU2593" s="4"/>
    </row>
    <row r="2594" spans="29:73" s="1" customFormat="1" x14ac:dyDescent="0.25">
      <c r="AC2594" s="4"/>
      <c r="AD2594" s="4"/>
      <c r="AE2594" s="4"/>
      <c r="AF2594" s="4"/>
      <c r="AG2594" s="4"/>
      <c r="AH2594" s="4"/>
      <c r="AI2594" s="4"/>
      <c r="AJ2594" s="4"/>
      <c r="AK2594" s="4"/>
      <c r="AL2594" s="4"/>
      <c r="AM2594" s="4"/>
      <c r="AN2594" s="4"/>
      <c r="AO2594" s="4"/>
      <c r="AP2594" s="4"/>
      <c r="AQ2594" s="4"/>
      <c r="AR2594" s="4"/>
      <c r="AS2594" s="4"/>
      <c r="AT2594" s="4"/>
      <c r="AU2594" s="4"/>
      <c r="AV2594" s="4"/>
      <c r="AW2594" s="4"/>
      <c r="AX2594" s="4"/>
      <c r="AY2594" s="4"/>
      <c r="AZ2594" s="4"/>
      <c r="BA2594" s="4"/>
      <c r="BB2594" s="4"/>
      <c r="BC2594" s="4"/>
      <c r="BD2594" s="4"/>
      <c r="BE2594" s="4"/>
      <c r="BF2594" s="4"/>
      <c r="BG2594" s="4"/>
      <c r="BH2594" s="4"/>
      <c r="BI2594" s="4"/>
      <c r="BJ2594" s="4"/>
      <c r="BK2594" s="4"/>
      <c r="BL2594" s="4"/>
      <c r="BM2594" s="4"/>
      <c r="BN2594" s="4"/>
      <c r="BO2594" s="4"/>
      <c r="BP2594" s="4"/>
      <c r="BQ2594" s="4"/>
      <c r="BR2594" s="4"/>
      <c r="BS2594" s="4"/>
      <c r="BT2594" s="4"/>
      <c r="BU2594" s="4"/>
    </row>
    <row r="2595" spans="29:73" s="1" customFormat="1" x14ac:dyDescent="0.25">
      <c r="AC2595" s="4"/>
      <c r="AD2595" s="4"/>
      <c r="AE2595" s="4"/>
      <c r="AF2595" s="4"/>
      <c r="AG2595" s="4"/>
      <c r="AH2595" s="4"/>
      <c r="AI2595" s="4"/>
      <c r="AJ2595" s="4"/>
      <c r="AK2595" s="4"/>
      <c r="AL2595" s="4"/>
      <c r="AM2595" s="4"/>
      <c r="AN2595" s="4"/>
      <c r="AO2595" s="4"/>
      <c r="AP2595" s="4"/>
      <c r="AQ2595" s="4"/>
      <c r="AR2595" s="4"/>
      <c r="AS2595" s="4"/>
      <c r="AT2595" s="4"/>
      <c r="AU2595" s="4"/>
      <c r="AV2595" s="4"/>
      <c r="AW2595" s="4"/>
      <c r="AX2595" s="4"/>
      <c r="AY2595" s="4"/>
      <c r="AZ2595" s="4"/>
      <c r="BA2595" s="4"/>
      <c r="BB2595" s="4"/>
      <c r="BC2595" s="4"/>
      <c r="BD2595" s="4"/>
      <c r="BE2595" s="4"/>
      <c r="BF2595" s="4"/>
      <c r="BG2595" s="4"/>
      <c r="BH2595" s="4"/>
      <c r="BI2595" s="4"/>
      <c r="BJ2595" s="4"/>
      <c r="BK2595" s="4"/>
      <c r="BL2595" s="4"/>
      <c r="BM2595" s="4"/>
      <c r="BN2595" s="4"/>
      <c r="BO2595" s="4"/>
      <c r="BP2595" s="4"/>
      <c r="BQ2595" s="4"/>
      <c r="BR2595" s="4"/>
      <c r="BS2595" s="4"/>
      <c r="BT2595" s="4"/>
      <c r="BU2595" s="4"/>
    </row>
    <row r="2596" spans="29:73" s="1" customFormat="1" x14ac:dyDescent="0.25">
      <c r="AC2596" s="4"/>
      <c r="AD2596" s="4"/>
      <c r="AE2596" s="4"/>
      <c r="AF2596" s="4"/>
      <c r="AG2596" s="4"/>
      <c r="AH2596" s="4"/>
      <c r="AI2596" s="4"/>
      <c r="AJ2596" s="4"/>
      <c r="AK2596" s="4"/>
      <c r="AL2596" s="4"/>
      <c r="AM2596" s="4"/>
      <c r="AN2596" s="4"/>
      <c r="AO2596" s="4"/>
      <c r="AP2596" s="4"/>
      <c r="AQ2596" s="4"/>
      <c r="AR2596" s="4"/>
      <c r="AS2596" s="4"/>
      <c r="AT2596" s="4"/>
      <c r="AU2596" s="4"/>
      <c r="AV2596" s="4"/>
      <c r="AW2596" s="4"/>
      <c r="AX2596" s="4"/>
      <c r="AY2596" s="4"/>
      <c r="AZ2596" s="4"/>
      <c r="BA2596" s="4"/>
      <c r="BB2596" s="4"/>
      <c r="BC2596" s="4"/>
      <c r="BD2596" s="4"/>
      <c r="BE2596" s="4"/>
      <c r="BF2596" s="4"/>
      <c r="BG2596" s="4"/>
      <c r="BH2596" s="4"/>
      <c r="BI2596" s="4"/>
      <c r="BJ2596" s="4"/>
      <c r="BK2596" s="4"/>
      <c r="BL2596" s="4"/>
      <c r="BM2596" s="4"/>
      <c r="BN2596" s="4"/>
      <c r="BO2596" s="4"/>
      <c r="BP2596" s="4"/>
      <c r="BQ2596" s="4"/>
      <c r="BR2596" s="4"/>
      <c r="BS2596" s="4"/>
      <c r="BT2596" s="4"/>
      <c r="BU2596" s="4"/>
    </row>
    <row r="2597" spans="29:73" s="1" customFormat="1" x14ac:dyDescent="0.25">
      <c r="AC2597" s="4"/>
      <c r="AD2597" s="4"/>
      <c r="AE2597" s="4"/>
      <c r="AF2597" s="4"/>
      <c r="AG2597" s="4"/>
      <c r="AH2597" s="4"/>
      <c r="AI2597" s="4"/>
      <c r="AJ2597" s="4"/>
      <c r="AK2597" s="4"/>
      <c r="AL2597" s="4"/>
      <c r="AM2597" s="4"/>
      <c r="AN2597" s="4"/>
      <c r="AO2597" s="4"/>
      <c r="AP2597" s="4"/>
      <c r="AQ2597" s="4"/>
      <c r="AR2597" s="4"/>
      <c r="AS2597" s="4"/>
      <c r="AT2597" s="4"/>
      <c r="AU2597" s="4"/>
      <c r="AV2597" s="4"/>
      <c r="AW2597" s="4"/>
      <c r="AX2597" s="4"/>
      <c r="AY2597" s="4"/>
      <c r="AZ2597" s="4"/>
      <c r="BA2597" s="4"/>
      <c r="BB2597" s="4"/>
      <c r="BC2597" s="4"/>
      <c r="BD2597" s="4"/>
      <c r="BE2597" s="4"/>
      <c r="BF2597" s="4"/>
      <c r="BG2597" s="4"/>
      <c r="BH2597" s="4"/>
      <c r="BI2597" s="4"/>
      <c r="BJ2597" s="4"/>
      <c r="BK2597" s="4"/>
      <c r="BL2597" s="4"/>
      <c r="BM2597" s="4"/>
      <c r="BN2597" s="4"/>
      <c r="BO2597" s="4"/>
      <c r="BP2597" s="4"/>
      <c r="BQ2597" s="4"/>
      <c r="BR2597" s="4"/>
      <c r="BS2597" s="4"/>
      <c r="BT2597" s="4"/>
      <c r="BU2597" s="4"/>
    </row>
    <row r="2598" spans="29:73" s="1" customFormat="1" x14ac:dyDescent="0.25">
      <c r="AC2598" s="4"/>
      <c r="AD2598" s="4"/>
      <c r="AE2598" s="4"/>
      <c r="AF2598" s="4"/>
      <c r="AG2598" s="4"/>
      <c r="AH2598" s="4"/>
      <c r="AI2598" s="4"/>
      <c r="AJ2598" s="4"/>
      <c r="AK2598" s="4"/>
      <c r="AL2598" s="4"/>
      <c r="AM2598" s="4"/>
      <c r="AN2598" s="4"/>
      <c r="AO2598" s="4"/>
      <c r="AP2598" s="4"/>
      <c r="AQ2598" s="4"/>
      <c r="AR2598" s="4"/>
      <c r="AS2598" s="4"/>
      <c r="AT2598" s="4"/>
      <c r="AU2598" s="4"/>
      <c r="AV2598" s="4"/>
      <c r="AW2598" s="4"/>
      <c r="AX2598" s="4"/>
      <c r="AY2598" s="4"/>
      <c r="AZ2598" s="4"/>
      <c r="BA2598" s="4"/>
      <c r="BB2598" s="4"/>
      <c r="BC2598" s="4"/>
      <c r="BD2598" s="4"/>
      <c r="BE2598" s="4"/>
      <c r="BF2598" s="4"/>
      <c r="BG2598" s="4"/>
      <c r="BH2598" s="4"/>
      <c r="BI2598" s="4"/>
      <c r="BJ2598" s="4"/>
      <c r="BK2598" s="4"/>
      <c r="BL2598" s="4"/>
      <c r="BM2598" s="4"/>
      <c r="BN2598" s="4"/>
      <c r="BO2598" s="4"/>
      <c r="BP2598" s="4"/>
      <c r="BQ2598" s="4"/>
      <c r="BR2598" s="4"/>
      <c r="BS2598" s="4"/>
      <c r="BT2598" s="4"/>
      <c r="BU2598" s="4"/>
    </row>
    <row r="2599" spans="29:73" s="1" customFormat="1" x14ac:dyDescent="0.25">
      <c r="AC2599" s="4"/>
      <c r="AD2599" s="4"/>
      <c r="AE2599" s="4"/>
      <c r="AF2599" s="4"/>
      <c r="AG2599" s="4"/>
      <c r="AH2599" s="4"/>
      <c r="AI2599" s="4"/>
      <c r="AJ2599" s="4"/>
      <c r="AK2599" s="4"/>
      <c r="AL2599" s="4"/>
      <c r="AM2599" s="4"/>
      <c r="AN2599" s="4"/>
      <c r="AO2599" s="4"/>
      <c r="AP2599" s="4"/>
      <c r="AQ2599" s="4"/>
      <c r="AR2599" s="4"/>
      <c r="AS2599" s="4"/>
      <c r="AT2599" s="4"/>
      <c r="AU2599" s="4"/>
      <c r="AV2599" s="4"/>
      <c r="AW2599" s="4"/>
      <c r="AX2599" s="4"/>
      <c r="AY2599" s="4"/>
      <c r="AZ2599" s="4"/>
      <c r="BA2599" s="4"/>
      <c r="BB2599" s="4"/>
      <c r="BC2599" s="4"/>
      <c r="BD2599" s="4"/>
      <c r="BE2599" s="4"/>
      <c r="BF2599" s="4"/>
      <c r="BG2599" s="4"/>
      <c r="BH2599" s="4"/>
      <c r="BI2599" s="4"/>
      <c r="BJ2599" s="4"/>
      <c r="BK2599" s="4"/>
      <c r="BL2599" s="4"/>
      <c r="BM2599" s="4"/>
      <c r="BN2599" s="4"/>
      <c r="BO2599" s="4"/>
      <c r="BP2599" s="4"/>
      <c r="BQ2599" s="4"/>
      <c r="BR2599" s="4"/>
      <c r="BS2599" s="4"/>
      <c r="BT2599" s="4"/>
      <c r="BU2599" s="4"/>
    </row>
    <row r="2600" spans="29:73" s="1" customFormat="1" x14ac:dyDescent="0.25">
      <c r="AC2600" s="4"/>
      <c r="AD2600" s="4"/>
      <c r="AE2600" s="4"/>
      <c r="AF2600" s="4"/>
      <c r="AG2600" s="4"/>
      <c r="AH2600" s="4"/>
      <c r="AI2600" s="4"/>
      <c r="AJ2600" s="4"/>
      <c r="AK2600" s="4"/>
      <c r="AL2600" s="4"/>
      <c r="AM2600" s="4"/>
      <c r="AN2600" s="4"/>
      <c r="AO2600" s="4"/>
      <c r="AP2600" s="4"/>
      <c r="AQ2600" s="4"/>
      <c r="AR2600" s="4"/>
      <c r="AS2600" s="4"/>
      <c r="AT2600" s="4"/>
      <c r="AU2600" s="4"/>
      <c r="AV2600" s="4"/>
      <c r="AW2600" s="4"/>
      <c r="AX2600" s="4"/>
      <c r="AY2600" s="4"/>
      <c r="AZ2600" s="4"/>
      <c r="BA2600" s="4"/>
      <c r="BB2600" s="4"/>
      <c r="BC2600" s="4"/>
      <c r="BD2600" s="4"/>
      <c r="BE2600" s="4"/>
      <c r="BF2600" s="4"/>
      <c r="BG2600" s="4"/>
      <c r="BH2600" s="4"/>
      <c r="BI2600" s="4"/>
      <c r="BJ2600" s="4"/>
      <c r="BK2600" s="4"/>
      <c r="BL2600" s="4"/>
      <c r="BM2600" s="4"/>
      <c r="BN2600" s="4"/>
      <c r="BO2600" s="4"/>
      <c r="BP2600" s="4"/>
      <c r="BQ2600" s="4"/>
      <c r="BR2600" s="4"/>
      <c r="BS2600" s="4"/>
      <c r="BT2600" s="4"/>
      <c r="BU2600" s="4"/>
    </row>
    <row r="2601" spans="29:73" s="1" customFormat="1" x14ac:dyDescent="0.25">
      <c r="AC2601" s="4"/>
      <c r="AD2601" s="4"/>
      <c r="AE2601" s="4"/>
      <c r="AF2601" s="4"/>
      <c r="AG2601" s="4"/>
      <c r="AH2601" s="4"/>
      <c r="AI2601" s="4"/>
      <c r="AJ2601" s="4"/>
      <c r="AK2601" s="4"/>
      <c r="AL2601" s="4"/>
      <c r="AM2601" s="4"/>
      <c r="AN2601" s="4"/>
      <c r="AO2601" s="4"/>
      <c r="AP2601" s="4"/>
      <c r="AQ2601" s="4"/>
      <c r="AR2601" s="4"/>
      <c r="AS2601" s="4"/>
      <c r="AT2601" s="4"/>
      <c r="AU2601" s="4"/>
      <c r="AV2601" s="4"/>
      <c r="AW2601" s="4"/>
      <c r="AX2601" s="4"/>
      <c r="AY2601" s="4"/>
      <c r="AZ2601" s="4"/>
      <c r="BA2601" s="4"/>
      <c r="BB2601" s="4"/>
      <c r="BC2601" s="4"/>
      <c r="BD2601" s="4"/>
      <c r="BE2601" s="4"/>
      <c r="BF2601" s="4"/>
      <c r="BG2601" s="4"/>
      <c r="BH2601" s="4"/>
      <c r="BI2601" s="4"/>
      <c r="BJ2601" s="4"/>
      <c r="BK2601" s="4"/>
      <c r="BL2601" s="4"/>
      <c r="BM2601" s="4"/>
      <c r="BN2601" s="4"/>
      <c r="BO2601" s="4"/>
      <c r="BP2601" s="4"/>
      <c r="BQ2601" s="4"/>
      <c r="BR2601" s="4"/>
      <c r="BS2601" s="4"/>
      <c r="BT2601" s="4"/>
      <c r="BU2601" s="4"/>
    </row>
    <row r="2602" spans="29:73" s="1" customFormat="1" x14ac:dyDescent="0.25">
      <c r="AC2602" s="4"/>
      <c r="AD2602" s="4"/>
      <c r="AE2602" s="4"/>
      <c r="AF2602" s="4"/>
      <c r="AG2602" s="4"/>
      <c r="AH2602" s="4"/>
      <c r="AI2602" s="4"/>
      <c r="AJ2602" s="4"/>
      <c r="AK2602" s="4"/>
      <c r="AL2602" s="4"/>
      <c r="AM2602" s="4"/>
      <c r="AN2602" s="4"/>
      <c r="AO2602" s="4"/>
      <c r="AP2602" s="4"/>
      <c r="AQ2602" s="4"/>
      <c r="AR2602" s="4"/>
      <c r="AS2602" s="4"/>
      <c r="AT2602" s="4"/>
      <c r="AU2602" s="4"/>
      <c r="AV2602" s="4"/>
      <c r="AW2602" s="4"/>
      <c r="AX2602" s="4"/>
      <c r="AY2602" s="4"/>
      <c r="AZ2602" s="4"/>
      <c r="BA2602" s="4"/>
      <c r="BB2602" s="4"/>
      <c r="BC2602" s="4"/>
      <c r="BD2602" s="4"/>
      <c r="BE2602" s="4"/>
      <c r="BF2602" s="4"/>
      <c r="BG2602" s="4"/>
      <c r="BH2602" s="4"/>
      <c r="BI2602" s="4"/>
      <c r="BJ2602" s="4"/>
      <c r="BK2602" s="4"/>
      <c r="BL2602" s="4"/>
      <c r="BM2602" s="4"/>
      <c r="BN2602" s="4"/>
      <c r="BO2602" s="4"/>
      <c r="BP2602" s="4"/>
      <c r="BQ2602" s="4"/>
      <c r="BR2602" s="4"/>
      <c r="BS2602" s="4"/>
      <c r="BT2602" s="4"/>
      <c r="BU2602" s="4"/>
    </row>
    <row r="2603" spans="29:73" s="1" customFormat="1" x14ac:dyDescent="0.25">
      <c r="AC2603" s="4"/>
      <c r="AD2603" s="4"/>
      <c r="AE2603" s="4"/>
      <c r="AF2603" s="4"/>
      <c r="AG2603" s="4"/>
      <c r="AH2603" s="4"/>
      <c r="AI2603" s="4"/>
      <c r="AJ2603" s="4"/>
      <c r="AK2603" s="4"/>
      <c r="AL2603" s="4"/>
      <c r="AM2603" s="4"/>
      <c r="AN2603" s="4"/>
      <c r="AO2603" s="4"/>
      <c r="AP2603" s="4"/>
      <c r="AQ2603" s="4"/>
      <c r="AR2603" s="4"/>
      <c r="AS2603" s="4"/>
      <c r="AT2603" s="4"/>
      <c r="AU2603" s="4"/>
      <c r="AV2603" s="4"/>
      <c r="AW2603" s="4"/>
      <c r="AX2603" s="4"/>
      <c r="AY2603" s="4"/>
      <c r="AZ2603" s="4"/>
      <c r="BA2603" s="4"/>
      <c r="BB2603" s="4"/>
      <c r="BC2603" s="4"/>
      <c r="BD2603" s="4"/>
      <c r="BE2603" s="4"/>
      <c r="BF2603" s="4"/>
      <c r="BG2603" s="4"/>
      <c r="BH2603" s="4"/>
      <c r="BI2603" s="4"/>
      <c r="BJ2603" s="4"/>
      <c r="BK2603" s="4"/>
      <c r="BL2603" s="4"/>
      <c r="BM2603" s="4"/>
      <c r="BN2603" s="4"/>
      <c r="BO2603" s="4"/>
      <c r="BP2603" s="4"/>
      <c r="BQ2603" s="4"/>
      <c r="BR2603" s="4"/>
      <c r="BS2603" s="4"/>
      <c r="BT2603" s="4"/>
      <c r="BU2603" s="4"/>
    </row>
    <row r="2604" spans="29:73" s="1" customFormat="1" x14ac:dyDescent="0.25">
      <c r="AC2604" s="4"/>
      <c r="AD2604" s="4"/>
      <c r="AE2604" s="4"/>
      <c r="AF2604" s="4"/>
      <c r="AG2604" s="4"/>
      <c r="AH2604" s="4"/>
      <c r="AI2604" s="4"/>
      <c r="AJ2604" s="4"/>
      <c r="AK2604" s="4"/>
      <c r="AL2604" s="4"/>
      <c r="AM2604" s="4"/>
      <c r="AN2604" s="4"/>
      <c r="AO2604" s="4"/>
      <c r="AP2604" s="4"/>
      <c r="AQ2604" s="4"/>
      <c r="AR2604" s="4"/>
      <c r="AS2604" s="4"/>
      <c r="AT2604" s="4"/>
      <c r="AU2604" s="4"/>
      <c r="AV2604" s="4"/>
      <c r="AW2604" s="4"/>
      <c r="AX2604" s="4"/>
      <c r="AY2604" s="4"/>
      <c r="AZ2604" s="4"/>
      <c r="BA2604" s="4"/>
      <c r="BB2604" s="4"/>
      <c r="BC2604" s="4"/>
      <c r="BD2604" s="4"/>
      <c r="BE2604" s="4"/>
      <c r="BF2604" s="4"/>
      <c r="BG2604" s="4"/>
      <c r="BH2604" s="4"/>
      <c r="BI2604" s="4"/>
      <c r="BJ2604" s="4"/>
      <c r="BK2604" s="4"/>
      <c r="BL2604" s="4"/>
      <c r="BM2604" s="4"/>
      <c r="BN2604" s="4"/>
      <c r="BO2604" s="4"/>
      <c r="BP2604" s="4"/>
      <c r="BQ2604" s="4"/>
      <c r="BR2604" s="4"/>
      <c r="BS2604" s="4"/>
      <c r="BT2604" s="4"/>
      <c r="BU2604" s="4"/>
    </row>
    <row r="2605" spans="29:73" s="1" customFormat="1" x14ac:dyDescent="0.25">
      <c r="AC2605" s="4"/>
      <c r="AD2605" s="4"/>
      <c r="AE2605" s="4"/>
      <c r="AF2605" s="4"/>
      <c r="AG2605" s="4"/>
      <c r="AH2605" s="4"/>
      <c r="AI2605" s="4"/>
      <c r="AJ2605" s="4"/>
      <c r="AK2605" s="4"/>
      <c r="AL2605" s="4"/>
      <c r="AM2605" s="4"/>
      <c r="AN2605" s="4"/>
      <c r="AO2605" s="4"/>
      <c r="AP2605" s="4"/>
      <c r="AQ2605" s="4"/>
      <c r="AR2605" s="4"/>
      <c r="AS2605" s="4"/>
      <c r="AT2605" s="4"/>
      <c r="AU2605" s="4"/>
      <c r="AV2605" s="4"/>
      <c r="AW2605" s="4"/>
      <c r="AX2605" s="4"/>
      <c r="AY2605" s="4"/>
      <c r="AZ2605" s="4"/>
      <c r="BA2605" s="4"/>
      <c r="BB2605" s="4"/>
      <c r="BC2605" s="4"/>
      <c r="BD2605" s="4"/>
      <c r="BE2605" s="4"/>
      <c r="BF2605" s="4"/>
      <c r="BG2605" s="4"/>
      <c r="BH2605" s="4"/>
      <c r="BI2605" s="4"/>
      <c r="BJ2605" s="4"/>
      <c r="BK2605" s="4"/>
      <c r="BL2605" s="4"/>
      <c r="BM2605" s="4"/>
      <c r="BN2605" s="4"/>
      <c r="BO2605" s="4"/>
      <c r="BP2605" s="4"/>
      <c r="BQ2605" s="4"/>
      <c r="BR2605" s="4"/>
      <c r="BS2605" s="4"/>
      <c r="BT2605" s="4"/>
      <c r="BU2605" s="4"/>
    </row>
    <row r="2606" spans="29:73" s="1" customFormat="1" x14ac:dyDescent="0.25">
      <c r="AC2606" s="4"/>
      <c r="AD2606" s="4"/>
      <c r="AE2606" s="4"/>
      <c r="AF2606" s="4"/>
      <c r="AG2606" s="4"/>
      <c r="AH2606" s="4"/>
      <c r="AI2606" s="4"/>
      <c r="AJ2606" s="4"/>
      <c r="AK2606" s="4"/>
      <c r="AL2606" s="4"/>
      <c r="AM2606" s="4"/>
      <c r="AN2606" s="4"/>
      <c r="AO2606" s="4"/>
      <c r="AP2606" s="4"/>
      <c r="AQ2606" s="4"/>
      <c r="AR2606" s="4"/>
      <c r="AS2606" s="4"/>
      <c r="AT2606" s="4"/>
      <c r="AU2606" s="4"/>
      <c r="AV2606" s="4"/>
      <c r="AW2606" s="4"/>
      <c r="AX2606" s="4"/>
      <c r="AY2606" s="4"/>
      <c r="AZ2606" s="4"/>
      <c r="BA2606" s="4"/>
      <c r="BB2606" s="4"/>
      <c r="BC2606" s="4"/>
      <c r="BD2606" s="4"/>
      <c r="BE2606" s="4"/>
      <c r="BF2606" s="4"/>
      <c r="BG2606" s="4"/>
      <c r="BH2606" s="4"/>
      <c r="BI2606" s="4"/>
      <c r="BJ2606" s="4"/>
      <c r="BK2606" s="4"/>
      <c r="BL2606" s="4"/>
      <c r="BM2606" s="4"/>
      <c r="BN2606" s="4"/>
      <c r="BO2606" s="4"/>
      <c r="BP2606" s="4"/>
      <c r="BQ2606" s="4"/>
      <c r="BR2606" s="4"/>
      <c r="BS2606" s="4"/>
      <c r="BT2606" s="4"/>
      <c r="BU2606" s="4"/>
    </row>
    <row r="2607" spans="29:73" s="1" customFormat="1" x14ac:dyDescent="0.25">
      <c r="AC2607" s="4"/>
      <c r="AD2607" s="4"/>
      <c r="AE2607" s="4"/>
      <c r="AF2607" s="4"/>
      <c r="AG2607" s="4"/>
      <c r="AH2607" s="4"/>
      <c r="AI2607" s="4"/>
      <c r="AJ2607" s="4"/>
      <c r="AK2607" s="4"/>
      <c r="AL2607" s="4"/>
      <c r="AM2607" s="4"/>
      <c r="AN2607" s="4"/>
      <c r="AO2607" s="4"/>
      <c r="AP2607" s="4"/>
      <c r="AQ2607" s="4"/>
      <c r="AR2607" s="4"/>
      <c r="AS2607" s="4"/>
      <c r="AT2607" s="4"/>
      <c r="AU2607" s="4"/>
      <c r="AV2607" s="4"/>
      <c r="AW2607" s="4"/>
      <c r="AX2607" s="4"/>
      <c r="AY2607" s="4"/>
      <c r="AZ2607" s="4"/>
      <c r="BA2607" s="4"/>
      <c r="BB2607" s="4"/>
      <c r="BC2607" s="4"/>
      <c r="BD2607" s="4"/>
      <c r="BE2607" s="4"/>
      <c r="BF2607" s="4"/>
      <c r="BG2607" s="4"/>
      <c r="BH2607" s="4"/>
      <c r="BI2607" s="4"/>
      <c r="BJ2607" s="4"/>
      <c r="BK2607" s="4"/>
      <c r="BL2607" s="4"/>
      <c r="BM2607" s="4"/>
      <c r="BN2607" s="4"/>
      <c r="BO2607" s="4"/>
      <c r="BP2607" s="4"/>
      <c r="BQ2607" s="4"/>
      <c r="BR2607" s="4"/>
      <c r="BS2607" s="4"/>
      <c r="BT2607" s="4"/>
      <c r="BU2607" s="4"/>
    </row>
    <row r="2608" spans="29:73" s="1" customFormat="1" x14ac:dyDescent="0.25">
      <c r="AC2608" s="4"/>
      <c r="AD2608" s="4"/>
      <c r="AE2608" s="4"/>
      <c r="AF2608" s="4"/>
      <c r="AG2608" s="4"/>
      <c r="AH2608" s="4"/>
      <c r="AI2608" s="4"/>
      <c r="AJ2608" s="4"/>
      <c r="AK2608" s="4"/>
      <c r="AL2608" s="4"/>
      <c r="AM2608" s="4"/>
      <c r="AN2608" s="4"/>
      <c r="AO2608" s="4"/>
      <c r="AP2608" s="4"/>
      <c r="AQ2608" s="4"/>
      <c r="AR2608" s="4"/>
      <c r="AS2608" s="4"/>
      <c r="AT2608" s="4"/>
      <c r="AU2608" s="4"/>
      <c r="AV2608" s="4"/>
      <c r="AW2608" s="4"/>
      <c r="AX2608" s="4"/>
      <c r="AY2608" s="4"/>
      <c r="AZ2608" s="4"/>
      <c r="BA2608" s="4"/>
      <c r="BB2608" s="4"/>
      <c r="BC2608" s="4"/>
      <c r="BD2608" s="4"/>
      <c r="BE2608" s="4"/>
      <c r="BF2608" s="4"/>
      <c r="BG2608" s="4"/>
      <c r="BH2608" s="4"/>
      <c r="BI2608" s="4"/>
      <c r="BJ2608" s="4"/>
      <c r="BK2608" s="4"/>
      <c r="BL2608" s="4"/>
      <c r="BM2608" s="4"/>
      <c r="BN2608" s="4"/>
      <c r="BO2608" s="4"/>
      <c r="BP2608" s="4"/>
      <c r="BQ2608" s="4"/>
      <c r="BR2608" s="4"/>
      <c r="BS2608" s="4"/>
      <c r="BT2608" s="4"/>
      <c r="BU2608" s="4"/>
    </row>
    <row r="2609" spans="29:73" s="1" customFormat="1" x14ac:dyDescent="0.25">
      <c r="AC2609" s="4"/>
      <c r="AD2609" s="4"/>
      <c r="AE2609" s="4"/>
      <c r="AF2609" s="4"/>
      <c r="AG2609" s="4"/>
      <c r="AH2609" s="4"/>
      <c r="AI2609" s="4"/>
      <c r="AJ2609" s="4"/>
      <c r="AK2609" s="4"/>
      <c r="AL2609" s="4"/>
      <c r="AM2609" s="4"/>
      <c r="AN2609" s="4"/>
      <c r="AO2609" s="4"/>
      <c r="AP2609" s="4"/>
      <c r="AQ2609" s="4"/>
      <c r="AR2609" s="4"/>
      <c r="AS2609" s="4"/>
      <c r="AT2609" s="4"/>
      <c r="AU2609" s="4"/>
      <c r="AV2609" s="4"/>
      <c r="AW2609" s="4"/>
      <c r="AX2609" s="4"/>
      <c r="AY2609" s="4"/>
      <c r="AZ2609" s="4"/>
      <c r="BA2609" s="4"/>
      <c r="BB2609" s="4"/>
      <c r="BC2609" s="4"/>
      <c r="BD2609" s="4"/>
      <c r="BE2609" s="4"/>
      <c r="BF2609" s="4"/>
      <c r="BG2609" s="4"/>
      <c r="BH2609" s="4"/>
      <c r="BI2609" s="4"/>
      <c r="BJ2609" s="4"/>
      <c r="BK2609" s="4"/>
      <c r="BL2609" s="4"/>
      <c r="BM2609" s="4"/>
      <c r="BN2609" s="4"/>
      <c r="BO2609" s="4"/>
      <c r="BP2609" s="4"/>
      <c r="BQ2609" s="4"/>
      <c r="BR2609" s="4"/>
      <c r="BS2609" s="4"/>
      <c r="BT2609" s="4"/>
      <c r="BU2609" s="4"/>
    </row>
    <row r="2610" spans="29:73" s="1" customFormat="1" x14ac:dyDescent="0.25">
      <c r="AC2610" s="4"/>
      <c r="AD2610" s="4"/>
      <c r="AE2610" s="4"/>
      <c r="AF2610" s="4"/>
      <c r="AG2610" s="4"/>
      <c r="AH2610" s="4"/>
      <c r="AI2610" s="4"/>
      <c r="AJ2610" s="4"/>
      <c r="AK2610" s="4"/>
      <c r="AL2610" s="4"/>
      <c r="AM2610" s="4"/>
      <c r="AN2610" s="4"/>
      <c r="AO2610" s="4"/>
      <c r="AP2610" s="4"/>
      <c r="AQ2610" s="4"/>
      <c r="AR2610" s="4"/>
      <c r="AS2610" s="4"/>
      <c r="AT2610" s="4"/>
      <c r="AU2610" s="4"/>
      <c r="AV2610" s="4"/>
      <c r="AW2610" s="4"/>
      <c r="AX2610" s="4"/>
      <c r="AY2610" s="4"/>
      <c r="AZ2610" s="4"/>
      <c r="BA2610" s="4"/>
      <c r="BB2610" s="4"/>
      <c r="BC2610" s="4"/>
      <c r="BD2610" s="4"/>
      <c r="BE2610" s="4"/>
      <c r="BF2610" s="4"/>
      <c r="BG2610" s="4"/>
      <c r="BH2610" s="4"/>
      <c r="BI2610" s="4"/>
      <c r="BJ2610" s="4"/>
      <c r="BK2610" s="4"/>
      <c r="BL2610" s="4"/>
      <c r="BM2610" s="4"/>
      <c r="BN2610" s="4"/>
      <c r="BO2610" s="4"/>
      <c r="BP2610" s="4"/>
      <c r="BQ2610" s="4"/>
      <c r="BR2610" s="4"/>
      <c r="BS2610" s="4"/>
      <c r="BT2610" s="4"/>
      <c r="BU2610" s="4"/>
    </row>
    <row r="2611" spans="29:73" s="1" customFormat="1" x14ac:dyDescent="0.25">
      <c r="AC2611" s="4"/>
      <c r="AD2611" s="4"/>
      <c r="AE2611" s="4"/>
      <c r="AF2611" s="4"/>
      <c r="AG2611" s="4"/>
      <c r="AH2611" s="4"/>
      <c r="AI2611" s="4"/>
      <c r="AJ2611" s="4"/>
      <c r="AK2611" s="4"/>
      <c r="AL2611" s="4"/>
      <c r="AM2611" s="4"/>
      <c r="AN2611" s="4"/>
      <c r="AO2611" s="4"/>
      <c r="AP2611" s="4"/>
      <c r="AQ2611" s="4"/>
      <c r="AR2611" s="4"/>
      <c r="AS2611" s="4"/>
      <c r="AT2611" s="4"/>
      <c r="AU2611" s="4"/>
      <c r="AV2611" s="4"/>
      <c r="AW2611" s="4"/>
      <c r="AX2611" s="4"/>
      <c r="AY2611" s="4"/>
      <c r="AZ2611" s="4"/>
      <c r="BA2611" s="4"/>
      <c r="BB2611" s="4"/>
      <c r="BC2611" s="4"/>
      <c r="BD2611" s="4"/>
      <c r="BE2611" s="4"/>
      <c r="BF2611" s="4"/>
      <c r="BG2611" s="4"/>
      <c r="BH2611" s="4"/>
      <c r="BI2611" s="4"/>
      <c r="BJ2611" s="4"/>
      <c r="BK2611" s="4"/>
      <c r="BL2611" s="4"/>
      <c r="BM2611" s="4"/>
      <c r="BN2611" s="4"/>
      <c r="BO2611" s="4"/>
      <c r="BP2611" s="4"/>
      <c r="BQ2611" s="4"/>
      <c r="BR2611" s="4"/>
      <c r="BS2611" s="4"/>
      <c r="BT2611" s="4"/>
      <c r="BU2611" s="4"/>
    </row>
    <row r="2612" spans="29:73" s="1" customFormat="1" x14ac:dyDescent="0.25">
      <c r="AC2612" s="4"/>
      <c r="AD2612" s="4"/>
      <c r="AE2612" s="4"/>
      <c r="AF2612" s="4"/>
      <c r="AG2612" s="4"/>
      <c r="AH2612" s="4"/>
      <c r="AI2612" s="4"/>
      <c r="AJ2612" s="4"/>
      <c r="AK2612" s="4"/>
      <c r="AL2612" s="4"/>
      <c r="AM2612" s="4"/>
      <c r="AN2612" s="4"/>
      <c r="AO2612" s="4"/>
      <c r="AP2612" s="4"/>
      <c r="AQ2612" s="4"/>
      <c r="AR2612" s="4"/>
      <c r="AS2612" s="4"/>
      <c r="AT2612" s="4"/>
      <c r="AU2612" s="4"/>
      <c r="AV2612" s="4"/>
      <c r="AW2612" s="4"/>
      <c r="AX2612" s="4"/>
      <c r="AY2612" s="4"/>
      <c r="AZ2612" s="4"/>
      <c r="BA2612" s="4"/>
      <c r="BB2612" s="4"/>
      <c r="BC2612" s="4"/>
      <c r="BD2612" s="4"/>
      <c r="BE2612" s="4"/>
      <c r="BF2612" s="4"/>
      <c r="BG2612" s="4"/>
      <c r="BH2612" s="4"/>
      <c r="BI2612" s="4"/>
      <c r="BJ2612" s="4"/>
      <c r="BK2612" s="4"/>
      <c r="BL2612" s="4"/>
      <c r="BM2612" s="4"/>
      <c r="BN2612" s="4"/>
      <c r="BO2612" s="4"/>
      <c r="BP2612" s="4"/>
      <c r="BQ2612" s="4"/>
      <c r="BR2612" s="4"/>
      <c r="BS2612" s="4"/>
      <c r="BT2612" s="4"/>
      <c r="BU2612" s="4"/>
    </row>
    <row r="2613" spans="29:73" s="1" customFormat="1" x14ac:dyDescent="0.25">
      <c r="AC2613" s="4"/>
      <c r="AD2613" s="4"/>
      <c r="AE2613" s="4"/>
      <c r="AF2613" s="4"/>
      <c r="AG2613" s="4"/>
      <c r="AH2613" s="4"/>
      <c r="AI2613" s="4"/>
      <c r="AJ2613" s="4"/>
      <c r="AK2613" s="4"/>
      <c r="AL2613" s="4"/>
      <c r="AM2613" s="4"/>
      <c r="AN2613" s="4"/>
      <c r="AO2613" s="4"/>
      <c r="AP2613" s="4"/>
      <c r="AQ2613" s="4"/>
      <c r="AR2613" s="4"/>
      <c r="AS2613" s="4"/>
      <c r="AT2613" s="4"/>
      <c r="AU2613" s="4"/>
      <c r="AV2613" s="4"/>
      <c r="AW2613" s="4"/>
      <c r="AX2613" s="4"/>
      <c r="AY2613" s="4"/>
      <c r="AZ2613" s="4"/>
      <c r="BA2613" s="4"/>
      <c r="BB2613" s="4"/>
      <c r="BC2613" s="4"/>
      <c r="BD2613" s="4"/>
      <c r="BE2613" s="4"/>
      <c r="BF2613" s="4"/>
      <c r="BG2613" s="4"/>
      <c r="BH2613" s="4"/>
      <c r="BI2613" s="4"/>
      <c r="BJ2613" s="4"/>
      <c r="BK2613" s="4"/>
      <c r="BL2613" s="4"/>
      <c r="BM2613" s="4"/>
      <c r="BN2613" s="4"/>
      <c r="BO2613" s="4"/>
      <c r="BP2613" s="4"/>
      <c r="BQ2613" s="4"/>
      <c r="BR2613" s="4"/>
      <c r="BS2613" s="4"/>
      <c r="BT2613" s="4"/>
      <c r="BU2613" s="4"/>
    </row>
    <row r="2614" spans="29:73" s="1" customFormat="1" x14ac:dyDescent="0.25">
      <c r="AC2614" s="4"/>
      <c r="AD2614" s="4"/>
      <c r="AE2614" s="4"/>
      <c r="AF2614" s="4"/>
      <c r="AG2614" s="4"/>
      <c r="AH2614" s="4"/>
      <c r="AI2614" s="4"/>
      <c r="AJ2614" s="4"/>
      <c r="AK2614" s="4"/>
      <c r="AL2614" s="4"/>
      <c r="AM2614" s="4"/>
      <c r="AN2614" s="4"/>
      <c r="AO2614" s="4"/>
      <c r="AP2614" s="4"/>
      <c r="AQ2614" s="4"/>
      <c r="AR2614" s="4"/>
      <c r="AS2614" s="4"/>
      <c r="AT2614" s="4"/>
      <c r="AU2614" s="4"/>
      <c r="AV2614" s="4"/>
      <c r="AW2614" s="4"/>
      <c r="AX2614" s="4"/>
      <c r="AY2614" s="4"/>
      <c r="AZ2614" s="4"/>
      <c r="BA2614" s="4"/>
      <c r="BB2614" s="4"/>
      <c r="BC2614" s="4"/>
      <c r="BD2614" s="4"/>
      <c r="BE2614" s="4"/>
      <c r="BF2614" s="4"/>
      <c r="BG2614" s="4"/>
      <c r="BH2614" s="4"/>
      <c r="BI2614" s="4"/>
      <c r="BJ2614" s="4"/>
      <c r="BK2614" s="4"/>
      <c r="BL2614" s="4"/>
      <c r="BM2614" s="4"/>
      <c r="BN2614" s="4"/>
      <c r="BO2614" s="4"/>
      <c r="BP2614" s="4"/>
      <c r="BQ2614" s="4"/>
      <c r="BR2614" s="4"/>
      <c r="BS2614" s="4"/>
      <c r="BT2614" s="4"/>
      <c r="BU2614" s="4"/>
    </row>
    <row r="2615" spans="29:73" s="1" customFormat="1" x14ac:dyDescent="0.25">
      <c r="AC2615" s="4"/>
      <c r="AD2615" s="4"/>
      <c r="AE2615" s="4"/>
      <c r="AF2615" s="4"/>
      <c r="AG2615" s="4"/>
      <c r="AH2615" s="4"/>
      <c r="AI2615" s="4"/>
      <c r="AJ2615" s="4"/>
      <c r="AK2615" s="4"/>
      <c r="AL2615" s="4"/>
      <c r="AM2615" s="4"/>
      <c r="AN2615" s="4"/>
      <c r="AO2615" s="4"/>
      <c r="AP2615" s="4"/>
      <c r="AQ2615" s="4"/>
      <c r="AR2615" s="4"/>
      <c r="AS2615" s="4"/>
      <c r="AT2615" s="4"/>
      <c r="AU2615" s="4"/>
      <c r="AV2615" s="4"/>
      <c r="AW2615" s="4"/>
      <c r="AX2615" s="4"/>
      <c r="AY2615" s="4"/>
      <c r="AZ2615" s="4"/>
      <c r="BA2615" s="4"/>
      <c r="BB2615" s="4"/>
      <c r="BC2615" s="4"/>
      <c r="BD2615" s="4"/>
      <c r="BE2615" s="4"/>
      <c r="BF2615" s="4"/>
      <c r="BG2615" s="4"/>
      <c r="BH2615" s="4"/>
      <c r="BI2615" s="4"/>
      <c r="BJ2615" s="4"/>
      <c r="BK2615" s="4"/>
      <c r="BL2615" s="4"/>
      <c r="BM2615" s="4"/>
      <c r="BN2615" s="4"/>
      <c r="BO2615" s="4"/>
      <c r="BP2615" s="4"/>
      <c r="BQ2615" s="4"/>
      <c r="BR2615" s="4"/>
      <c r="BS2615" s="4"/>
      <c r="BT2615" s="4"/>
      <c r="BU2615" s="4"/>
    </row>
    <row r="2616" spans="29:73" s="1" customFormat="1" x14ac:dyDescent="0.25">
      <c r="AC2616" s="4"/>
      <c r="AD2616" s="4"/>
      <c r="AE2616" s="4"/>
      <c r="AF2616" s="4"/>
      <c r="AG2616" s="4"/>
      <c r="AH2616" s="4"/>
      <c r="AI2616" s="4"/>
      <c r="AJ2616" s="4"/>
      <c r="AK2616" s="4"/>
      <c r="AL2616" s="4"/>
      <c r="AM2616" s="4"/>
      <c r="AN2616" s="4"/>
      <c r="AO2616" s="4"/>
      <c r="AP2616" s="4"/>
      <c r="AQ2616" s="4"/>
      <c r="AR2616" s="4"/>
      <c r="AS2616" s="4"/>
      <c r="AT2616" s="4"/>
      <c r="AU2616" s="4"/>
      <c r="AV2616" s="4"/>
      <c r="AW2616" s="4"/>
      <c r="AX2616" s="4"/>
      <c r="AY2616" s="4"/>
      <c r="AZ2616" s="4"/>
      <c r="BA2616" s="4"/>
      <c r="BB2616" s="4"/>
      <c r="BC2616" s="4"/>
      <c r="BD2616" s="4"/>
      <c r="BE2616" s="4"/>
      <c r="BF2616" s="4"/>
      <c r="BG2616" s="4"/>
      <c r="BH2616" s="4"/>
      <c r="BI2616" s="4"/>
      <c r="BJ2616" s="4"/>
      <c r="BK2616" s="4"/>
      <c r="BL2616" s="4"/>
      <c r="BM2616" s="4"/>
      <c r="BN2616" s="4"/>
      <c r="BO2616" s="4"/>
      <c r="BP2616" s="4"/>
      <c r="BQ2616" s="4"/>
      <c r="BR2616" s="4"/>
      <c r="BS2616" s="4"/>
      <c r="BT2616" s="4"/>
      <c r="BU2616" s="4"/>
    </row>
    <row r="2617" spans="29:73" s="1" customFormat="1" x14ac:dyDescent="0.25">
      <c r="AC2617" s="4"/>
      <c r="AD2617" s="4"/>
      <c r="AE2617" s="4"/>
      <c r="AF2617" s="4"/>
      <c r="AG2617" s="4"/>
      <c r="AH2617" s="4"/>
      <c r="AI2617" s="4"/>
      <c r="AJ2617" s="4"/>
      <c r="AK2617" s="4"/>
      <c r="AL2617" s="4"/>
      <c r="AM2617" s="4"/>
      <c r="AN2617" s="4"/>
      <c r="AO2617" s="4"/>
      <c r="AP2617" s="4"/>
      <c r="AQ2617" s="4"/>
      <c r="AR2617" s="4"/>
      <c r="AS2617" s="4"/>
      <c r="AT2617" s="4"/>
      <c r="AU2617" s="4"/>
      <c r="AV2617" s="4"/>
      <c r="AW2617" s="4"/>
      <c r="AX2617" s="4"/>
      <c r="AY2617" s="4"/>
      <c r="AZ2617" s="4"/>
      <c r="BA2617" s="4"/>
      <c r="BB2617" s="4"/>
      <c r="BC2617" s="4"/>
      <c r="BD2617" s="4"/>
      <c r="BE2617" s="4"/>
      <c r="BF2617" s="4"/>
      <c r="BG2617" s="4"/>
      <c r="BH2617" s="4"/>
      <c r="BI2617" s="4"/>
      <c r="BJ2617" s="4"/>
      <c r="BK2617" s="4"/>
      <c r="BL2617" s="4"/>
      <c r="BM2617" s="4"/>
      <c r="BN2617" s="4"/>
      <c r="BO2617" s="4"/>
      <c r="BP2617" s="4"/>
      <c r="BQ2617" s="4"/>
      <c r="BR2617" s="4"/>
      <c r="BS2617" s="4"/>
      <c r="BT2617" s="4"/>
      <c r="BU2617" s="4"/>
    </row>
    <row r="2618" spans="29:73" s="1" customFormat="1" x14ac:dyDescent="0.25">
      <c r="AC2618" s="4"/>
      <c r="AD2618" s="4"/>
      <c r="AE2618" s="4"/>
      <c r="AF2618" s="4"/>
      <c r="AG2618" s="4"/>
      <c r="AH2618" s="4"/>
      <c r="AI2618" s="4"/>
      <c r="AJ2618" s="4"/>
      <c r="AK2618" s="4"/>
      <c r="AL2618" s="4"/>
      <c r="AM2618" s="4"/>
      <c r="AN2618" s="4"/>
      <c r="AO2618" s="4"/>
      <c r="AP2618" s="4"/>
      <c r="AQ2618" s="4"/>
      <c r="AR2618" s="4"/>
      <c r="AS2618" s="4"/>
      <c r="AT2618" s="4"/>
      <c r="AU2618" s="4"/>
      <c r="AV2618" s="4"/>
      <c r="AW2618" s="4"/>
      <c r="AX2618" s="4"/>
      <c r="AY2618" s="4"/>
      <c r="AZ2618" s="4"/>
      <c r="BA2618" s="4"/>
      <c r="BB2618" s="4"/>
      <c r="BC2618" s="4"/>
      <c r="BD2618" s="4"/>
      <c r="BE2618" s="4"/>
      <c r="BF2618" s="4"/>
      <c r="BG2618" s="4"/>
      <c r="BH2618" s="4"/>
      <c r="BI2618" s="4"/>
      <c r="BJ2618" s="4"/>
      <c r="BK2618" s="4"/>
      <c r="BL2618" s="4"/>
      <c r="BM2618" s="4"/>
      <c r="BN2618" s="4"/>
      <c r="BO2618" s="4"/>
      <c r="BP2618" s="4"/>
      <c r="BQ2618" s="4"/>
      <c r="BR2618" s="4"/>
      <c r="BS2618" s="4"/>
      <c r="BT2618" s="4"/>
      <c r="BU2618" s="4"/>
    </row>
    <row r="2619" spans="29:73" s="1" customFormat="1" x14ac:dyDescent="0.25">
      <c r="AC2619" s="4"/>
      <c r="AD2619" s="4"/>
      <c r="AE2619" s="4"/>
      <c r="AF2619" s="4"/>
      <c r="AG2619" s="4"/>
      <c r="AH2619" s="4"/>
      <c r="AI2619" s="4"/>
      <c r="AJ2619" s="4"/>
      <c r="AK2619" s="4"/>
      <c r="AL2619" s="4"/>
      <c r="AM2619" s="4"/>
      <c r="AN2619" s="4"/>
      <c r="AO2619" s="4"/>
      <c r="AP2619" s="4"/>
      <c r="AQ2619" s="4"/>
      <c r="AR2619" s="4"/>
      <c r="AS2619" s="4"/>
      <c r="AT2619" s="4"/>
      <c r="AU2619" s="4"/>
      <c r="AV2619" s="4"/>
      <c r="AW2619" s="4"/>
      <c r="AX2619" s="4"/>
      <c r="AY2619" s="4"/>
      <c r="AZ2619" s="4"/>
      <c r="BA2619" s="4"/>
      <c r="BB2619" s="4"/>
      <c r="BC2619" s="4"/>
      <c r="BD2619" s="4"/>
      <c r="BE2619" s="4"/>
      <c r="BF2619" s="4"/>
      <c r="BG2619" s="4"/>
      <c r="BH2619" s="4"/>
      <c r="BI2619" s="4"/>
      <c r="BJ2619" s="4"/>
      <c r="BK2619" s="4"/>
      <c r="BL2619" s="4"/>
      <c r="BM2619" s="4"/>
      <c r="BN2619" s="4"/>
      <c r="BO2619" s="4"/>
      <c r="BP2619" s="4"/>
      <c r="BQ2619" s="4"/>
      <c r="BR2619" s="4"/>
      <c r="BS2619" s="4"/>
      <c r="BT2619" s="4"/>
      <c r="BU2619" s="4"/>
    </row>
    <row r="2620" spans="29:73" s="1" customFormat="1" x14ac:dyDescent="0.25">
      <c r="AC2620" s="4"/>
      <c r="AD2620" s="4"/>
      <c r="AE2620" s="4"/>
      <c r="AF2620" s="4"/>
      <c r="AG2620" s="4"/>
      <c r="AH2620" s="4"/>
      <c r="AI2620" s="4"/>
      <c r="AJ2620" s="4"/>
      <c r="AK2620" s="4"/>
      <c r="AL2620" s="4"/>
      <c r="AM2620" s="4"/>
      <c r="AN2620" s="4"/>
      <c r="AO2620" s="4"/>
      <c r="AP2620" s="4"/>
      <c r="AQ2620" s="4"/>
      <c r="AR2620" s="4"/>
      <c r="AS2620" s="4"/>
      <c r="AT2620" s="4"/>
      <c r="AU2620" s="4"/>
      <c r="AV2620" s="4"/>
      <c r="AW2620" s="4"/>
      <c r="AX2620" s="4"/>
      <c r="AY2620" s="4"/>
      <c r="AZ2620" s="4"/>
      <c r="BA2620" s="4"/>
      <c r="BB2620" s="4"/>
      <c r="BC2620" s="4"/>
      <c r="BD2620" s="4"/>
      <c r="BE2620" s="4"/>
      <c r="BF2620" s="4"/>
      <c r="BG2620" s="4"/>
      <c r="BH2620" s="4"/>
      <c r="BI2620" s="4"/>
      <c r="BJ2620" s="4"/>
      <c r="BK2620" s="4"/>
      <c r="BL2620" s="4"/>
      <c r="BM2620" s="4"/>
      <c r="BN2620" s="4"/>
      <c r="BO2620" s="4"/>
      <c r="BP2620" s="4"/>
      <c r="BQ2620" s="4"/>
      <c r="BR2620" s="4"/>
      <c r="BS2620" s="4"/>
      <c r="BT2620" s="4"/>
      <c r="BU2620" s="4"/>
    </row>
    <row r="2621" spans="29:73" s="1" customFormat="1" x14ac:dyDescent="0.25">
      <c r="AC2621" s="4"/>
      <c r="AD2621" s="4"/>
      <c r="AE2621" s="4"/>
      <c r="AF2621" s="4"/>
      <c r="AG2621" s="4"/>
      <c r="AH2621" s="4"/>
      <c r="AI2621" s="4"/>
      <c r="AJ2621" s="4"/>
      <c r="AK2621" s="4"/>
      <c r="AL2621" s="4"/>
      <c r="AM2621" s="4"/>
      <c r="AN2621" s="4"/>
      <c r="AO2621" s="4"/>
      <c r="AP2621" s="4"/>
      <c r="AQ2621" s="4"/>
      <c r="AR2621" s="4"/>
      <c r="AS2621" s="4"/>
      <c r="AT2621" s="4"/>
      <c r="AU2621" s="4"/>
      <c r="AV2621" s="4"/>
      <c r="AW2621" s="4"/>
      <c r="AX2621" s="4"/>
      <c r="AY2621" s="4"/>
      <c r="AZ2621" s="4"/>
      <c r="BA2621" s="4"/>
      <c r="BB2621" s="4"/>
      <c r="BC2621" s="4"/>
      <c r="BD2621" s="4"/>
      <c r="BE2621" s="4"/>
      <c r="BF2621" s="4"/>
      <c r="BG2621" s="4"/>
      <c r="BH2621" s="4"/>
      <c r="BI2621" s="4"/>
      <c r="BJ2621" s="4"/>
      <c r="BK2621" s="4"/>
      <c r="BL2621" s="4"/>
      <c r="BM2621" s="4"/>
      <c r="BN2621" s="4"/>
      <c r="BO2621" s="4"/>
      <c r="BP2621" s="4"/>
      <c r="BQ2621" s="4"/>
      <c r="BR2621" s="4"/>
      <c r="BS2621" s="4"/>
      <c r="BT2621" s="4"/>
      <c r="BU2621" s="4"/>
    </row>
    <row r="2622" spans="29:73" s="1" customFormat="1" x14ac:dyDescent="0.25">
      <c r="AC2622" s="4"/>
      <c r="AD2622" s="4"/>
      <c r="AE2622" s="4"/>
      <c r="AF2622" s="4"/>
      <c r="AG2622" s="4"/>
      <c r="AH2622" s="4"/>
      <c r="AI2622" s="4"/>
      <c r="AJ2622" s="4"/>
      <c r="AK2622" s="4"/>
      <c r="AL2622" s="4"/>
      <c r="AM2622" s="4"/>
      <c r="AN2622" s="4"/>
      <c r="AO2622" s="4"/>
      <c r="AP2622" s="4"/>
      <c r="AQ2622" s="4"/>
      <c r="AR2622" s="4"/>
      <c r="AS2622" s="4"/>
      <c r="AT2622" s="4"/>
      <c r="AU2622" s="4"/>
      <c r="AV2622" s="4"/>
      <c r="AW2622" s="4"/>
      <c r="AX2622" s="4"/>
      <c r="AY2622" s="4"/>
      <c r="AZ2622" s="4"/>
      <c r="BA2622" s="4"/>
      <c r="BB2622" s="4"/>
      <c r="BC2622" s="4"/>
      <c r="BD2622" s="4"/>
      <c r="BE2622" s="4"/>
      <c r="BF2622" s="4"/>
      <c r="BG2622" s="4"/>
      <c r="BH2622" s="4"/>
      <c r="BI2622" s="4"/>
      <c r="BJ2622" s="4"/>
      <c r="BK2622" s="4"/>
      <c r="BL2622" s="4"/>
      <c r="BM2622" s="4"/>
      <c r="BN2622" s="4"/>
      <c r="BO2622" s="4"/>
      <c r="BP2622" s="4"/>
      <c r="BQ2622" s="4"/>
      <c r="BR2622" s="4"/>
      <c r="BS2622" s="4"/>
      <c r="BT2622" s="4"/>
      <c r="BU2622" s="4"/>
    </row>
    <row r="2623" spans="29:73" s="1" customFormat="1" x14ac:dyDescent="0.25">
      <c r="AC2623" s="4"/>
      <c r="AD2623" s="4"/>
      <c r="AE2623" s="4"/>
      <c r="AF2623" s="4"/>
      <c r="AG2623" s="4"/>
      <c r="AH2623" s="4"/>
      <c r="AI2623" s="4"/>
      <c r="AJ2623" s="4"/>
      <c r="AK2623" s="4"/>
      <c r="AL2623" s="4"/>
      <c r="AM2623" s="4"/>
      <c r="AN2623" s="4"/>
      <c r="AO2623" s="4"/>
      <c r="AP2623" s="4"/>
      <c r="AQ2623" s="4"/>
      <c r="AR2623" s="4"/>
      <c r="AS2623" s="4"/>
      <c r="AT2623" s="4"/>
      <c r="AU2623" s="4"/>
      <c r="AV2623" s="4"/>
      <c r="AW2623" s="4"/>
      <c r="AX2623" s="4"/>
      <c r="AY2623" s="4"/>
      <c r="AZ2623" s="4"/>
      <c r="BA2623" s="4"/>
      <c r="BB2623" s="4"/>
      <c r="BC2623" s="4"/>
      <c r="BD2623" s="4"/>
      <c r="BE2623" s="4"/>
      <c r="BF2623" s="4"/>
      <c r="BG2623" s="4"/>
      <c r="BH2623" s="4"/>
      <c r="BI2623" s="4"/>
      <c r="BJ2623" s="4"/>
      <c r="BK2623" s="4"/>
      <c r="BL2623" s="4"/>
      <c r="BM2623" s="4"/>
      <c r="BN2623" s="4"/>
      <c r="BO2623" s="4"/>
      <c r="BP2623" s="4"/>
      <c r="BQ2623" s="4"/>
      <c r="BR2623" s="4"/>
      <c r="BS2623" s="4"/>
      <c r="BT2623" s="4"/>
      <c r="BU2623" s="4"/>
    </row>
    <row r="2624" spans="29:73" s="1" customFormat="1" x14ac:dyDescent="0.25">
      <c r="AC2624" s="4"/>
      <c r="AD2624" s="4"/>
      <c r="AE2624" s="4"/>
      <c r="AF2624" s="4"/>
      <c r="AG2624" s="4"/>
      <c r="AH2624" s="4"/>
      <c r="AI2624" s="4"/>
      <c r="AJ2624" s="4"/>
      <c r="AK2624" s="4"/>
      <c r="AL2624" s="4"/>
      <c r="AM2624" s="4"/>
      <c r="AN2624" s="4"/>
      <c r="AO2624" s="4"/>
      <c r="AP2624" s="4"/>
      <c r="AQ2624" s="4"/>
      <c r="AR2624" s="4"/>
      <c r="AS2624" s="4"/>
      <c r="AT2624" s="4"/>
      <c r="AU2624" s="4"/>
      <c r="AV2624" s="4"/>
      <c r="AW2624" s="4"/>
      <c r="AX2624" s="4"/>
      <c r="AY2624" s="4"/>
      <c r="AZ2624" s="4"/>
      <c r="BA2624" s="4"/>
      <c r="BB2624" s="4"/>
      <c r="BC2624" s="4"/>
      <c r="BD2624" s="4"/>
      <c r="BE2624" s="4"/>
      <c r="BF2624" s="4"/>
      <c r="BG2624" s="4"/>
      <c r="BH2624" s="4"/>
      <c r="BI2624" s="4"/>
      <c r="BJ2624" s="4"/>
      <c r="BK2624" s="4"/>
      <c r="BL2624" s="4"/>
      <c r="BM2624" s="4"/>
      <c r="BN2624" s="4"/>
      <c r="BO2624" s="4"/>
      <c r="BP2624" s="4"/>
      <c r="BQ2624" s="4"/>
      <c r="BR2624" s="4"/>
      <c r="BS2624" s="4"/>
      <c r="BT2624" s="4"/>
      <c r="BU2624" s="4"/>
    </row>
    <row r="2625" spans="29:73" s="1" customFormat="1" x14ac:dyDescent="0.25">
      <c r="AC2625" s="4"/>
      <c r="AD2625" s="4"/>
      <c r="AE2625" s="4"/>
      <c r="AF2625" s="4"/>
      <c r="AG2625" s="4"/>
      <c r="AH2625" s="4"/>
      <c r="AI2625" s="4"/>
      <c r="AJ2625" s="4"/>
      <c r="AK2625" s="4"/>
      <c r="AL2625" s="4"/>
      <c r="AM2625" s="4"/>
      <c r="AN2625" s="4"/>
      <c r="AO2625" s="4"/>
      <c r="AP2625" s="4"/>
      <c r="AQ2625" s="4"/>
      <c r="AR2625" s="4"/>
      <c r="AS2625" s="4"/>
      <c r="AT2625" s="4"/>
      <c r="AU2625" s="4"/>
      <c r="AV2625" s="4"/>
      <c r="AW2625" s="4"/>
      <c r="AX2625" s="4"/>
      <c r="AY2625" s="4"/>
      <c r="AZ2625" s="4"/>
      <c r="BA2625" s="4"/>
      <c r="BB2625" s="4"/>
      <c r="BC2625" s="4"/>
      <c r="BD2625" s="4"/>
      <c r="BE2625" s="4"/>
      <c r="BF2625" s="4"/>
      <c r="BG2625" s="4"/>
      <c r="BH2625" s="4"/>
      <c r="BI2625" s="4"/>
      <c r="BJ2625" s="4"/>
      <c r="BK2625" s="4"/>
      <c r="BL2625" s="4"/>
      <c r="BM2625" s="4"/>
      <c r="BN2625" s="4"/>
      <c r="BO2625" s="4"/>
      <c r="BP2625" s="4"/>
      <c r="BQ2625" s="4"/>
      <c r="BR2625" s="4"/>
      <c r="BS2625" s="4"/>
      <c r="BT2625" s="4"/>
      <c r="BU2625" s="4"/>
    </row>
    <row r="2626" spans="29:73" s="1" customFormat="1" x14ac:dyDescent="0.25">
      <c r="AC2626" s="4"/>
      <c r="AD2626" s="4"/>
      <c r="AE2626" s="4"/>
      <c r="AF2626" s="4"/>
      <c r="AG2626" s="4"/>
      <c r="AH2626" s="4"/>
      <c r="AI2626" s="4"/>
      <c r="AJ2626" s="4"/>
      <c r="AK2626" s="4"/>
      <c r="AL2626" s="4"/>
      <c r="AM2626" s="4"/>
      <c r="AN2626" s="4"/>
      <c r="AO2626" s="4"/>
      <c r="AP2626" s="4"/>
      <c r="AQ2626" s="4"/>
      <c r="AR2626" s="4"/>
      <c r="AS2626" s="4"/>
      <c r="AT2626" s="4"/>
      <c r="AU2626" s="4"/>
      <c r="AV2626" s="4"/>
      <c r="AW2626" s="4"/>
      <c r="AX2626" s="4"/>
      <c r="AY2626" s="4"/>
      <c r="AZ2626" s="4"/>
      <c r="BA2626" s="4"/>
      <c r="BB2626" s="4"/>
      <c r="BC2626" s="4"/>
      <c r="BD2626" s="4"/>
      <c r="BE2626" s="4"/>
      <c r="BF2626" s="4"/>
      <c r="BG2626" s="4"/>
      <c r="BH2626" s="4"/>
      <c r="BI2626" s="4"/>
      <c r="BJ2626" s="4"/>
      <c r="BK2626" s="4"/>
      <c r="BL2626" s="4"/>
      <c r="BM2626" s="4"/>
      <c r="BN2626" s="4"/>
      <c r="BO2626" s="4"/>
      <c r="BP2626" s="4"/>
      <c r="BQ2626" s="4"/>
      <c r="BR2626" s="4"/>
      <c r="BS2626" s="4"/>
      <c r="BT2626" s="4"/>
      <c r="BU2626" s="4"/>
    </row>
    <row r="2627" spans="29:73" s="1" customFormat="1" x14ac:dyDescent="0.25">
      <c r="AC2627" s="4"/>
      <c r="AD2627" s="4"/>
      <c r="AE2627" s="4"/>
      <c r="AF2627" s="4"/>
      <c r="AG2627" s="4"/>
      <c r="AH2627" s="4"/>
      <c r="AI2627" s="4"/>
      <c r="AJ2627" s="4"/>
      <c r="AK2627" s="4"/>
      <c r="AL2627" s="4"/>
      <c r="AM2627" s="4"/>
      <c r="AN2627" s="4"/>
      <c r="AO2627" s="4"/>
      <c r="AP2627" s="4"/>
      <c r="AQ2627" s="4"/>
      <c r="AR2627" s="4"/>
      <c r="AS2627" s="4"/>
      <c r="AT2627" s="4"/>
      <c r="AU2627" s="4"/>
      <c r="AV2627" s="4"/>
      <c r="AW2627" s="4"/>
      <c r="AX2627" s="4"/>
      <c r="AY2627" s="4"/>
      <c r="AZ2627" s="4"/>
      <c r="BA2627" s="4"/>
      <c r="BB2627" s="4"/>
      <c r="BC2627" s="4"/>
      <c r="BD2627" s="4"/>
      <c r="BE2627" s="4"/>
      <c r="BF2627" s="4"/>
      <c r="BG2627" s="4"/>
      <c r="BH2627" s="4"/>
      <c r="BI2627" s="4"/>
      <c r="BJ2627" s="4"/>
      <c r="BK2627" s="4"/>
      <c r="BL2627" s="4"/>
      <c r="BM2627" s="4"/>
      <c r="BN2627" s="4"/>
      <c r="BO2627" s="4"/>
      <c r="BP2627" s="4"/>
      <c r="BQ2627" s="4"/>
      <c r="BR2627" s="4"/>
      <c r="BS2627" s="4"/>
      <c r="BT2627" s="4"/>
      <c r="BU2627" s="4"/>
    </row>
    <row r="2628" spans="29:73" s="1" customFormat="1" x14ac:dyDescent="0.25">
      <c r="AC2628" s="4"/>
      <c r="AD2628" s="4"/>
      <c r="AE2628" s="4"/>
      <c r="AF2628" s="4"/>
      <c r="AG2628" s="4"/>
      <c r="AH2628" s="4"/>
      <c r="AI2628" s="4"/>
      <c r="AJ2628" s="4"/>
      <c r="AK2628" s="4"/>
      <c r="AL2628" s="4"/>
      <c r="AM2628" s="4"/>
      <c r="AN2628" s="4"/>
      <c r="AO2628" s="4"/>
      <c r="AP2628" s="4"/>
      <c r="AQ2628" s="4"/>
      <c r="AR2628" s="4"/>
      <c r="AS2628" s="4"/>
      <c r="AT2628" s="4"/>
      <c r="AU2628" s="4"/>
      <c r="AV2628" s="4"/>
      <c r="AW2628" s="4"/>
      <c r="AX2628" s="4"/>
      <c r="AY2628" s="4"/>
      <c r="AZ2628" s="4"/>
      <c r="BA2628" s="4"/>
      <c r="BB2628" s="4"/>
      <c r="BC2628" s="4"/>
      <c r="BD2628" s="4"/>
      <c r="BE2628" s="4"/>
      <c r="BF2628" s="4"/>
      <c r="BG2628" s="4"/>
      <c r="BH2628" s="4"/>
      <c r="BI2628" s="4"/>
      <c r="BJ2628" s="4"/>
      <c r="BK2628" s="4"/>
      <c r="BL2628" s="4"/>
      <c r="BM2628" s="4"/>
      <c r="BN2628" s="4"/>
      <c r="BO2628" s="4"/>
      <c r="BP2628" s="4"/>
      <c r="BQ2628" s="4"/>
      <c r="BR2628" s="4"/>
      <c r="BS2628" s="4"/>
      <c r="BT2628" s="4"/>
      <c r="BU2628" s="4"/>
    </row>
    <row r="2629" spans="29:73" s="1" customFormat="1" x14ac:dyDescent="0.25">
      <c r="AC2629" s="4"/>
      <c r="AD2629" s="4"/>
      <c r="AE2629" s="4"/>
      <c r="AF2629" s="4"/>
      <c r="AG2629" s="4"/>
      <c r="AH2629" s="4"/>
      <c r="AI2629" s="4"/>
      <c r="AJ2629" s="4"/>
      <c r="AK2629" s="4"/>
      <c r="AL2629" s="4"/>
      <c r="AM2629" s="4"/>
      <c r="AN2629" s="4"/>
      <c r="AO2629" s="4"/>
      <c r="AP2629" s="4"/>
      <c r="AQ2629" s="4"/>
      <c r="AR2629" s="4"/>
      <c r="AS2629" s="4"/>
      <c r="AT2629" s="4"/>
      <c r="AU2629" s="4"/>
      <c r="AV2629" s="4"/>
      <c r="AW2629" s="4"/>
      <c r="AX2629" s="4"/>
      <c r="AY2629" s="4"/>
      <c r="AZ2629" s="4"/>
      <c r="BA2629" s="4"/>
      <c r="BB2629" s="4"/>
      <c r="BC2629" s="4"/>
      <c r="BD2629" s="4"/>
      <c r="BE2629" s="4"/>
      <c r="BF2629" s="4"/>
      <c r="BG2629" s="4"/>
      <c r="BH2629" s="4"/>
      <c r="BI2629" s="4"/>
      <c r="BJ2629" s="4"/>
      <c r="BK2629" s="4"/>
      <c r="BL2629" s="4"/>
      <c r="BM2629" s="4"/>
      <c r="BN2629" s="4"/>
      <c r="BO2629" s="4"/>
      <c r="BP2629" s="4"/>
      <c r="BQ2629" s="4"/>
      <c r="BR2629" s="4"/>
      <c r="BS2629" s="4"/>
      <c r="BT2629" s="4"/>
      <c r="BU2629" s="4"/>
    </row>
    <row r="2630" spans="29:73" s="1" customFormat="1" x14ac:dyDescent="0.25">
      <c r="AC2630" s="4"/>
      <c r="AD2630" s="4"/>
      <c r="AE2630" s="4"/>
      <c r="AF2630" s="4"/>
      <c r="AG2630" s="4"/>
      <c r="AH2630" s="4"/>
      <c r="AI2630" s="4"/>
      <c r="AJ2630" s="4"/>
      <c r="AK2630" s="4"/>
      <c r="AL2630" s="4"/>
      <c r="AM2630" s="4"/>
      <c r="AN2630" s="4"/>
      <c r="AO2630" s="4"/>
      <c r="AP2630" s="4"/>
      <c r="AQ2630" s="4"/>
      <c r="AR2630" s="4"/>
      <c r="AS2630" s="4"/>
      <c r="AT2630" s="4"/>
      <c r="AU2630" s="4"/>
      <c r="AV2630" s="4"/>
      <c r="AW2630" s="4"/>
      <c r="AX2630" s="4"/>
      <c r="AY2630" s="4"/>
      <c r="AZ2630" s="4"/>
      <c r="BA2630" s="4"/>
      <c r="BB2630" s="4"/>
      <c r="BC2630" s="4"/>
      <c r="BD2630" s="4"/>
      <c r="BE2630" s="4"/>
      <c r="BF2630" s="4"/>
      <c r="BG2630" s="4"/>
      <c r="BH2630" s="4"/>
      <c r="BI2630" s="4"/>
      <c r="BJ2630" s="4"/>
      <c r="BK2630" s="4"/>
      <c r="BL2630" s="4"/>
      <c r="BM2630" s="4"/>
      <c r="BN2630" s="4"/>
      <c r="BO2630" s="4"/>
      <c r="BP2630" s="4"/>
      <c r="BQ2630" s="4"/>
      <c r="BR2630" s="4"/>
      <c r="BS2630" s="4"/>
      <c r="BT2630" s="4"/>
      <c r="BU2630" s="4"/>
    </row>
    <row r="2631" spans="29:73" s="1" customFormat="1" x14ac:dyDescent="0.25">
      <c r="AC2631" s="4"/>
      <c r="AD2631" s="4"/>
      <c r="AE2631" s="4"/>
      <c r="AF2631" s="4"/>
      <c r="AG2631" s="4"/>
      <c r="AH2631" s="4"/>
      <c r="AI2631" s="4"/>
      <c r="AJ2631" s="4"/>
      <c r="AK2631" s="4"/>
      <c r="AL2631" s="4"/>
      <c r="AM2631" s="4"/>
      <c r="AN2631" s="4"/>
      <c r="AO2631" s="4"/>
      <c r="AP2631" s="4"/>
      <c r="AQ2631" s="4"/>
      <c r="AR2631" s="4"/>
      <c r="AS2631" s="4"/>
      <c r="AT2631" s="4"/>
      <c r="AU2631" s="4"/>
      <c r="AV2631" s="4"/>
      <c r="AW2631" s="4"/>
      <c r="AX2631" s="4"/>
      <c r="AY2631" s="4"/>
      <c r="AZ2631" s="4"/>
      <c r="BA2631" s="4"/>
      <c r="BB2631" s="4"/>
      <c r="BC2631" s="4"/>
      <c r="BD2631" s="4"/>
      <c r="BE2631" s="4"/>
      <c r="BF2631" s="4"/>
      <c r="BG2631" s="4"/>
      <c r="BH2631" s="4"/>
      <c r="BI2631" s="4"/>
      <c r="BJ2631" s="4"/>
      <c r="BK2631" s="4"/>
      <c r="BL2631" s="4"/>
      <c r="BM2631" s="4"/>
      <c r="BN2631" s="4"/>
      <c r="BO2631" s="4"/>
      <c r="BP2631" s="4"/>
      <c r="BQ2631" s="4"/>
      <c r="BR2631" s="4"/>
      <c r="BS2631" s="4"/>
      <c r="BT2631" s="4"/>
      <c r="BU2631" s="4"/>
    </row>
    <row r="2632" spans="29:73" s="1" customFormat="1" x14ac:dyDescent="0.25">
      <c r="AC2632" s="4"/>
      <c r="AD2632" s="4"/>
      <c r="AE2632" s="4"/>
      <c r="AF2632" s="4"/>
      <c r="AG2632" s="4"/>
      <c r="AH2632" s="4"/>
      <c r="AI2632" s="4"/>
      <c r="AJ2632" s="4"/>
      <c r="AK2632" s="4"/>
      <c r="AL2632" s="4"/>
      <c r="AM2632" s="4"/>
      <c r="AN2632" s="4"/>
      <c r="AO2632" s="4"/>
      <c r="AP2632" s="4"/>
      <c r="AQ2632" s="4"/>
      <c r="AR2632" s="4"/>
      <c r="AS2632" s="4"/>
      <c r="AT2632" s="4"/>
      <c r="AU2632" s="4"/>
      <c r="AV2632" s="4"/>
      <c r="AW2632" s="4"/>
      <c r="AX2632" s="4"/>
      <c r="AY2632" s="4"/>
      <c r="AZ2632" s="4"/>
      <c r="BA2632" s="4"/>
      <c r="BB2632" s="4"/>
      <c r="BC2632" s="4"/>
      <c r="BD2632" s="4"/>
      <c r="BE2632" s="4"/>
      <c r="BF2632" s="4"/>
      <c r="BG2632" s="4"/>
      <c r="BH2632" s="4"/>
      <c r="BI2632" s="4"/>
      <c r="BJ2632" s="4"/>
      <c r="BK2632" s="4"/>
      <c r="BL2632" s="4"/>
      <c r="BM2632" s="4"/>
      <c r="BN2632" s="4"/>
      <c r="BO2632" s="4"/>
      <c r="BP2632" s="4"/>
      <c r="BQ2632" s="4"/>
      <c r="BR2632" s="4"/>
      <c r="BS2632" s="4"/>
      <c r="BT2632" s="4"/>
      <c r="BU2632" s="4"/>
    </row>
    <row r="2633" spans="29:73" s="1" customFormat="1" x14ac:dyDescent="0.25">
      <c r="AC2633" s="4"/>
      <c r="AD2633" s="4"/>
      <c r="AE2633" s="4"/>
      <c r="AF2633" s="4"/>
      <c r="AG2633" s="4"/>
      <c r="AH2633" s="4"/>
      <c r="AI2633" s="4"/>
      <c r="AJ2633" s="4"/>
      <c r="AK2633" s="4"/>
      <c r="AL2633" s="4"/>
      <c r="AM2633" s="4"/>
      <c r="AN2633" s="4"/>
      <c r="AO2633" s="4"/>
      <c r="AP2633" s="4"/>
      <c r="AQ2633" s="4"/>
      <c r="AR2633" s="4"/>
      <c r="AS2633" s="4"/>
      <c r="AT2633" s="4"/>
      <c r="AU2633" s="4"/>
      <c r="AV2633" s="4"/>
      <c r="AW2633" s="4"/>
      <c r="AX2633" s="4"/>
      <c r="AY2633" s="4"/>
      <c r="AZ2633" s="4"/>
      <c r="BA2633" s="4"/>
      <c r="BB2633" s="4"/>
      <c r="BC2633" s="4"/>
      <c r="BD2633" s="4"/>
      <c r="BE2633" s="4"/>
      <c r="BF2633" s="4"/>
      <c r="BG2633" s="4"/>
      <c r="BH2633" s="4"/>
      <c r="BI2633" s="4"/>
      <c r="BJ2633" s="4"/>
      <c r="BK2633" s="4"/>
      <c r="BL2633" s="4"/>
      <c r="BM2633" s="4"/>
      <c r="BN2633" s="4"/>
      <c r="BO2633" s="4"/>
      <c r="BP2633" s="4"/>
      <c r="BQ2633" s="4"/>
      <c r="BR2633" s="4"/>
      <c r="BS2633" s="4"/>
      <c r="BT2633" s="4"/>
      <c r="BU2633" s="4"/>
    </row>
    <row r="2634" spans="29:73" s="1" customFormat="1" x14ac:dyDescent="0.25">
      <c r="AC2634" s="4"/>
      <c r="AD2634" s="4"/>
      <c r="AE2634" s="4"/>
      <c r="AF2634" s="4"/>
      <c r="AG2634" s="4"/>
      <c r="AH2634" s="4"/>
      <c r="AI2634" s="4"/>
      <c r="AJ2634" s="4"/>
      <c r="AK2634" s="4"/>
      <c r="AL2634" s="4"/>
      <c r="AM2634" s="4"/>
      <c r="AN2634" s="4"/>
      <c r="AO2634" s="4"/>
      <c r="AP2634" s="4"/>
      <c r="AQ2634" s="4"/>
      <c r="AR2634" s="4"/>
      <c r="AS2634" s="4"/>
      <c r="AT2634" s="4"/>
      <c r="AU2634" s="4"/>
      <c r="AV2634" s="4"/>
      <c r="AW2634" s="4"/>
      <c r="AX2634" s="4"/>
      <c r="AY2634" s="4"/>
      <c r="AZ2634" s="4"/>
      <c r="BA2634" s="4"/>
      <c r="BB2634" s="4"/>
      <c r="BC2634" s="4"/>
      <c r="BD2634" s="4"/>
      <c r="BE2634" s="4"/>
      <c r="BF2634" s="4"/>
      <c r="BG2634" s="4"/>
      <c r="BH2634" s="4"/>
      <c r="BI2634" s="4"/>
      <c r="BJ2634" s="4"/>
      <c r="BK2634" s="4"/>
      <c r="BL2634" s="4"/>
      <c r="BM2634" s="4"/>
      <c r="BN2634" s="4"/>
      <c r="BO2634" s="4"/>
      <c r="BP2634" s="4"/>
      <c r="BQ2634" s="4"/>
      <c r="BR2634" s="4"/>
      <c r="BS2634" s="4"/>
      <c r="BT2634" s="4"/>
      <c r="BU2634" s="4"/>
    </row>
    <row r="2635" spans="29:73" s="1" customFormat="1" x14ac:dyDescent="0.25">
      <c r="AC2635" s="4"/>
      <c r="AD2635" s="4"/>
      <c r="AE2635" s="4"/>
      <c r="AF2635" s="4"/>
      <c r="AG2635" s="4"/>
      <c r="AH2635" s="4"/>
      <c r="AI2635" s="4"/>
      <c r="AJ2635" s="4"/>
      <c r="AK2635" s="4"/>
      <c r="AL2635" s="4"/>
      <c r="AM2635" s="4"/>
      <c r="AN2635" s="4"/>
      <c r="AO2635" s="4"/>
      <c r="AP2635" s="4"/>
      <c r="AQ2635" s="4"/>
      <c r="AR2635" s="4"/>
      <c r="AS2635" s="4"/>
      <c r="AT2635" s="4"/>
      <c r="AU2635" s="4"/>
      <c r="AV2635" s="4"/>
      <c r="AW2635" s="4"/>
      <c r="AX2635" s="4"/>
      <c r="AY2635" s="4"/>
      <c r="AZ2635" s="4"/>
      <c r="BA2635" s="4"/>
      <c r="BB2635" s="4"/>
      <c r="BC2635" s="4"/>
      <c r="BD2635" s="4"/>
      <c r="BE2635" s="4"/>
      <c r="BF2635" s="4"/>
      <c r="BG2635" s="4"/>
      <c r="BH2635" s="4"/>
      <c r="BI2635" s="4"/>
      <c r="BJ2635" s="4"/>
      <c r="BK2635" s="4"/>
      <c r="BL2635" s="4"/>
      <c r="BM2635" s="4"/>
      <c r="BN2635" s="4"/>
      <c r="BO2635" s="4"/>
      <c r="BP2635" s="4"/>
      <c r="BQ2635" s="4"/>
      <c r="BR2635" s="4"/>
      <c r="BS2635" s="4"/>
      <c r="BT2635" s="4"/>
      <c r="BU2635" s="4"/>
    </row>
    <row r="2636" spans="29:73" s="1" customFormat="1" x14ac:dyDescent="0.25">
      <c r="AC2636" s="4"/>
      <c r="AD2636" s="4"/>
      <c r="AE2636" s="4"/>
      <c r="AF2636" s="4"/>
      <c r="AG2636" s="4"/>
      <c r="AH2636" s="4"/>
      <c r="AI2636" s="4"/>
      <c r="AJ2636" s="4"/>
      <c r="AK2636" s="4"/>
      <c r="AL2636" s="4"/>
      <c r="AM2636" s="4"/>
      <c r="AN2636" s="4"/>
      <c r="AO2636" s="4"/>
      <c r="AP2636" s="4"/>
      <c r="AQ2636" s="4"/>
      <c r="AR2636" s="4"/>
      <c r="AS2636" s="4"/>
      <c r="AT2636" s="4"/>
      <c r="AU2636" s="4"/>
      <c r="AV2636" s="4"/>
      <c r="AW2636" s="4"/>
      <c r="AX2636" s="4"/>
      <c r="AY2636" s="4"/>
      <c r="AZ2636" s="4"/>
      <c r="BA2636" s="4"/>
      <c r="BB2636" s="4"/>
      <c r="BC2636" s="4"/>
      <c r="BD2636" s="4"/>
      <c r="BE2636" s="4"/>
      <c r="BF2636" s="4"/>
      <c r="BG2636" s="4"/>
      <c r="BH2636" s="4"/>
      <c r="BI2636" s="4"/>
      <c r="BJ2636" s="4"/>
      <c r="BK2636" s="4"/>
      <c r="BL2636" s="4"/>
      <c r="BM2636" s="4"/>
      <c r="BN2636" s="4"/>
      <c r="BO2636" s="4"/>
      <c r="BP2636" s="4"/>
      <c r="BQ2636" s="4"/>
      <c r="BR2636" s="4"/>
      <c r="BS2636" s="4"/>
      <c r="BT2636" s="4"/>
      <c r="BU2636" s="4"/>
    </row>
    <row r="2637" spans="29:73" s="1" customFormat="1" x14ac:dyDescent="0.25">
      <c r="AC2637" s="4"/>
      <c r="AD2637" s="4"/>
      <c r="AE2637" s="4"/>
      <c r="AF2637" s="4"/>
      <c r="AG2637" s="4"/>
      <c r="AH2637" s="4"/>
      <c r="AI2637" s="4"/>
      <c r="AJ2637" s="4"/>
      <c r="AK2637" s="4"/>
      <c r="AL2637" s="4"/>
      <c r="AM2637" s="4"/>
      <c r="AN2637" s="4"/>
      <c r="AO2637" s="4"/>
      <c r="AP2637" s="4"/>
      <c r="AQ2637" s="4"/>
      <c r="AR2637" s="4"/>
      <c r="AS2637" s="4"/>
      <c r="AT2637" s="4"/>
      <c r="AU2637" s="4"/>
      <c r="AV2637" s="4"/>
      <c r="AW2637" s="4"/>
      <c r="AX2637" s="4"/>
      <c r="AY2637" s="4"/>
      <c r="AZ2637" s="4"/>
      <c r="BA2637" s="4"/>
      <c r="BB2637" s="4"/>
      <c r="BC2637" s="4"/>
      <c r="BD2637" s="4"/>
      <c r="BE2637" s="4"/>
      <c r="BF2637" s="4"/>
      <c r="BG2637" s="4"/>
      <c r="BH2637" s="4"/>
      <c r="BI2637" s="4"/>
      <c r="BJ2637" s="4"/>
      <c r="BK2637" s="4"/>
      <c r="BL2637" s="4"/>
      <c r="BM2637" s="4"/>
      <c r="BN2637" s="4"/>
      <c r="BO2637" s="4"/>
      <c r="BP2637" s="4"/>
      <c r="BQ2637" s="4"/>
      <c r="BR2637" s="4"/>
      <c r="BS2637" s="4"/>
      <c r="BT2637" s="4"/>
      <c r="BU2637" s="4"/>
    </row>
    <row r="2638" spans="29:73" s="1" customFormat="1" x14ac:dyDescent="0.25">
      <c r="AC2638" s="4"/>
      <c r="AD2638" s="4"/>
      <c r="AE2638" s="4"/>
      <c r="AF2638" s="4"/>
      <c r="AG2638" s="4"/>
      <c r="AH2638" s="4"/>
      <c r="AI2638" s="4"/>
      <c r="AJ2638" s="4"/>
      <c r="AK2638" s="4"/>
      <c r="AL2638" s="4"/>
      <c r="AM2638" s="4"/>
      <c r="AN2638" s="4"/>
      <c r="AO2638" s="4"/>
      <c r="AP2638" s="4"/>
      <c r="AQ2638" s="4"/>
      <c r="AR2638" s="4"/>
      <c r="AS2638" s="4"/>
      <c r="AT2638" s="4"/>
      <c r="AU2638" s="4"/>
      <c r="AV2638" s="4"/>
      <c r="AW2638" s="4"/>
      <c r="AX2638" s="4"/>
      <c r="AY2638" s="4"/>
      <c r="AZ2638" s="4"/>
      <c r="BA2638" s="4"/>
      <c r="BB2638" s="4"/>
      <c r="BC2638" s="4"/>
      <c r="BD2638" s="4"/>
      <c r="BE2638" s="4"/>
      <c r="BF2638" s="4"/>
      <c r="BG2638" s="4"/>
      <c r="BH2638" s="4"/>
      <c r="BI2638" s="4"/>
      <c r="BJ2638" s="4"/>
      <c r="BK2638" s="4"/>
      <c r="BL2638" s="4"/>
      <c r="BM2638" s="4"/>
      <c r="BN2638" s="4"/>
      <c r="BO2638" s="4"/>
      <c r="BP2638" s="4"/>
      <c r="BQ2638" s="4"/>
      <c r="BR2638" s="4"/>
      <c r="BS2638" s="4"/>
      <c r="BT2638" s="4"/>
      <c r="BU2638" s="4"/>
    </row>
    <row r="2639" spans="29:73" s="1" customFormat="1" x14ac:dyDescent="0.25">
      <c r="AC2639" s="4"/>
      <c r="AD2639" s="4"/>
      <c r="AE2639" s="4"/>
      <c r="AF2639" s="4"/>
      <c r="AG2639" s="4"/>
      <c r="AH2639" s="4"/>
      <c r="AI2639" s="4"/>
      <c r="AJ2639" s="4"/>
      <c r="AK2639" s="4"/>
      <c r="AL2639" s="4"/>
      <c r="AM2639" s="4"/>
      <c r="AN2639" s="4"/>
      <c r="AO2639" s="4"/>
      <c r="AP2639" s="4"/>
      <c r="AQ2639" s="4"/>
      <c r="AR2639" s="4"/>
      <c r="AS2639" s="4"/>
      <c r="AT2639" s="4"/>
      <c r="AU2639" s="4"/>
      <c r="AV2639" s="4"/>
      <c r="AW2639" s="4"/>
      <c r="AX2639" s="4"/>
      <c r="AY2639" s="4"/>
      <c r="AZ2639" s="4"/>
      <c r="BA2639" s="4"/>
      <c r="BB2639" s="4"/>
      <c r="BC2639" s="4"/>
      <c r="BD2639" s="4"/>
      <c r="BE2639" s="4"/>
      <c r="BF2639" s="4"/>
      <c r="BG2639" s="4"/>
      <c r="BH2639" s="4"/>
      <c r="BI2639" s="4"/>
      <c r="BJ2639" s="4"/>
      <c r="BK2639" s="4"/>
      <c r="BL2639" s="4"/>
      <c r="BM2639" s="4"/>
      <c r="BN2639" s="4"/>
      <c r="BO2639" s="4"/>
      <c r="BP2639" s="4"/>
      <c r="BQ2639" s="4"/>
      <c r="BR2639" s="4"/>
      <c r="BS2639" s="4"/>
      <c r="BT2639" s="4"/>
      <c r="BU2639" s="4"/>
    </row>
    <row r="2640" spans="29:73" s="1" customFormat="1" x14ac:dyDescent="0.25">
      <c r="AC2640" s="4"/>
      <c r="AD2640" s="4"/>
      <c r="AE2640" s="4"/>
      <c r="AF2640" s="4"/>
      <c r="AG2640" s="4"/>
      <c r="AH2640" s="4"/>
      <c r="AI2640" s="4"/>
      <c r="AJ2640" s="4"/>
      <c r="AK2640" s="4"/>
      <c r="AL2640" s="4"/>
      <c r="AM2640" s="4"/>
      <c r="AN2640" s="4"/>
      <c r="AO2640" s="4"/>
      <c r="AP2640" s="4"/>
      <c r="AQ2640" s="4"/>
      <c r="AR2640" s="4"/>
      <c r="AS2640" s="4"/>
      <c r="AT2640" s="4"/>
      <c r="AU2640" s="4"/>
      <c r="AV2640" s="4"/>
      <c r="AW2640" s="4"/>
      <c r="AX2640" s="4"/>
      <c r="AY2640" s="4"/>
      <c r="AZ2640" s="4"/>
      <c r="BA2640" s="4"/>
      <c r="BB2640" s="4"/>
      <c r="BC2640" s="4"/>
      <c r="BD2640" s="4"/>
      <c r="BE2640" s="4"/>
      <c r="BF2640" s="4"/>
      <c r="BG2640" s="4"/>
      <c r="BH2640" s="4"/>
      <c r="BI2640" s="4"/>
      <c r="BJ2640" s="4"/>
      <c r="BK2640" s="4"/>
      <c r="BL2640" s="4"/>
      <c r="BM2640" s="4"/>
      <c r="BN2640" s="4"/>
      <c r="BO2640" s="4"/>
      <c r="BP2640" s="4"/>
      <c r="BQ2640" s="4"/>
      <c r="BR2640" s="4"/>
      <c r="BS2640" s="4"/>
      <c r="BT2640" s="4"/>
      <c r="BU2640" s="4"/>
    </row>
    <row r="2641" spans="29:73" s="1" customFormat="1" x14ac:dyDescent="0.25">
      <c r="AC2641" s="4"/>
      <c r="AD2641" s="4"/>
      <c r="AE2641" s="4"/>
      <c r="AF2641" s="4"/>
      <c r="AG2641" s="4"/>
      <c r="AH2641" s="4"/>
      <c r="AI2641" s="4"/>
      <c r="AJ2641" s="4"/>
      <c r="AK2641" s="4"/>
      <c r="AL2641" s="4"/>
      <c r="AM2641" s="4"/>
      <c r="AN2641" s="4"/>
      <c r="AO2641" s="4"/>
      <c r="AP2641" s="4"/>
      <c r="AQ2641" s="4"/>
      <c r="AR2641" s="4"/>
      <c r="AS2641" s="4"/>
      <c r="AT2641" s="4"/>
      <c r="AU2641" s="4"/>
      <c r="AV2641" s="4"/>
      <c r="AW2641" s="4"/>
      <c r="AX2641" s="4"/>
      <c r="AY2641" s="4"/>
      <c r="AZ2641" s="4"/>
      <c r="BA2641" s="4"/>
      <c r="BB2641" s="4"/>
      <c r="BC2641" s="4"/>
      <c r="BD2641" s="4"/>
      <c r="BE2641" s="4"/>
      <c r="BF2641" s="4"/>
      <c r="BG2641" s="4"/>
      <c r="BH2641" s="4"/>
      <c r="BI2641" s="4"/>
      <c r="BJ2641" s="4"/>
      <c r="BK2641" s="4"/>
      <c r="BL2641" s="4"/>
      <c r="BM2641" s="4"/>
      <c r="BN2641" s="4"/>
      <c r="BO2641" s="4"/>
      <c r="BP2641" s="4"/>
      <c r="BQ2641" s="4"/>
      <c r="BR2641" s="4"/>
      <c r="BS2641" s="4"/>
      <c r="BT2641" s="4"/>
      <c r="BU2641" s="4"/>
    </row>
    <row r="2642" spans="29:73" s="1" customFormat="1" x14ac:dyDescent="0.25">
      <c r="AC2642" s="4"/>
      <c r="AD2642" s="4"/>
      <c r="AE2642" s="4"/>
      <c r="AF2642" s="4"/>
      <c r="AG2642" s="4"/>
      <c r="AH2642" s="4"/>
      <c r="AI2642" s="4"/>
      <c r="AJ2642" s="4"/>
      <c r="AK2642" s="4"/>
      <c r="AL2642" s="4"/>
      <c r="AM2642" s="4"/>
      <c r="AN2642" s="4"/>
      <c r="AO2642" s="4"/>
      <c r="AP2642" s="4"/>
      <c r="AQ2642" s="4"/>
      <c r="AR2642" s="4"/>
      <c r="AS2642" s="4"/>
      <c r="AT2642" s="4"/>
      <c r="AU2642" s="4"/>
      <c r="AV2642" s="4"/>
      <c r="AW2642" s="4"/>
      <c r="AX2642" s="4"/>
      <c r="AY2642" s="4"/>
      <c r="AZ2642" s="4"/>
      <c r="BA2642" s="4"/>
      <c r="BB2642" s="4"/>
      <c r="BC2642" s="4"/>
      <c r="BD2642" s="4"/>
      <c r="BE2642" s="4"/>
      <c r="BF2642" s="4"/>
      <c r="BG2642" s="4"/>
      <c r="BH2642" s="4"/>
      <c r="BI2642" s="4"/>
      <c r="BJ2642" s="4"/>
      <c r="BK2642" s="4"/>
      <c r="BL2642" s="4"/>
      <c r="BM2642" s="4"/>
      <c r="BN2642" s="4"/>
      <c r="BO2642" s="4"/>
      <c r="BP2642" s="4"/>
      <c r="BQ2642" s="4"/>
      <c r="BR2642" s="4"/>
      <c r="BS2642" s="4"/>
      <c r="BT2642" s="4"/>
      <c r="BU2642" s="4"/>
    </row>
    <row r="2643" spans="29:73" s="1" customFormat="1" x14ac:dyDescent="0.25">
      <c r="AC2643" s="4"/>
      <c r="AD2643" s="4"/>
      <c r="AE2643" s="4"/>
      <c r="AF2643" s="4"/>
      <c r="AG2643" s="4"/>
      <c r="AH2643" s="4"/>
      <c r="AI2643" s="4"/>
      <c r="AJ2643" s="4"/>
      <c r="AK2643" s="4"/>
      <c r="AL2643" s="4"/>
      <c r="AM2643" s="4"/>
      <c r="AN2643" s="4"/>
      <c r="AO2643" s="4"/>
      <c r="AP2643" s="4"/>
      <c r="AQ2643" s="4"/>
      <c r="AR2643" s="4"/>
      <c r="AS2643" s="4"/>
      <c r="AT2643" s="4"/>
      <c r="AU2643" s="4"/>
      <c r="AV2643" s="4"/>
      <c r="AW2643" s="4"/>
      <c r="AX2643" s="4"/>
      <c r="AY2643" s="4"/>
      <c r="AZ2643" s="4"/>
      <c r="BA2643" s="4"/>
      <c r="BB2643" s="4"/>
      <c r="BC2643" s="4"/>
      <c r="BD2643" s="4"/>
      <c r="BE2643" s="4"/>
      <c r="BF2643" s="4"/>
      <c r="BG2643" s="4"/>
      <c r="BH2643" s="4"/>
      <c r="BI2643" s="4"/>
      <c r="BJ2643" s="4"/>
      <c r="BK2643" s="4"/>
      <c r="BL2643" s="4"/>
      <c r="BM2643" s="4"/>
      <c r="BN2643" s="4"/>
      <c r="BO2643" s="4"/>
      <c r="BP2643" s="4"/>
      <c r="BQ2643" s="4"/>
      <c r="BR2643" s="4"/>
      <c r="BS2643" s="4"/>
      <c r="BT2643" s="4"/>
      <c r="BU2643" s="4"/>
    </row>
    <row r="2644" spans="29:73" s="1" customFormat="1" x14ac:dyDescent="0.25">
      <c r="AC2644" s="4"/>
      <c r="AD2644" s="4"/>
      <c r="AE2644" s="4"/>
      <c r="AF2644" s="4"/>
      <c r="AG2644" s="4"/>
      <c r="AH2644" s="4"/>
      <c r="AI2644" s="4"/>
      <c r="AJ2644" s="4"/>
      <c r="AK2644" s="4"/>
      <c r="AL2644" s="4"/>
      <c r="AM2644" s="4"/>
      <c r="AN2644" s="4"/>
      <c r="AO2644" s="4"/>
      <c r="AP2644" s="4"/>
      <c r="AQ2644" s="4"/>
      <c r="AR2644" s="4"/>
      <c r="AS2644" s="4"/>
      <c r="AT2644" s="4"/>
      <c r="AU2644" s="4"/>
      <c r="AV2644" s="4"/>
      <c r="AW2644" s="4"/>
      <c r="AX2644" s="4"/>
      <c r="AY2644" s="4"/>
      <c r="AZ2644" s="4"/>
      <c r="BA2644" s="4"/>
      <c r="BB2644" s="4"/>
      <c r="BC2644" s="4"/>
      <c r="BD2644" s="4"/>
      <c r="BE2644" s="4"/>
      <c r="BF2644" s="4"/>
      <c r="BG2644" s="4"/>
      <c r="BH2644" s="4"/>
      <c r="BI2644" s="4"/>
      <c r="BJ2644" s="4"/>
      <c r="BK2644" s="4"/>
      <c r="BL2644" s="4"/>
      <c r="BM2644" s="4"/>
      <c r="BN2644" s="4"/>
      <c r="BO2644" s="4"/>
      <c r="BP2644" s="4"/>
      <c r="BQ2644" s="4"/>
      <c r="BR2644" s="4"/>
      <c r="BS2644" s="4"/>
      <c r="BT2644" s="4"/>
      <c r="BU2644" s="4"/>
    </row>
    <row r="2645" spans="29:73" s="1" customFormat="1" x14ac:dyDescent="0.25">
      <c r="AC2645" s="4"/>
      <c r="AD2645" s="4"/>
      <c r="AE2645" s="4"/>
      <c r="AF2645" s="4"/>
      <c r="AG2645" s="4"/>
      <c r="AH2645" s="4"/>
      <c r="AI2645" s="4"/>
      <c r="AJ2645" s="4"/>
      <c r="AK2645" s="4"/>
      <c r="AL2645" s="4"/>
      <c r="AM2645" s="4"/>
      <c r="AN2645" s="4"/>
      <c r="AO2645" s="4"/>
      <c r="AP2645" s="4"/>
      <c r="AQ2645" s="4"/>
      <c r="AR2645" s="4"/>
      <c r="AS2645" s="4"/>
      <c r="AT2645" s="4"/>
      <c r="AU2645" s="4"/>
      <c r="AV2645" s="4"/>
      <c r="AW2645" s="4"/>
      <c r="AX2645" s="4"/>
      <c r="AY2645" s="4"/>
      <c r="AZ2645" s="4"/>
      <c r="BA2645" s="4"/>
      <c r="BB2645" s="4"/>
      <c r="BC2645" s="4"/>
      <c r="BD2645" s="4"/>
      <c r="BE2645" s="4"/>
      <c r="BF2645" s="4"/>
      <c r="BG2645" s="4"/>
      <c r="BH2645" s="4"/>
      <c r="BI2645" s="4"/>
      <c r="BJ2645" s="4"/>
      <c r="BK2645" s="4"/>
      <c r="BL2645" s="4"/>
      <c r="BM2645" s="4"/>
      <c r="BN2645" s="4"/>
      <c r="BO2645" s="4"/>
      <c r="BP2645" s="4"/>
      <c r="BQ2645" s="4"/>
      <c r="BR2645" s="4"/>
      <c r="BS2645" s="4"/>
      <c r="BT2645" s="4"/>
      <c r="BU2645" s="4"/>
    </row>
    <row r="2646" spans="29:73" s="1" customFormat="1" x14ac:dyDescent="0.25">
      <c r="AC2646" s="4"/>
      <c r="AD2646" s="4"/>
      <c r="AE2646" s="4"/>
      <c r="AF2646" s="4"/>
      <c r="AG2646" s="4"/>
      <c r="AH2646" s="4"/>
      <c r="AI2646" s="4"/>
      <c r="AJ2646" s="4"/>
      <c r="AK2646" s="4"/>
      <c r="AL2646" s="4"/>
      <c r="AM2646" s="4"/>
      <c r="AN2646" s="4"/>
      <c r="AO2646" s="4"/>
      <c r="AP2646" s="4"/>
      <c r="AQ2646" s="4"/>
      <c r="AR2646" s="4"/>
      <c r="AS2646" s="4"/>
      <c r="AT2646" s="4"/>
      <c r="AU2646" s="4"/>
      <c r="AV2646" s="4"/>
      <c r="AW2646" s="4"/>
      <c r="AX2646" s="4"/>
      <c r="AY2646" s="4"/>
      <c r="AZ2646" s="4"/>
      <c r="BA2646" s="4"/>
      <c r="BB2646" s="4"/>
      <c r="BC2646" s="4"/>
      <c r="BD2646" s="4"/>
      <c r="BE2646" s="4"/>
      <c r="BF2646" s="4"/>
      <c r="BG2646" s="4"/>
      <c r="BH2646" s="4"/>
      <c r="BI2646" s="4"/>
      <c r="BJ2646" s="4"/>
      <c r="BK2646" s="4"/>
      <c r="BL2646" s="4"/>
      <c r="BM2646" s="4"/>
      <c r="BN2646" s="4"/>
      <c r="BO2646" s="4"/>
      <c r="BP2646" s="4"/>
      <c r="BQ2646" s="4"/>
      <c r="BR2646" s="4"/>
      <c r="BS2646" s="4"/>
      <c r="BT2646" s="4"/>
      <c r="BU2646" s="4"/>
    </row>
    <row r="2647" spans="29:73" s="1" customFormat="1" x14ac:dyDescent="0.25">
      <c r="AC2647" s="4"/>
      <c r="AD2647" s="4"/>
      <c r="AE2647" s="4"/>
      <c r="AF2647" s="4"/>
      <c r="AG2647" s="4"/>
      <c r="AH2647" s="4"/>
      <c r="AI2647" s="4"/>
      <c r="AJ2647" s="4"/>
      <c r="AK2647" s="4"/>
      <c r="AL2647" s="4"/>
      <c r="AM2647" s="4"/>
      <c r="AN2647" s="4"/>
      <c r="AO2647" s="4"/>
      <c r="AP2647" s="4"/>
      <c r="AQ2647" s="4"/>
      <c r="AR2647" s="4"/>
      <c r="AS2647" s="4"/>
      <c r="AT2647" s="4"/>
      <c r="AU2647" s="4"/>
      <c r="AV2647" s="4"/>
      <c r="AW2647" s="4"/>
      <c r="AX2647" s="4"/>
      <c r="AY2647" s="4"/>
      <c r="AZ2647" s="4"/>
      <c r="BA2647" s="4"/>
      <c r="BB2647" s="4"/>
      <c r="BC2647" s="4"/>
      <c r="BD2647" s="4"/>
      <c r="BE2647" s="4"/>
      <c r="BF2647" s="4"/>
      <c r="BG2647" s="4"/>
      <c r="BH2647" s="4"/>
      <c r="BI2647" s="4"/>
      <c r="BJ2647" s="4"/>
      <c r="BK2647" s="4"/>
      <c r="BL2647" s="4"/>
      <c r="BM2647" s="4"/>
      <c r="BN2647" s="4"/>
      <c r="BO2647" s="4"/>
      <c r="BP2647" s="4"/>
      <c r="BQ2647" s="4"/>
      <c r="BR2647" s="4"/>
      <c r="BS2647" s="4"/>
      <c r="BT2647" s="4"/>
      <c r="BU2647" s="4"/>
    </row>
    <row r="2648" spans="29:73" s="1" customFormat="1" x14ac:dyDescent="0.25">
      <c r="AC2648" s="4"/>
      <c r="AD2648" s="4"/>
      <c r="AE2648" s="4"/>
      <c r="AF2648" s="4"/>
      <c r="AG2648" s="4"/>
      <c r="AH2648" s="4"/>
      <c r="AI2648" s="4"/>
      <c r="AJ2648" s="4"/>
      <c r="AK2648" s="4"/>
      <c r="AL2648" s="4"/>
      <c r="AM2648" s="4"/>
      <c r="AN2648" s="4"/>
      <c r="AO2648" s="4"/>
      <c r="AP2648" s="4"/>
      <c r="AQ2648" s="4"/>
      <c r="AR2648" s="4"/>
      <c r="AS2648" s="4"/>
      <c r="AT2648" s="4"/>
      <c r="AU2648" s="4"/>
      <c r="AV2648" s="4"/>
      <c r="AW2648" s="4"/>
      <c r="AX2648" s="4"/>
      <c r="AY2648" s="4"/>
      <c r="AZ2648" s="4"/>
      <c r="BA2648" s="4"/>
      <c r="BB2648" s="4"/>
      <c r="BC2648" s="4"/>
      <c r="BD2648" s="4"/>
      <c r="BE2648" s="4"/>
      <c r="BF2648" s="4"/>
      <c r="BG2648" s="4"/>
      <c r="BH2648" s="4"/>
      <c r="BI2648" s="4"/>
      <c r="BJ2648" s="4"/>
      <c r="BK2648" s="4"/>
      <c r="BL2648" s="4"/>
      <c r="BM2648" s="4"/>
      <c r="BN2648" s="4"/>
      <c r="BO2648" s="4"/>
      <c r="BP2648" s="4"/>
      <c r="BQ2648" s="4"/>
      <c r="BR2648" s="4"/>
      <c r="BS2648" s="4"/>
      <c r="BT2648" s="4"/>
      <c r="BU2648" s="4"/>
    </row>
    <row r="2649" spans="29:73" s="1" customFormat="1" x14ac:dyDescent="0.25">
      <c r="AC2649" s="4"/>
      <c r="AD2649" s="4"/>
      <c r="AE2649" s="4"/>
      <c r="AF2649" s="4"/>
      <c r="AG2649" s="4"/>
      <c r="AH2649" s="4"/>
      <c r="AI2649" s="4"/>
      <c r="AJ2649" s="4"/>
      <c r="AK2649" s="4"/>
      <c r="AL2649" s="4"/>
      <c r="AM2649" s="4"/>
      <c r="AN2649" s="4"/>
      <c r="AO2649" s="4"/>
      <c r="AP2649" s="4"/>
      <c r="AQ2649" s="4"/>
      <c r="AR2649" s="4"/>
      <c r="AS2649" s="4"/>
      <c r="AT2649" s="4"/>
      <c r="AU2649" s="4"/>
      <c r="AV2649" s="4"/>
      <c r="AW2649" s="4"/>
      <c r="AX2649" s="4"/>
      <c r="AY2649" s="4"/>
      <c r="AZ2649" s="4"/>
      <c r="BA2649" s="4"/>
      <c r="BB2649" s="4"/>
      <c r="BC2649" s="4"/>
      <c r="BD2649" s="4"/>
      <c r="BE2649" s="4"/>
      <c r="BF2649" s="4"/>
      <c r="BG2649" s="4"/>
      <c r="BH2649" s="4"/>
      <c r="BI2649" s="4"/>
      <c r="BJ2649" s="4"/>
      <c r="BK2649" s="4"/>
      <c r="BL2649" s="4"/>
      <c r="BM2649" s="4"/>
      <c r="BN2649" s="4"/>
      <c r="BO2649" s="4"/>
      <c r="BP2649" s="4"/>
      <c r="BQ2649" s="4"/>
      <c r="BR2649" s="4"/>
      <c r="BS2649" s="4"/>
      <c r="BT2649" s="4"/>
      <c r="BU2649" s="4"/>
    </row>
    <row r="2650" spans="29:73" s="1" customFormat="1" x14ac:dyDescent="0.25">
      <c r="AC2650" s="4"/>
      <c r="AD2650" s="4"/>
      <c r="AE2650" s="4"/>
      <c r="AF2650" s="4"/>
      <c r="AG2650" s="4"/>
      <c r="AH2650" s="4"/>
      <c r="AI2650" s="4"/>
      <c r="AJ2650" s="4"/>
      <c r="AK2650" s="4"/>
      <c r="AL2650" s="4"/>
      <c r="AM2650" s="4"/>
      <c r="AN2650" s="4"/>
      <c r="AO2650" s="4"/>
      <c r="AP2650" s="4"/>
      <c r="AQ2650" s="4"/>
      <c r="AR2650" s="4"/>
      <c r="AS2650" s="4"/>
      <c r="AT2650" s="4"/>
      <c r="AU2650" s="4"/>
      <c r="AV2650" s="4"/>
      <c r="AW2650" s="4"/>
      <c r="AX2650" s="4"/>
      <c r="AY2650" s="4"/>
      <c r="AZ2650" s="4"/>
      <c r="BA2650" s="4"/>
      <c r="BB2650" s="4"/>
      <c r="BC2650" s="4"/>
      <c r="BD2650" s="4"/>
      <c r="BE2650" s="4"/>
      <c r="BF2650" s="4"/>
      <c r="BG2650" s="4"/>
      <c r="BH2650" s="4"/>
      <c r="BI2650" s="4"/>
      <c r="BJ2650" s="4"/>
      <c r="BK2650" s="4"/>
      <c r="BL2650" s="4"/>
      <c r="BM2650" s="4"/>
      <c r="BN2650" s="4"/>
      <c r="BO2650" s="4"/>
      <c r="BP2650" s="4"/>
      <c r="BQ2650" s="4"/>
      <c r="BR2650" s="4"/>
      <c r="BS2650" s="4"/>
      <c r="BT2650" s="4"/>
      <c r="BU2650" s="4"/>
    </row>
    <row r="2651" spans="29:73" s="1" customFormat="1" x14ac:dyDescent="0.25">
      <c r="AC2651" s="4"/>
      <c r="AD2651" s="4"/>
      <c r="AE2651" s="4"/>
      <c r="AF2651" s="4"/>
      <c r="AG2651" s="4"/>
      <c r="AH2651" s="4"/>
      <c r="AI2651" s="4"/>
      <c r="AJ2651" s="4"/>
      <c r="AK2651" s="4"/>
      <c r="AL2651" s="4"/>
      <c r="AM2651" s="4"/>
      <c r="AN2651" s="4"/>
      <c r="AO2651" s="4"/>
      <c r="AP2651" s="4"/>
      <c r="AQ2651" s="4"/>
      <c r="AR2651" s="4"/>
      <c r="AS2651" s="4"/>
      <c r="AT2651" s="4"/>
      <c r="AU2651" s="4"/>
      <c r="AV2651" s="4"/>
      <c r="AW2651" s="4"/>
      <c r="AX2651" s="4"/>
      <c r="AY2651" s="4"/>
      <c r="AZ2651" s="4"/>
      <c r="BA2651" s="4"/>
      <c r="BB2651" s="4"/>
      <c r="BC2651" s="4"/>
      <c r="BD2651" s="4"/>
      <c r="BE2651" s="4"/>
      <c r="BF2651" s="4"/>
      <c r="BG2651" s="4"/>
      <c r="BH2651" s="4"/>
      <c r="BI2651" s="4"/>
      <c r="BJ2651" s="4"/>
      <c r="BK2651" s="4"/>
      <c r="BL2651" s="4"/>
      <c r="BM2651" s="4"/>
      <c r="BN2651" s="4"/>
      <c r="BO2651" s="4"/>
      <c r="BP2651" s="4"/>
      <c r="BQ2651" s="4"/>
      <c r="BR2651" s="4"/>
      <c r="BS2651" s="4"/>
      <c r="BT2651" s="4"/>
      <c r="BU2651" s="4"/>
    </row>
    <row r="2652" spans="29:73" s="1" customFormat="1" x14ac:dyDescent="0.25">
      <c r="AC2652" s="4"/>
      <c r="AD2652" s="4"/>
      <c r="AE2652" s="4"/>
      <c r="AF2652" s="4"/>
      <c r="AG2652" s="4"/>
      <c r="AH2652" s="4"/>
      <c r="AI2652" s="4"/>
      <c r="AJ2652" s="4"/>
      <c r="AK2652" s="4"/>
      <c r="AL2652" s="4"/>
      <c r="AM2652" s="4"/>
      <c r="AN2652" s="4"/>
      <c r="AO2652" s="4"/>
      <c r="AP2652" s="4"/>
      <c r="AQ2652" s="4"/>
      <c r="AR2652" s="4"/>
      <c r="AS2652" s="4"/>
      <c r="AT2652" s="4"/>
      <c r="AU2652" s="4"/>
      <c r="AV2652" s="4"/>
      <c r="AW2652" s="4"/>
      <c r="AX2652" s="4"/>
      <c r="AY2652" s="4"/>
      <c r="AZ2652" s="4"/>
      <c r="BA2652" s="4"/>
      <c r="BB2652" s="4"/>
      <c r="BC2652" s="4"/>
      <c r="BD2652" s="4"/>
      <c r="BE2652" s="4"/>
      <c r="BF2652" s="4"/>
      <c r="BG2652" s="4"/>
      <c r="BH2652" s="4"/>
      <c r="BI2652" s="4"/>
      <c r="BJ2652" s="4"/>
      <c r="BK2652" s="4"/>
      <c r="BL2652" s="4"/>
      <c r="BM2652" s="4"/>
      <c r="BN2652" s="4"/>
      <c r="BO2652" s="4"/>
      <c r="BP2652" s="4"/>
      <c r="BQ2652" s="4"/>
      <c r="BR2652" s="4"/>
      <c r="BS2652" s="4"/>
      <c r="BT2652" s="4"/>
      <c r="BU2652" s="4"/>
    </row>
    <row r="2653" spans="29:73" s="1" customFormat="1" x14ac:dyDescent="0.25">
      <c r="AC2653" s="4"/>
      <c r="AD2653" s="4"/>
      <c r="AE2653" s="4"/>
      <c r="AF2653" s="4"/>
      <c r="AG2653" s="4"/>
      <c r="AH2653" s="4"/>
      <c r="AI2653" s="4"/>
      <c r="AJ2653" s="4"/>
      <c r="AK2653" s="4"/>
      <c r="AL2653" s="4"/>
      <c r="AM2653" s="4"/>
      <c r="AN2653" s="4"/>
      <c r="AO2653" s="4"/>
      <c r="AP2653" s="4"/>
      <c r="AQ2653" s="4"/>
      <c r="AR2653" s="4"/>
      <c r="AS2653" s="4"/>
      <c r="AT2653" s="4"/>
      <c r="AU2653" s="4"/>
      <c r="AV2653" s="4"/>
      <c r="AW2653" s="4"/>
      <c r="AX2653" s="4"/>
      <c r="AY2653" s="4"/>
      <c r="AZ2653" s="4"/>
      <c r="BA2653" s="4"/>
      <c r="BB2653" s="4"/>
      <c r="BC2653" s="4"/>
      <c r="BD2653" s="4"/>
      <c r="BE2653" s="4"/>
      <c r="BF2653" s="4"/>
      <c r="BG2653" s="4"/>
      <c r="BH2653" s="4"/>
      <c r="BI2653" s="4"/>
      <c r="BJ2653" s="4"/>
      <c r="BK2653" s="4"/>
      <c r="BL2653" s="4"/>
      <c r="BM2653" s="4"/>
      <c r="BN2653" s="4"/>
      <c r="BO2653" s="4"/>
      <c r="BP2653" s="4"/>
      <c r="BQ2653" s="4"/>
      <c r="BR2653" s="4"/>
      <c r="BS2653" s="4"/>
      <c r="BT2653" s="4"/>
      <c r="BU2653" s="4"/>
    </row>
    <row r="2654" spans="29:73" s="1" customFormat="1" x14ac:dyDescent="0.25">
      <c r="AC2654" s="4"/>
      <c r="AD2654" s="4"/>
      <c r="AE2654" s="4"/>
      <c r="AF2654" s="4"/>
      <c r="AG2654" s="4"/>
      <c r="AH2654" s="4"/>
      <c r="AI2654" s="4"/>
      <c r="AJ2654" s="4"/>
      <c r="AK2654" s="4"/>
      <c r="AL2654" s="4"/>
      <c r="AM2654" s="4"/>
      <c r="AN2654" s="4"/>
      <c r="AO2654" s="4"/>
      <c r="AP2654" s="4"/>
      <c r="AQ2654" s="4"/>
      <c r="AR2654" s="4"/>
      <c r="AS2654" s="4"/>
      <c r="AT2654" s="4"/>
      <c r="AU2654" s="4"/>
      <c r="AV2654" s="4"/>
      <c r="AW2654" s="4"/>
      <c r="AX2654" s="4"/>
      <c r="AY2654" s="4"/>
      <c r="AZ2654" s="4"/>
      <c r="BA2654" s="4"/>
      <c r="BB2654" s="4"/>
      <c r="BC2654" s="4"/>
      <c r="BD2654" s="4"/>
      <c r="BE2654" s="4"/>
      <c r="BF2654" s="4"/>
      <c r="BG2654" s="4"/>
      <c r="BH2654" s="4"/>
      <c r="BI2654" s="4"/>
      <c r="BJ2654" s="4"/>
      <c r="BK2654" s="4"/>
      <c r="BL2654" s="4"/>
      <c r="BM2654" s="4"/>
      <c r="BN2654" s="4"/>
      <c r="BO2654" s="4"/>
      <c r="BP2654" s="4"/>
      <c r="BQ2654" s="4"/>
      <c r="BR2654" s="4"/>
      <c r="BS2654" s="4"/>
      <c r="BT2654" s="4"/>
      <c r="BU2654" s="4"/>
    </row>
    <row r="2655" spans="29:73" s="1" customFormat="1" x14ac:dyDescent="0.25">
      <c r="AC2655" s="4"/>
      <c r="AD2655" s="4"/>
      <c r="AE2655" s="4"/>
      <c r="AF2655" s="4"/>
      <c r="AG2655" s="4"/>
      <c r="AH2655" s="4"/>
      <c r="AI2655" s="4"/>
      <c r="AJ2655" s="4"/>
      <c r="AK2655" s="4"/>
      <c r="AL2655" s="4"/>
      <c r="AM2655" s="4"/>
      <c r="AN2655" s="4"/>
      <c r="AO2655" s="4"/>
      <c r="AP2655" s="4"/>
      <c r="AQ2655" s="4"/>
      <c r="AR2655" s="4"/>
      <c r="AS2655" s="4"/>
      <c r="AT2655" s="4"/>
      <c r="AU2655" s="4"/>
      <c r="AV2655" s="4"/>
      <c r="AW2655" s="4"/>
      <c r="AX2655" s="4"/>
      <c r="AY2655" s="4"/>
      <c r="AZ2655" s="4"/>
      <c r="BA2655" s="4"/>
      <c r="BB2655" s="4"/>
      <c r="BC2655" s="4"/>
      <c r="BD2655" s="4"/>
      <c r="BE2655" s="4"/>
      <c r="BF2655" s="4"/>
      <c r="BG2655" s="4"/>
      <c r="BH2655" s="4"/>
      <c r="BI2655" s="4"/>
      <c r="BJ2655" s="4"/>
      <c r="BK2655" s="4"/>
      <c r="BL2655" s="4"/>
      <c r="BM2655" s="4"/>
      <c r="BN2655" s="4"/>
      <c r="BO2655" s="4"/>
      <c r="BP2655" s="4"/>
      <c r="BQ2655" s="4"/>
      <c r="BR2655" s="4"/>
      <c r="BS2655" s="4"/>
      <c r="BT2655" s="4"/>
      <c r="BU2655" s="4"/>
    </row>
    <row r="2656" spans="29:73" s="1" customFormat="1" x14ac:dyDescent="0.25">
      <c r="AC2656" s="4"/>
      <c r="AD2656" s="4"/>
      <c r="AE2656" s="4"/>
      <c r="AF2656" s="4"/>
      <c r="AG2656" s="4"/>
      <c r="AH2656" s="4"/>
      <c r="AI2656" s="4"/>
      <c r="AJ2656" s="4"/>
      <c r="AK2656" s="4"/>
      <c r="AL2656" s="4"/>
      <c r="AM2656" s="4"/>
      <c r="AN2656" s="4"/>
      <c r="AO2656" s="4"/>
      <c r="AP2656" s="4"/>
      <c r="AQ2656" s="4"/>
      <c r="AR2656" s="4"/>
      <c r="AS2656" s="4"/>
      <c r="AT2656" s="4"/>
      <c r="AU2656" s="4"/>
      <c r="AV2656" s="4"/>
      <c r="AW2656" s="4"/>
      <c r="AX2656" s="4"/>
      <c r="AY2656" s="4"/>
      <c r="AZ2656" s="4"/>
      <c r="BA2656" s="4"/>
      <c r="BB2656" s="4"/>
      <c r="BC2656" s="4"/>
      <c r="BD2656" s="4"/>
      <c r="BE2656" s="4"/>
      <c r="BF2656" s="4"/>
      <c r="BG2656" s="4"/>
      <c r="BH2656" s="4"/>
      <c r="BI2656" s="4"/>
      <c r="BJ2656" s="4"/>
      <c r="BK2656" s="4"/>
      <c r="BL2656" s="4"/>
      <c r="BM2656" s="4"/>
      <c r="BN2656" s="4"/>
      <c r="BO2656" s="4"/>
      <c r="BP2656" s="4"/>
      <c r="BQ2656" s="4"/>
      <c r="BR2656" s="4"/>
      <c r="BS2656" s="4"/>
      <c r="BT2656" s="4"/>
      <c r="BU2656" s="4"/>
    </row>
    <row r="2657" spans="29:73" s="1" customFormat="1" x14ac:dyDescent="0.25">
      <c r="AC2657" s="4"/>
      <c r="AD2657" s="4"/>
      <c r="AE2657" s="4"/>
      <c r="AF2657" s="4"/>
      <c r="AG2657" s="4"/>
      <c r="AH2657" s="4"/>
      <c r="AI2657" s="4"/>
      <c r="AJ2657" s="4"/>
      <c r="AK2657" s="4"/>
      <c r="AL2657" s="4"/>
      <c r="AM2657" s="4"/>
      <c r="AN2657" s="4"/>
      <c r="AO2657" s="4"/>
      <c r="AP2657" s="4"/>
      <c r="AQ2657" s="4"/>
      <c r="AR2657" s="4"/>
      <c r="AS2657" s="4"/>
      <c r="AT2657" s="4"/>
      <c r="AU2657" s="4"/>
      <c r="AV2657" s="4"/>
      <c r="AW2657" s="4"/>
      <c r="AX2657" s="4"/>
      <c r="AY2657" s="4"/>
      <c r="AZ2657" s="4"/>
      <c r="BA2657" s="4"/>
      <c r="BB2657" s="4"/>
      <c r="BC2657" s="4"/>
      <c r="BD2657" s="4"/>
      <c r="BE2657" s="4"/>
      <c r="BF2657" s="4"/>
      <c r="BG2657" s="4"/>
      <c r="BH2657" s="4"/>
      <c r="BI2657" s="4"/>
      <c r="BJ2657" s="4"/>
      <c r="BK2657" s="4"/>
      <c r="BL2657" s="4"/>
      <c r="BM2657" s="4"/>
      <c r="BN2657" s="4"/>
      <c r="BO2657" s="4"/>
      <c r="BP2657" s="4"/>
      <c r="BQ2657" s="4"/>
      <c r="BR2657" s="4"/>
      <c r="BS2657" s="4"/>
      <c r="BT2657" s="4"/>
      <c r="BU2657" s="4"/>
    </row>
    <row r="2658" spans="29:73" s="1" customFormat="1" x14ac:dyDescent="0.25">
      <c r="AC2658" s="4"/>
      <c r="AD2658" s="4"/>
      <c r="AE2658" s="4"/>
      <c r="AF2658" s="4"/>
      <c r="AG2658" s="4"/>
      <c r="AH2658" s="4"/>
      <c r="AI2658" s="4"/>
      <c r="AJ2658" s="4"/>
      <c r="AK2658" s="4"/>
      <c r="AL2658" s="4"/>
      <c r="AM2658" s="4"/>
      <c r="AN2658" s="4"/>
      <c r="AO2658" s="4"/>
      <c r="AP2658" s="4"/>
      <c r="AQ2658" s="4"/>
      <c r="AR2658" s="4"/>
      <c r="AS2658" s="4"/>
      <c r="AT2658" s="4"/>
      <c r="AU2658" s="4"/>
      <c r="AV2658" s="4"/>
      <c r="AW2658" s="4"/>
      <c r="AX2658" s="4"/>
      <c r="AY2658" s="4"/>
      <c r="AZ2658" s="4"/>
      <c r="BA2658" s="4"/>
      <c r="BB2658" s="4"/>
      <c r="BC2658" s="4"/>
      <c r="BD2658" s="4"/>
      <c r="BE2658" s="4"/>
      <c r="BF2658" s="4"/>
      <c r="BG2658" s="4"/>
      <c r="BH2658" s="4"/>
      <c r="BI2658" s="4"/>
      <c r="BJ2658" s="4"/>
      <c r="BK2658" s="4"/>
      <c r="BL2658" s="4"/>
      <c r="BM2658" s="4"/>
      <c r="BN2658" s="4"/>
      <c r="BO2658" s="4"/>
      <c r="BP2658" s="4"/>
      <c r="BQ2658" s="4"/>
      <c r="BR2658" s="4"/>
      <c r="BS2658" s="4"/>
      <c r="BT2658" s="4"/>
      <c r="BU2658" s="4"/>
    </row>
    <row r="2659" spans="29:73" s="1" customFormat="1" x14ac:dyDescent="0.25">
      <c r="AC2659" s="4"/>
      <c r="AD2659" s="4"/>
      <c r="AE2659" s="4"/>
      <c r="AF2659" s="4"/>
      <c r="AG2659" s="4"/>
      <c r="AH2659" s="4"/>
      <c r="AI2659" s="4"/>
      <c r="AJ2659" s="4"/>
      <c r="AK2659" s="4"/>
      <c r="AL2659" s="4"/>
      <c r="AM2659" s="4"/>
      <c r="AN2659" s="4"/>
      <c r="AO2659" s="4"/>
      <c r="AP2659" s="4"/>
      <c r="AQ2659" s="4"/>
      <c r="AR2659" s="4"/>
      <c r="AS2659" s="4"/>
      <c r="AT2659" s="4"/>
      <c r="AU2659" s="4"/>
      <c r="AV2659" s="4"/>
      <c r="AW2659" s="4"/>
      <c r="AX2659" s="4"/>
      <c r="AY2659" s="4"/>
      <c r="AZ2659" s="4"/>
      <c r="BA2659" s="4"/>
      <c r="BB2659" s="4"/>
      <c r="BC2659" s="4"/>
      <c r="BD2659" s="4"/>
      <c r="BE2659" s="4"/>
      <c r="BF2659" s="4"/>
      <c r="BG2659" s="4"/>
      <c r="BH2659" s="4"/>
      <c r="BI2659" s="4"/>
      <c r="BJ2659" s="4"/>
      <c r="BK2659" s="4"/>
      <c r="BL2659" s="4"/>
      <c r="BM2659" s="4"/>
      <c r="BN2659" s="4"/>
      <c r="BO2659" s="4"/>
      <c r="BP2659" s="4"/>
      <c r="BQ2659" s="4"/>
      <c r="BR2659" s="4"/>
      <c r="BS2659" s="4"/>
      <c r="BT2659" s="4"/>
      <c r="BU2659" s="4"/>
    </row>
    <row r="2660" spans="29:73" s="1" customFormat="1" x14ac:dyDescent="0.25">
      <c r="AC2660" s="4"/>
      <c r="AD2660" s="4"/>
      <c r="AE2660" s="4"/>
      <c r="AF2660" s="4"/>
      <c r="AG2660" s="4"/>
      <c r="AH2660" s="4"/>
      <c r="AI2660" s="4"/>
      <c r="AJ2660" s="4"/>
      <c r="AK2660" s="4"/>
      <c r="AL2660" s="4"/>
      <c r="AM2660" s="4"/>
      <c r="AN2660" s="4"/>
      <c r="AO2660" s="4"/>
      <c r="AP2660" s="4"/>
      <c r="AQ2660" s="4"/>
      <c r="AR2660" s="4"/>
      <c r="AS2660" s="4"/>
      <c r="AT2660" s="4"/>
      <c r="AU2660" s="4"/>
      <c r="AV2660" s="4"/>
      <c r="AW2660" s="4"/>
      <c r="AX2660" s="4"/>
      <c r="AY2660" s="4"/>
      <c r="AZ2660" s="4"/>
      <c r="BA2660" s="4"/>
      <c r="BB2660" s="4"/>
      <c r="BC2660" s="4"/>
      <c r="BD2660" s="4"/>
      <c r="BE2660" s="4"/>
      <c r="BF2660" s="4"/>
      <c r="BG2660" s="4"/>
      <c r="BH2660" s="4"/>
      <c r="BI2660" s="4"/>
      <c r="BJ2660" s="4"/>
      <c r="BK2660" s="4"/>
      <c r="BL2660" s="4"/>
      <c r="BM2660" s="4"/>
      <c r="BN2660" s="4"/>
      <c r="BO2660" s="4"/>
      <c r="BP2660" s="4"/>
      <c r="BQ2660" s="4"/>
      <c r="BR2660" s="4"/>
      <c r="BS2660" s="4"/>
      <c r="BT2660" s="4"/>
      <c r="BU2660" s="4"/>
    </row>
    <row r="2661" spans="29:73" s="1" customFormat="1" x14ac:dyDescent="0.25">
      <c r="AC2661" s="4"/>
      <c r="AD2661" s="4"/>
      <c r="AE2661" s="4"/>
      <c r="AF2661" s="4"/>
      <c r="AG2661" s="4"/>
      <c r="AH2661" s="4"/>
      <c r="AI2661" s="4"/>
      <c r="AJ2661" s="4"/>
      <c r="AK2661" s="4"/>
      <c r="AL2661" s="4"/>
      <c r="AM2661" s="4"/>
      <c r="AN2661" s="4"/>
      <c r="AO2661" s="4"/>
      <c r="AP2661" s="4"/>
      <c r="AQ2661" s="4"/>
      <c r="AR2661" s="4"/>
      <c r="AS2661" s="4"/>
      <c r="AT2661" s="4"/>
      <c r="AU2661" s="4"/>
      <c r="AV2661" s="4"/>
      <c r="AW2661" s="4"/>
      <c r="AX2661" s="4"/>
      <c r="AY2661" s="4"/>
      <c r="AZ2661" s="4"/>
      <c r="BA2661" s="4"/>
      <c r="BB2661" s="4"/>
      <c r="BC2661" s="4"/>
      <c r="BD2661" s="4"/>
      <c r="BE2661" s="4"/>
      <c r="BF2661" s="4"/>
      <c r="BG2661" s="4"/>
      <c r="BH2661" s="4"/>
      <c r="BI2661" s="4"/>
      <c r="BJ2661" s="4"/>
      <c r="BK2661" s="4"/>
      <c r="BL2661" s="4"/>
      <c r="BM2661" s="4"/>
      <c r="BN2661" s="4"/>
      <c r="BO2661" s="4"/>
      <c r="BP2661" s="4"/>
      <c r="BQ2661" s="4"/>
      <c r="BR2661" s="4"/>
      <c r="BS2661" s="4"/>
      <c r="BT2661" s="4"/>
      <c r="BU2661" s="4"/>
    </row>
    <row r="2662" spans="29:73" s="1" customFormat="1" x14ac:dyDescent="0.25">
      <c r="AC2662" s="4"/>
      <c r="AD2662" s="4"/>
      <c r="AE2662" s="4"/>
      <c r="AF2662" s="4"/>
      <c r="AG2662" s="4"/>
      <c r="AH2662" s="4"/>
      <c r="AI2662" s="4"/>
      <c r="AJ2662" s="4"/>
      <c r="AK2662" s="4"/>
      <c r="AL2662" s="4"/>
      <c r="AM2662" s="4"/>
      <c r="AN2662" s="4"/>
      <c r="AO2662" s="4"/>
      <c r="AP2662" s="4"/>
      <c r="AQ2662" s="4"/>
      <c r="AR2662" s="4"/>
      <c r="AS2662" s="4"/>
      <c r="AT2662" s="4"/>
      <c r="AU2662" s="4"/>
      <c r="AV2662" s="4"/>
      <c r="AW2662" s="4"/>
      <c r="AX2662" s="4"/>
      <c r="AY2662" s="4"/>
      <c r="AZ2662" s="4"/>
      <c r="BA2662" s="4"/>
      <c r="BB2662" s="4"/>
      <c r="BC2662" s="4"/>
      <c r="BD2662" s="4"/>
      <c r="BE2662" s="4"/>
      <c r="BF2662" s="4"/>
      <c r="BG2662" s="4"/>
      <c r="BH2662" s="4"/>
      <c r="BI2662" s="4"/>
      <c r="BJ2662" s="4"/>
      <c r="BK2662" s="4"/>
      <c r="BL2662" s="4"/>
      <c r="BM2662" s="4"/>
      <c r="BN2662" s="4"/>
      <c r="BO2662" s="4"/>
      <c r="BP2662" s="4"/>
      <c r="BQ2662" s="4"/>
      <c r="BR2662" s="4"/>
      <c r="BS2662" s="4"/>
      <c r="BT2662" s="4"/>
      <c r="BU2662" s="4"/>
    </row>
    <row r="2663" spans="29:73" s="1" customFormat="1" x14ac:dyDescent="0.25">
      <c r="AC2663" s="4"/>
      <c r="AD2663" s="4"/>
      <c r="AE2663" s="4"/>
      <c r="AF2663" s="4"/>
      <c r="AG2663" s="4"/>
      <c r="AH2663" s="4"/>
      <c r="AI2663" s="4"/>
      <c r="AJ2663" s="4"/>
      <c r="AK2663" s="4"/>
      <c r="AL2663" s="4"/>
      <c r="AM2663" s="4"/>
      <c r="AN2663" s="4"/>
      <c r="AO2663" s="4"/>
      <c r="AP2663" s="4"/>
      <c r="AQ2663" s="4"/>
      <c r="AR2663" s="4"/>
      <c r="AS2663" s="4"/>
      <c r="AT2663" s="4"/>
      <c r="AU2663" s="4"/>
      <c r="AV2663" s="4"/>
      <c r="AW2663" s="4"/>
      <c r="AX2663" s="4"/>
      <c r="AY2663" s="4"/>
      <c r="AZ2663" s="4"/>
      <c r="BA2663" s="4"/>
      <c r="BB2663" s="4"/>
      <c r="BC2663" s="4"/>
      <c r="BD2663" s="4"/>
      <c r="BE2663" s="4"/>
      <c r="BF2663" s="4"/>
      <c r="BG2663" s="4"/>
      <c r="BH2663" s="4"/>
      <c r="BI2663" s="4"/>
      <c r="BJ2663" s="4"/>
      <c r="BK2663" s="4"/>
      <c r="BL2663" s="4"/>
      <c r="BM2663" s="4"/>
      <c r="BN2663" s="4"/>
      <c r="BO2663" s="4"/>
      <c r="BP2663" s="4"/>
      <c r="BQ2663" s="4"/>
      <c r="BR2663" s="4"/>
      <c r="BS2663" s="4"/>
      <c r="BT2663" s="4"/>
      <c r="BU2663" s="4"/>
    </row>
    <row r="2664" spans="29:73" s="1" customFormat="1" x14ac:dyDescent="0.25">
      <c r="AC2664" s="4"/>
      <c r="AD2664" s="4"/>
      <c r="AE2664" s="4"/>
      <c r="AF2664" s="4"/>
      <c r="AG2664" s="4"/>
      <c r="AH2664" s="4"/>
      <c r="AI2664" s="4"/>
      <c r="AJ2664" s="4"/>
      <c r="AK2664" s="4"/>
      <c r="AL2664" s="4"/>
      <c r="AM2664" s="4"/>
      <c r="AN2664" s="4"/>
      <c r="AO2664" s="4"/>
      <c r="AP2664" s="4"/>
      <c r="AQ2664" s="4"/>
      <c r="AR2664" s="4"/>
      <c r="AS2664" s="4"/>
      <c r="AT2664" s="4"/>
      <c r="AU2664" s="4"/>
      <c r="AV2664" s="4"/>
      <c r="AW2664" s="4"/>
      <c r="AX2664" s="4"/>
      <c r="AY2664" s="4"/>
      <c r="AZ2664" s="4"/>
      <c r="BA2664" s="4"/>
      <c r="BB2664" s="4"/>
      <c r="BC2664" s="4"/>
      <c r="BD2664" s="4"/>
      <c r="BE2664" s="4"/>
      <c r="BF2664" s="4"/>
      <c r="BG2664" s="4"/>
      <c r="BH2664" s="4"/>
      <c r="BI2664" s="4"/>
      <c r="BJ2664" s="4"/>
      <c r="BK2664" s="4"/>
      <c r="BL2664" s="4"/>
      <c r="BM2664" s="4"/>
      <c r="BN2664" s="4"/>
      <c r="BO2664" s="4"/>
      <c r="BP2664" s="4"/>
      <c r="BQ2664" s="4"/>
      <c r="BR2664" s="4"/>
      <c r="BS2664" s="4"/>
      <c r="BT2664" s="4"/>
      <c r="BU2664" s="4"/>
    </row>
    <row r="2665" spans="29:73" s="1" customFormat="1" x14ac:dyDescent="0.25">
      <c r="AC2665" s="4"/>
      <c r="AD2665" s="4"/>
      <c r="AE2665" s="4"/>
      <c r="AF2665" s="4"/>
      <c r="AG2665" s="4"/>
      <c r="AH2665" s="4"/>
      <c r="AI2665" s="4"/>
      <c r="AJ2665" s="4"/>
      <c r="AK2665" s="4"/>
      <c r="AL2665" s="4"/>
      <c r="AM2665" s="4"/>
      <c r="AN2665" s="4"/>
      <c r="AO2665" s="4"/>
      <c r="AP2665" s="4"/>
      <c r="AQ2665" s="4"/>
      <c r="AR2665" s="4"/>
      <c r="AS2665" s="4"/>
      <c r="AT2665" s="4"/>
      <c r="AU2665" s="4"/>
      <c r="AV2665" s="4"/>
      <c r="AW2665" s="4"/>
      <c r="AX2665" s="4"/>
      <c r="AY2665" s="4"/>
      <c r="AZ2665" s="4"/>
      <c r="BA2665" s="4"/>
      <c r="BB2665" s="4"/>
      <c r="BC2665" s="4"/>
      <c r="BD2665" s="4"/>
      <c r="BE2665" s="4"/>
      <c r="BF2665" s="4"/>
      <c r="BG2665" s="4"/>
      <c r="BH2665" s="4"/>
      <c r="BI2665" s="4"/>
      <c r="BJ2665" s="4"/>
      <c r="BK2665" s="4"/>
      <c r="BL2665" s="4"/>
      <c r="BM2665" s="4"/>
      <c r="BN2665" s="4"/>
      <c r="BO2665" s="4"/>
      <c r="BP2665" s="4"/>
      <c r="BQ2665" s="4"/>
      <c r="BR2665" s="4"/>
      <c r="BS2665" s="4"/>
      <c r="BT2665" s="4"/>
      <c r="BU2665" s="4"/>
    </row>
    <row r="2666" spans="29:73" s="1" customFormat="1" x14ac:dyDescent="0.25">
      <c r="AC2666" s="4"/>
      <c r="AD2666" s="4"/>
      <c r="AE2666" s="4"/>
      <c r="AF2666" s="4"/>
      <c r="AG2666" s="4"/>
      <c r="AH2666" s="4"/>
      <c r="AI2666" s="4"/>
      <c r="AJ2666" s="4"/>
      <c r="AK2666" s="4"/>
      <c r="AL2666" s="4"/>
      <c r="AM2666" s="4"/>
      <c r="AN2666" s="4"/>
      <c r="AO2666" s="4"/>
      <c r="AP2666" s="4"/>
      <c r="AQ2666" s="4"/>
      <c r="AR2666" s="4"/>
      <c r="AS2666" s="4"/>
      <c r="AT2666" s="4"/>
      <c r="AU2666" s="4"/>
      <c r="AV2666" s="4"/>
      <c r="AW2666" s="4"/>
      <c r="AX2666" s="4"/>
      <c r="AY2666" s="4"/>
      <c r="AZ2666" s="4"/>
      <c r="BA2666" s="4"/>
      <c r="BB2666" s="4"/>
      <c r="BC2666" s="4"/>
      <c r="BD2666" s="4"/>
      <c r="BE2666" s="4"/>
      <c r="BF2666" s="4"/>
      <c r="BG2666" s="4"/>
      <c r="BH2666" s="4"/>
      <c r="BI2666" s="4"/>
      <c r="BJ2666" s="4"/>
      <c r="BK2666" s="4"/>
      <c r="BL2666" s="4"/>
      <c r="BM2666" s="4"/>
      <c r="BN2666" s="4"/>
      <c r="BO2666" s="4"/>
      <c r="BP2666" s="4"/>
      <c r="BQ2666" s="4"/>
      <c r="BR2666" s="4"/>
      <c r="BS2666" s="4"/>
      <c r="BT2666" s="4"/>
      <c r="BU2666" s="4"/>
    </row>
    <row r="2667" spans="29:73" s="1" customFormat="1" x14ac:dyDescent="0.25">
      <c r="AC2667" s="4"/>
      <c r="AD2667" s="4"/>
      <c r="AE2667" s="4"/>
      <c r="AF2667" s="4"/>
      <c r="AG2667" s="4"/>
      <c r="AH2667" s="4"/>
      <c r="AI2667" s="4"/>
      <c r="AJ2667" s="4"/>
      <c r="AK2667" s="4"/>
      <c r="AL2667" s="4"/>
      <c r="AM2667" s="4"/>
      <c r="AN2667" s="4"/>
      <c r="AO2667" s="4"/>
      <c r="AP2667" s="4"/>
      <c r="AQ2667" s="4"/>
      <c r="AR2667" s="4"/>
      <c r="AS2667" s="4"/>
      <c r="AT2667" s="4"/>
      <c r="AU2667" s="4"/>
      <c r="AV2667" s="4"/>
      <c r="AW2667" s="4"/>
      <c r="AX2667" s="4"/>
      <c r="AY2667" s="4"/>
      <c r="AZ2667" s="4"/>
      <c r="BA2667" s="4"/>
      <c r="BB2667" s="4"/>
      <c r="BC2667" s="4"/>
      <c r="BD2667" s="4"/>
      <c r="BE2667" s="4"/>
      <c r="BF2667" s="4"/>
      <c r="BG2667" s="4"/>
      <c r="BH2667" s="4"/>
      <c r="BI2667" s="4"/>
      <c r="BJ2667" s="4"/>
      <c r="BK2667" s="4"/>
      <c r="BL2667" s="4"/>
      <c r="BM2667" s="4"/>
      <c r="BN2667" s="4"/>
      <c r="BO2667" s="4"/>
      <c r="BP2667" s="4"/>
      <c r="BQ2667" s="4"/>
      <c r="BR2667" s="4"/>
      <c r="BS2667" s="4"/>
      <c r="BT2667" s="4"/>
      <c r="BU2667" s="4"/>
    </row>
    <row r="2668" spans="29:73" s="1" customFormat="1" x14ac:dyDescent="0.25">
      <c r="AC2668" s="4"/>
      <c r="AD2668" s="4"/>
      <c r="AE2668" s="4"/>
      <c r="AF2668" s="4"/>
      <c r="AG2668" s="4"/>
      <c r="AH2668" s="4"/>
      <c r="AI2668" s="4"/>
      <c r="AJ2668" s="4"/>
      <c r="AK2668" s="4"/>
      <c r="AL2668" s="4"/>
      <c r="AM2668" s="4"/>
      <c r="AN2668" s="4"/>
      <c r="AO2668" s="4"/>
      <c r="AP2668" s="4"/>
      <c r="AQ2668" s="4"/>
      <c r="AR2668" s="4"/>
      <c r="AS2668" s="4"/>
      <c r="AT2668" s="4"/>
      <c r="AU2668" s="4"/>
      <c r="AV2668" s="4"/>
      <c r="AW2668" s="4"/>
      <c r="AX2668" s="4"/>
      <c r="AY2668" s="4"/>
      <c r="AZ2668" s="4"/>
      <c r="BA2668" s="4"/>
      <c r="BB2668" s="4"/>
      <c r="BC2668" s="4"/>
      <c r="BD2668" s="4"/>
      <c r="BE2668" s="4"/>
      <c r="BF2668" s="4"/>
      <c r="BG2668" s="4"/>
      <c r="BH2668" s="4"/>
      <c r="BI2668" s="4"/>
      <c r="BJ2668" s="4"/>
      <c r="BK2668" s="4"/>
      <c r="BL2668" s="4"/>
      <c r="BM2668" s="4"/>
      <c r="BN2668" s="4"/>
      <c r="BO2668" s="4"/>
      <c r="BP2668" s="4"/>
      <c r="BQ2668" s="4"/>
      <c r="BR2668" s="4"/>
      <c r="BS2668" s="4"/>
      <c r="BT2668" s="4"/>
      <c r="BU2668" s="4"/>
    </row>
    <row r="2669" spans="29:73" s="1" customFormat="1" x14ac:dyDescent="0.25">
      <c r="AC2669" s="4"/>
      <c r="AD2669" s="4"/>
      <c r="AE2669" s="4"/>
      <c r="AF2669" s="4"/>
      <c r="AG2669" s="4"/>
      <c r="AH2669" s="4"/>
      <c r="AI2669" s="4"/>
      <c r="AJ2669" s="4"/>
      <c r="AK2669" s="4"/>
      <c r="AL2669" s="4"/>
      <c r="AM2669" s="4"/>
      <c r="AN2669" s="4"/>
      <c r="AO2669" s="4"/>
      <c r="AP2669" s="4"/>
      <c r="AQ2669" s="4"/>
      <c r="AR2669" s="4"/>
      <c r="AS2669" s="4"/>
      <c r="AT2669" s="4"/>
      <c r="AU2669" s="4"/>
      <c r="AV2669" s="4"/>
      <c r="AW2669" s="4"/>
      <c r="AX2669" s="4"/>
      <c r="AY2669" s="4"/>
      <c r="AZ2669" s="4"/>
      <c r="BA2669" s="4"/>
      <c r="BB2669" s="4"/>
      <c r="BC2669" s="4"/>
      <c r="BD2669" s="4"/>
      <c r="BE2669" s="4"/>
      <c r="BF2669" s="4"/>
      <c r="BG2669" s="4"/>
      <c r="BH2669" s="4"/>
      <c r="BI2669" s="4"/>
      <c r="BJ2669" s="4"/>
      <c r="BK2669" s="4"/>
      <c r="BL2669" s="4"/>
      <c r="BM2669" s="4"/>
      <c r="BN2669" s="4"/>
      <c r="BO2669" s="4"/>
      <c r="BP2669" s="4"/>
      <c r="BQ2669" s="4"/>
      <c r="BR2669" s="4"/>
      <c r="BS2669" s="4"/>
      <c r="BT2669" s="4"/>
      <c r="BU2669" s="4"/>
    </row>
    <row r="2670" spans="29:73" s="1" customFormat="1" x14ac:dyDescent="0.25">
      <c r="AC2670" s="4"/>
      <c r="AD2670" s="4"/>
      <c r="AE2670" s="4"/>
      <c r="AF2670" s="4"/>
      <c r="AG2670" s="4"/>
      <c r="AH2670" s="4"/>
      <c r="AI2670" s="4"/>
      <c r="AJ2670" s="4"/>
      <c r="AK2670" s="4"/>
      <c r="AL2670" s="4"/>
      <c r="AM2670" s="4"/>
      <c r="AN2670" s="4"/>
      <c r="AO2670" s="4"/>
      <c r="AP2670" s="4"/>
      <c r="AQ2670" s="4"/>
      <c r="AR2670" s="4"/>
      <c r="AS2670" s="4"/>
      <c r="AT2670" s="4"/>
      <c r="AU2670" s="4"/>
      <c r="AV2670" s="4"/>
      <c r="AW2670" s="4"/>
      <c r="AX2670" s="4"/>
      <c r="AY2670" s="4"/>
      <c r="AZ2670" s="4"/>
      <c r="BA2670" s="4"/>
      <c r="BB2670" s="4"/>
      <c r="BC2670" s="4"/>
      <c r="BD2670" s="4"/>
      <c r="BE2670" s="4"/>
      <c r="BF2670" s="4"/>
      <c r="BG2670" s="4"/>
      <c r="BH2670" s="4"/>
      <c r="BI2670" s="4"/>
      <c r="BJ2670" s="4"/>
      <c r="BK2670" s="4"/>
      <c r="BL2670" s="4"/>
      <c r="BM2670" s="4"/>
      <c r="BN2670" s="4"/>
      <c r="BO2670" s="4"/>
      <c r="BP2670" s="4"/>
      <c r="BQ2670" s="4"/>
      <c r="BR2670" s="4"/>
      <c r="BS2670" s="4"/>
      <c r="BT2670" s="4"/>
      <c r="BU2670" s="4"/>
    </row>
    <row r="2671" spans="29:73" s="1" customFormat="1" x14ac:dyDescent="0.25">
      <c r="AC2671" s="4"/>
      <c r="AD2671" s="4"/>
      <c r="AE2671" s="4"/>
      <c r="AF2671" s="4"/>
      <c r="AG2671" s="4"/>
      <c r="AH2671" s="4"/>
      <c r="AI2671" s="4"/>
      <c r="AJ2671" s="4"/>
      <c r="AK2671" s="4"/>
      <c r="AL2671" s="4"/>
      <c r="AM2671" s="4"/>
      <c r="AN2671" s="4"/>
      <c r="AO2671" s="4"/>
      <c r="AP2671" s="4"/>
      <c r="AQ2671" s="4"/>
      <c r="AR2671" s="4"/>
      <c r="AS2671" s="4"/>
      <c r="AT2671" s="4"/>
      <c r="AU2671" s="4"/>
      <c r="AV2671" s="4"/>
      <c r="AW2671" s="4"/>
      <c r="AX2671" s="4"/>
      <c r="AY2671" s="4"/>
      <c r="AZ2671" s="4"/>
      <c r="BA2671" s="4"/>
      <c r="BB2671" s="4"/>
      <c r="BC2671" s="4"/>
      <c r="BD2671" s="4"/>
      <c r="BE2671" s="4"/>
      <c r="BF2671" s="4"/>
      <c r="BG2671" s="4"/>
      <c r="BH2671" s="4"/>
      <c r="BI2671" s="4"/>
      <c r="BJ2671" s="4"/>
      <c r="BK2671" s="4"/>
      <c r="BL2671" s="4"/>
      <c r="BM2671" s="4"/>
      <c r="BN2671" s="4"/>
      <c r="BO2671" s="4"/>
      <c r="BP2671" s="4"/>
      <c r="BQ2671" s="4"/>
      <c r="BR2671" s="4"/>
      <c r="BS2671" s="4"/>
      <c r="BT2671" s="4"/>
      <c r="BU2671" s="4"/>
    </row>
    <row r="2672" spans="29:73" s="1" customFormat="1" x14ac:dyDescent="0.25">
      <c r="AC2672" s="4"/>
      <c r="AD2672" s="4"/>
      <c r="AE2672" s="4"/>
      <c r="AF2672" s="4"/>
      <c r="AG2672" s="4"/>
      <c r="AH2672" s="4"/>
      <c r="AI2672" s="4"/>
      <c r="AJ2672" s="4"/>
      <c r="AK2672" s="4"/>
      <c r="AL2672" s="4"/>
      <c r="AM2672" s="4"/>
      <c r="AN2672" s="4"/>
      <c r="AO2672" s="4"/>
      <c r="AP2672" s="4"/>
      <c r="AQ2672" s="4"/>
      <c r="AR2672" s="4"/>
      <c r="AS2672" s="4"/>
      <c r="AT2672" s="4"/>
      <c r="AU2672" s="4"/>
      <c r="AV2672" s="4"/>
      <c r="AW2672" s="4"/>
      <c r="AX2672" s="4"/>
      <c r="AY2672" s="4"/>
      <c r="AZ2672" s="4"/>
      <c r="BA2672" s="4"/>
      <c r="BB2672" s="4"/>
      <c r="BC2672" s="4"/>
      <c r="BD2672" s="4"/>
      <c r="BE2672" s="4"/>
      <c r="BF2672" s="4"/>
      <c r="BG2672" s="4"/>
      <c r="BH2672" s="4"/>
      <c r="BI2672" s="4"/>
      <c r="BJ2672" s="4"/>
      <c r="BK2672" s="4"/>
      <c r="BL2672" s="4"/>
      <c r="BM2672" s="4"/>
      <c r="BN2672" s="4"/>
      <c r="BO2672" s="4"/>
      <c r="BP2672" s="4"/>
      <c r="BQ2672" s="4"/>
      <c r="BR2672" s="4"/>
      <c r="BS2672" s="4"/>
      <c r="BT2672" s="4"/>
      <c r="BU2672" s="4"/>
    </row>
    <row r="2673" spans="29:73" s="1" customFormat="1" x14ac:dyDescent="0.25">
      <c r="AC2673" s="4"/>
      <c r="AD2673" s="4"/>
      <c r="AE2673" s="4"/>
      <c r="AF2673" s="4"/>
      <c r="AG2673" s="4"/>
      <c r="AH2673" s="4"/>
      <c r="AI2673" s="4"/>
      <c r="AJ2673" s="4"/>
      <c r="AK2673" s="4"/>
      <c r="AL2673" s="4"/>
      <c r="AM2673" s="4"/>
      <c r="AN2673" s="4"/>
      <c r="AO2673" s="4"/>
      <c r="AP2673" s="4"/>
      <c r="AQ2673" s="4"/>
      <c r="AR2673" s="4"/>
      <c r="AS2673" s="4"/>
      <c r="AT2673" s="4"/>
      <c r="AU2673" s="4"/>
      <c r="AV2673" s="4"/>
      <c r="AW2673" s="4"/>
      <c r="AX2673" s="4"/>
      <c r="AY2673" s="4"/>
      <c r="AZ2673" s="4"/>
      <c r="BA2673" s="4"/>
      <c r="BB2673" s="4"/>
      <c r="BC2673" s="4"/>
      <c r="BD2673" s="4"/>
      <c r="BE2673" s="4"/>
      <c r="BF2673" s="4"/>
      <c r="BG2673" s="4"/>
      <c r="BH2673" s="4"/>
      <c r="BI2673" s="4"/>
      <c r="BJ2673" s="4"/>
      <c r="BK2673" s="4"/>
      <c r="BL2673" s="4"/>
      <c r="BM2673" s="4"/>
      <c r="BN2673" s="4"/>
      <c r="BO2673" s="4"/>
      <c r="BP2673" s="4"/>
      <c r="BQ2673" s="4"/>
      <c r="BR2673" s="4"/>
      <c r="BS2673" s="4"/>
      <c r="BT2673" s="4"/>
      <c r="BU2673" s="4"/>
    </row>
    <row r="2674" spans="29:73" s="1" customFormat="1" x14ac:dyDescent="0.25">
      <c r="AC2674" s="4"/>
      <c r="AD2674" s="4"/>
      <c r="AE2674" s="4"/>
      <c r="AF2674" s="4"/>
      <c r="AG2674" s="4"/>
      <c r="AH2674" s="4"/>
      <c r="AI2674" s="4"/>
      <c r="AJ2674" s="4"/>
      <c r="AK2674" s="4"/>
      <c r="AL2674" s="4"/>
      <c r="AM2674" s="4"/>
      <c r="AN2674" s="4"/>
      <c r="AO2674" s="4"/>
      <c r="AP2674" s="4"/>
      <c r="AQ2674" s="4"/>
      <c r="AR2674" s="4"/>
      <c r="AS2674" s="4"/>
      <c r="AT2674" s="4"/>
      <c r="AU2674" s="4"/>
      <c r="AV2674" s="4"/>
      <c r="AW2674" s="4"/>
      <c r="AX2674" s="4"/>
      <c r="AY2674" s="4"/>
      <c r="AZ2674" s="4"/>
      <c r="BA2674" s="4"/>
      <c r="BB2674" s="4"/>
      <c r="BC2674" s="4"/>
      <c r="BD2674" s="4"/>
      <c r="BE2674" s="4"/>
      <c r="BF2674" s="4"/>
      <c r="BG2674" s="4"/>
      <c r="BH2674" s="4"/>
      <c r="BI2674" s="4"/>
      <c r="BJ2674" s="4"/>
      <c r="BK2674" s="4"/>
      <c r="BL2674" s="4"/>
      <c r="BM2674" s="4"/>
      <c r="BN2674" s="4"/>
      <c r="BO2674" s="4"/>
      <c r="BP2674" s="4"/>
      <c r="BQ2674" s="4"/>
      <c r="BR2674" s="4"/>
      <c r="BS2674" s="4"/>
      <c r="BT2674" s="4"/>
      <c r="BU2674" s="4"/>
    </row>
    <row r="2675" spans="29:73" s="1" customFormat="1" x14ac:dyDescent="0.25">
      <c r="AC2675" s="4"/>
      <c r="AD2675" s="4"/>
      <c r="AE2675" s="4"/>
      <c r="AF2675" s="4"/>
      <c r="AG2675" s="4"/>
      <c r="AH2675" s="4"/>
      <c r="AI2675" s="4"/>
      <c r="AJ2675" s="4"/>
      <c r="AK2675" s="4"/>
      <c r="AL2675" s="4"/>
      <c r="AM2675" s="4"/>
      <c r="AN2675" s="4"/>
      <c r="AO2675" s="4"/>
      <c r="AP2675" s="4"/>
      <c r="AQ2675" s="4"/>
      <c r="AR2675" s="4"/>
      <c r="AS2675" s="4"/>
      <c r="AT2675" s="4"/>
      <c r="AU2675" s="4"/>
      <c r="AV2675" s="4"/>
      <c r="AW2675" s="4"/>
      <c r="AX2675" s="4"/>
      <c r="AY2675" s="4"/>
      <c r="AZ2675" s="4"/>
      <c r="BA2675" s="4"/>
      <c r="BB2675" s="4"/>
      <c r="BC2675" s="4"/>
      <c r="BD2675" s="4"/>
      <c r="BE2675" s="4"/>
      <c r="BF2675" s="4"/>
      <c r="BG2675" s="4"/>
      <c r="BH2675" s="4"/>
      <c r="BI2675" s="4"/>
      <c r="BJ2675" s="4"/>
      <c r="BK2675" s="4"/>
      <c r="BL2675" s="4"/>
      <c r="BM2675" s="4"/>
      <c r="BN2675" s="4"/>
      <c r="BO2675" s="4"/>
      <c r="BP2675" s="4"/>
      <c r="BQ2675" s="4"/>
      <c r="BR2675" s="4"/>
      <c r="BS2675" s="4"/>
      <c r="BT2675" s="4"/>
      <c r="BU2675" s="4"/>
    </row>
    <row r="2676" spans="29:73" s="1" customFormat="1" x14ac:dyDescent="0.25">
      <c r="AC2676" s="4"/>
      <c r="AD2676" s="4"/>
      <c r="AE2676" s="4"/>
      <c r="AF2676" s="4"/>
      <c r="AG2676" s="4"/>
      <c r="AH2676" s="4"/>
      <c r="AI2676" s="4"/>
      <c r="AJ2676" s="4"/>
      <c r="AK2676" s="4"/>
      <c r="AL2676" s="4"/>
      <c r="AM2676" s="4"/>
      <c r="AN2676" s="4"/>
      <c r="AO2676" s="4"/>
      <c r="AP2676" s="4"/>
      <c r="AQ2676" s="4"/>
      <c r="AR2676" s="4"/>
      <c r="AS2676" s="4"/>
      <c r="AT2676" s="4"/>
      <c r="AU2676" s="4"/>
      <c r="AV2676" s="4"/>
      <c r="AW2676" s="4"/>
      <c r="AX2676" s="4"/>
      <c r="AY2676" s="4"/>
      <c r="AZ2676" s="4"/>
      <c r="BA2676" s="4"/>
      <c r="BB2676" s="4"/>
      <c r="BC2676" s="4"/>
      <c r="BD2676" s="4"/>
      <c r="BE2676" s="4"/>
      <c r="BF2676" s="4"/>
      <c r="BG2676" s="4"/>
      <c r="BH2676" s="4"/>
      <c r="BI2676" s="4"/>
      <c r="BJ2676" s="4"/>
      <c r="BK2676" s="4"/>
      <c r="BL2676" s="4"/>
      <c r="BM2676" s="4"/>
      <c r="BN2676" s="4"/>
      <c r="BO2676" s="4"/>
      <c r="BP2676" s="4"/>
      <c r="BQ2676" s="4"/>
      <c r="BR2676" s="4"/>
      <c r="BS2676" s="4"/>
      <c r="BT2676" s="4"/>
      <c r="BU2676" s="4"/>
    </row>
    <row r="2677" spans="29:73" s="1" customFormat="1" x14ac:dyDescent="0.25">
      <c r="AC2677" s="4"/>
      <c r="AD2677" s="4"/>
      <c r="AE2677" s="4"/>
      <c r="AF2677" s="4"/>
      <c r="AG2677" s="4"/>
      <c r="AH2677" s="4"/>
      <c r="AI2677" s="4"/>
      <c r="AJ2677" s="4"/>
      <c r="AK2677" s="4"/>
      <c r="AL2677" s="4"/>
      <c r="AM2677" s="4"/>
      <c r="AN2677" s="4"/>
      <c r="AO2677" s="4"/>
      <c r="AP2677" s="4"/>
      <c r="AQ2677" s="4"/>
      <c r="AR2677" s="4"/>
      <c r="AS2677" s="4"/>
      <c r="AT2677" s="4"/>
      <c r="AU2677" s="4"/>
      <c r="AV2677" s="4"/>
      <c r="AW2677" s="4"/>
      <c r="AX2677" s="4"/>
      <c r="AY2677" s="4"/>
      <c r="AZ2677" s="4"/>
      <c r="BA2677" s="4"/>
      <c r="BB2677" s="4"/>
      <c r="BC2677" s="4"/>
      <c r="BD2677" s="4"/>
      <c r="BE2677" s="4"/>
      <c r="BF2677" s="4"/>
      <c r="BG2677" s="4"/>
      <c r="BH2677" s="4"/>
      <c r="BI2677" s="4"/>
      <c r="BJ2677" s="4"/>
      <c r="BK2677" s="4"/>
      <c r="BL2677" s="4"/>
      <c r="BM2677" s="4"/>
      <c r="BN2677" s="4"/>
      <c r="BO2677" s="4"/>
      <c r="BP2677" s="4"/>
      <c r="BQ2677" s="4"/>
      <c r="BR2677" s="4"/>
      <c r="BS2677" s="4"/>
      <c r="BT2677" s="4"/>
      <c r="BU2677" s="4"/>
    </row>
    <row r="2678" spans="29:73" s="1" customFormat="1" x14ac:dyDescent="0.25">
      <c r="AC2678" s="4"/>
      <c r="AD2678" s="4"/>
      <c r="AE2678" s="4"/>
      <c r="AF2678" s="4"/>
      <c r="AG2678" s="4"/>
      <c r="AH2678" s="4"/>
      <c r="AI2678" s="4"/>
      <c r="AJ2678" s="4"/>
      <c r="AK2678" s="4"/>
      <c r="AL2678" s="4"/>
      <c r="AM2678" s="4"/>
      <c r="AN2678" s="4"/>
      <c r="AO2678" s="4"/>
      <c r="AP2678" s="4"/>
      <c r="AQ2678" s="4"/>
      <c r="AR2678" s="4"/>
      <c r="AS2678" s="4"/>
      <c r="AT2678" s="4"/>
      <c r="AU2678" s="4"/>
      <c r="AV2678" s="4"/>
      <c r="AW2678" s="4"/>
      <c r="AX2678" s="4"/>
      <c r="AY2678" s="4"/>
      <c r="AZ2678" s="4"/>
      <c r="BA2678" s="4"/>
      <c r="BB2678" s="4"/>
      <c r="BC2678" s="4"/>
      <c r="BD2678" s="4"/>
      <c r="BE2678" s="4"/>
      <c r="BF2678" s="4"/>
      <c r="BG2678" s="4"/>
      <c r="BH2678" s="4"/>
      <c r="BI2678" s="4"/>
      <c r="BJ2678" s="4"/>
      <c r="BK2678" s="4"/>
      <c r="BL2678" s="4"/>
      <c r="BM2678" s="4"/>
      <c r="BN2678" s="4"/>
      <c r="BO2678" s="4"/>
      <c r="BP2678" s="4"/>
      <c r="BQ2678" s="4"/>
      <c r="BR2678" s="4"/>
      <c r="BS2678" s="4"/>
      <c r="BT2678" s="4"/>
      <c r="BU2678" s="4"/>
    </row>
    <row r="2679" spans="29:73" s="1" customFormat="1" x14ac:dyDescent="0.25">
      <c r="AC2679" s="4"/>
      <c r="AD2679" s="4"/>
      <c r="AE2679" s="4"/>
      <c r="AF2679" s="4"/>
      <c r="AG2679" s="4"/>
      <c r="AH2679" s="4"/>
      <c r="AI2679" s="4"/>
      <c r="AJ2679" s="4"/>
      <c r="AK2679" s="4"/>
      <c r="AL2679" s="4"/>
      <c r="AM2679" s="4"/>
      <c r="AN2679" s="4"/>
      <c r="AO2679" s="4"/>
      <c r="AP2679" s="4"/>
      <c r="AQ2679" s="4"/>
      <c r="AR2679" s="4"/>
      <c r="AS2679" s="4"/>
      <c r="AT2679" s="4"/>
      <c r="AU2679" s="4"/>
      <c r="AV2679" s="4"/>
      <c r="AW2679" s="4"/>
      <c r="AX2679" s="4"/>
      <c r="AY2679" s="4"/>
      <c r="AZ2679" s="4"/>
      <c r="BA2679" s="4"/>
      <c r="BB2679" s="4"/>
      <c r="BC2679" s="4"/>
      <c r="BD2679" s="4"/>
      <c r="BE2679" s="4"/>
      <c r="BF2679" s="4"/>
      <c r="BG2679" s="4"/>
      <c r="BH2679" s="4"/>
      <c r="BI2679" s="4"/>
      <c r="BJ2679" s="4"/>
      <c r="BK2679" s="4"/>
      <c r="BL2679" s="4"/>
      <c r="BM2679" s="4"/>
      <c r="BN2679" s="4"/>
      <c r="BO2679" s="4"/>
      <c r="BP2679" s="4"/>
      <c r="BQ2679" s="4"/>
      <c r="BR2679" s="4"/>
      <c r="BS2679" s="4"/>
      <c r="BT2679" s="4"/>
      <c r="BU2679" s="4"/>
    </row>
    <row r="2680" spans="29:73" s="1" customFormat="1" x14ac:dyDescent="0.25">
      <c r="AC2680" s="4"/>
      <c r="AD2680" s="4"/>
      <c r="AE2680" s="4"/>
      <c r="AF2680" s="4"/>
      <c r="AG2680" s="4"/>
      <c r="AH2680" s="4"/>
      <c r="AI2680" s="4"/>
      <c r="AJ2680" s="4"/>
      <c r="AK2680" s="4"/>
      <c r="AL2680" s="4"/>
      <c r="AM2680" s="4"/>
      <c r="AN2680" s="4"/>
      <c r="AO2680" s="4"/>
      <c r="AP2680" s="4"/>
      <c r="AQ2680" s="4"/>
      <c r="AR2680" s="4"/>
      <c r="AS2680" s="4"/>
      <c r="AT2680" s="4"/>
      <c r="AU2680" s="4"/>
      <c r="AV2680" s="4"/>
      <c r="AW2680" s="4"/>
      <c r="AX2680" s="4"/>
      <c r="AY2680" s="4"/>
      <c r="AZ2680" s="4"/>
      <c r="BA2680" s="4"/>
      <c r="BB2680" s="4"/>
      <c r="BC2680" s="4"/>
      <c r="BD2680" s="4"/>
      <c r="BE2680" s="4"/>
      <c r="BF2680" s="4"/>
      <c r="BG2680" s="4"/>
      <c r="BH2680" s="4"/>
      <c r="BI2680" s="4"/>
      <c r="BJ2680" s="4"/>
      <c r="BK2680" s="4"/>
      <c r="BL2680" s="4"/>
      <c r="BM2680" s="4"/>
      <c r="BN2680" s="4"/>
      <c r="BO2680" s="4"/>
      <c r="BP2680" s="4"/>
      <c r="BQ2680" s="4"/>
      <c r="BR2680" s="4"/>
      <c r="BS2680" s="4"/>
      <c r="BT2680" s="4"/>
      <c r="BU2680" s="4"/>
    </row>
    <row r="2681" spans="29:73" s="1" customFormat="1" x14ac:dyDescent="0.25">
      <c r="AC2681" s="4"/>
      <c r="AD2681" s="4"/>
      <c r="AE2681" s="4"/>
      <c r="AF2681" s="4"/>
      <c r="AG2681" s="4"/>
      <c r="AH2681" s="4"/>
      <c r="AI2681" s="4"/>
      <c r="AJ2681" s="4"/>
      <c r="AK2681" s="4"/>
      <c r="AL2681" s="4"/>
      <c r="AM2681" s="4"/>
      <c r="AN2681" s="4"/>
      <c r="AO2681" s="4"/>
      <c r="AP2681" s="4"/>
      <c r="AQ2681" s="4"/>
      <c r="AR2681" s="4"/>
      <c r="AS2681" s="4"/>
      <c r="AT2681" s="4"/>
      <c r="AU2681" s="4"/>
      <c r="AV2681" s="4"/>
      <c r="AW2681" s="4"/>
      <c r="AX2681" s="4"/>
      <c r="AY2681" s="4"/>
      <c r="AZ2681" s="4"/>
      <c r="BA2681" s="4"/>
      <c r="BB2681" s="4"/>
      <c r="BC2681" s="4"/>
      <c r="BD2681" s="4"/>
      <c r="BE2681" s="4"/>
      <c r="BF2681" s="4"/>
      <c r="BG2681" s="4"/>
      <c r="BH2681" s="4"/>
      <c r="BI2681" s="4"/>
      <c r="BJ2681" s="4"/>
      <c r="BK2681" s="4"/>
      <c r="BL2681" s="4"/>
      <c r="BM2681" s="4"/>
      <c r="BN2681" s="4"/>
      <c r="BO2681" s="4"/>
      <c r="BP2681" s="4"/>
      <c r="BQ2681" s="4"/>
      <c r="BR2681" s="4"/>
      <c r="BS2681" s="4"/>
      <c r="BT2681" s="4"/>
      <c r="BU2681" s="4"/>
    </row>
    <row r="2682" spans="29:73" s="1" customFormat="1" x14ac:dyDescent="0.25">
      <c r="AC2682" s="4"/>
      <c r="AD2682" s="4"/>
      <c r="AE2682" s="4"/>
      <c r="AF2682" s="4"/>
      <c r="AG2682" s="4"/>
      <c r="AH2682" s="4"/>
      <c r="AI2682" s="4"/>
      <c r="AJ2682" s="4"/>
      <c r="AK2682" s="4"/>
      <c r="AL2682" s="4"/>
      <c r="AM2682" s="4"/>
      <c r="AN2682" s="4"/>
      <c r="AO2682" s="4"/>
      <c r="AP2682" s="4"/>
      <c r="AQ2682" s="4"/>
      <c r="AR2682" s="4"/>
      <c r="AS2682" s="4"/>
      <c r="AT2682" s="4"/>
      <c r="AU2682" s="4"/>
      <c r="AV2682" s="4"/>
      <c r="AW2682" s="4"/>
      <c r="AX2682" s="4"/>
      <c r="AY2682" s="4"/>
      <c r="AZ2682" s="4"/>
      <c r="BA2682" s="4"/>
      <c r="BB2682" s="4"/>
      <c r="BC2682" s="4"/>
      <c r="BD2682" s="4"/>
      <c r="BE2682" s="4"/>
      <c r="BF2682" s="4"/>
      <c r="BG2682" s="4"/>
      <c r="BH2682" s="4"/>
      <c r="BI2682" s="4"/>
      <c r="BJ2682" s="4"/>
      <c r="BK2682" s="4"/>
      <c r="BL2682" s="4"/>
      <c r="BM2682" s="4"/>
      <c r="BN2682" s="4"/>
      <c r="BO2682" s="4"/>
      <c r="BP2682" s="4"/>
      <c r="BQ2682" s="4"/>
      <c r="BR2682" s="4"/>
      <c r="BS2682" s="4"/>
      <c r="BT2682" s="4"/>
      <c r="BU2682" s="4"/>
    </row>
    <row r="2683" spans="29:73" s="1" customFormat="1" x14ac:dyDescent="0.25">
      <c r="AC2683" s="4"/>
      <c r="AD2683" s="4"/>
      <c r="AE2683" s="4"/>
      <c r="AF2683" s="4"/>
      <c r="AG2683" s="4"/>
      <c r="AH2683" s="4"/>
      <c r="AI2683" s="4"/>
      <c r="AJ2683" s="4"/>
      <c r="AK2683" s="4"/>
      <c r="AL2683" s="4"/>
      <c r="AM2683" s="4"/>
      <c r="AN2683" s="4"/>
      <c r="AO2683" s="4"/>
      <c r="AP2683" s="4"/>
      <c r="AQ2683" s="4"/>
      <c r="AR2683" s="4"/>
      <c r="AS2683" s="4"/>
      <c r="AT2683" s="4"/>
      <c r="AU2683" s="4"/>
      <c r="AV2683" s="4"/>
      <c r="AW2683" s="4"/>
      <c r="AX2683" s="4"/>
      <c r="AY2683" s="4"/>
      <c r="AZ2683" s="4"/>
      <c r="BA2683" s="4"/>
      <c r="BB2683" s="4"/>
      <c r="BC2683" s="4"/>
      <c r="BD2683" s="4"/>
      <c r="BE2683" s="4"/>
      <c r="BF2683" s="4"/>
      <c r="BG2683" s="4"/>
      <c r="BH2683" s="4"/>
      <c r="BI2683" s="4"/>
      <c r="BJ2683" s="4"/>
      <c r="BK2683" s="4"/>
      <c r="BL2683" s="4"/>
      <c r="BM2683" s="4"/>
      <c r="BN2683" s="4"/>
      <c r="BO2683" s="4"/>
      <c r="BP2683" s="4"/>
      <c r="BQ2683" s="4"/>
      <c r="BR2683" s="4"/>
      <c r="BS2683" s="4"/>
      <c r="BT2683" s="4"/>
      <c r="BU2683" s="4"/>
    </row>
    <row r="2684" spans="29:73" s="1" customFormat="1" x14ac:dyDescent="0.25">
      <c r="AC2684" s="4"/>
      <c r="AD2684" s="4"/>
      <c r="AE2684" s="4"/>
      <c r="AF2684" s="4"/>
      <c r="AG2684" s="4"/>
      <c r="AH2684" s="4"/>
      <c r="AI2684" s="4"/>
      <c r="AJ2684" s="4"/>
      <c r="AK2684" s="4"/>
      <c r="AL2684" s="4"/>
      <c r="AM2684" s="4"/>
      <c r="AN2684" s="4"/>
      <c r="AO2684" s="4"/>
      <c r="AP2684" s="4"/>
      <c r="AQ2684" s="4"/>
      <c r="AR2684" s="4"/>
      <c r="AS2684" s="4"/>
      <c r="AT2684" s="4"/>
      <c r="AU2684" s="4"/>
      <c r="AV2684" s="4"/>
      <c r="AW2684" s="4"/>
      <c r="AX2684" s="4"/>
      <c r="AY2684" s="4"/>
      <c r="AZ2684" s="4"/>
      <c r="BA2684" s="4"/>
      <c r="BB2684" s="4"/>
      <c r="BC2684" s="4"/>
      <c r="BD2684" s="4"/>
      <c r="BE2684" s="4"/>
      <c r="BF2684" s="4"/>
      <c r="BG2684" s="4"/>
      <c r="BH2684" s="4"/>
      <c r="BI2684" s="4"/>
      <c r="BJ2684" s="4"/>
      <c r="BK2684" s="4"/>
      <c r="BL2684" s="4"/>
      <c r="BM2684" s="4"/>
      <c r="BN2684" s="4"/>
      <c r="BO2684" s="4"/>
      <c r="BP2684" s="4"/>
      <c r="BQ2684" s="4"/>
      <c r="BR2684" s="4"/>
      <c r="BS2684" s="4"/>
      <c r="BT2684" s="4"/>
      <c r="BU2684" s="4"/>
    </row>
    <row r="2685" spans="29:73" s="1" customFormat="1" x14ac:dyDescent="0.25">
      <c r="AC2685" s="4"/>
      <c r="AD2685" s="4"/>
      <c r="AE2685" s="4"/>
      <c r="AF2685" s="4"/>
      <c r="AG2685" s="4"/>
      <c r="AH2685" s="4"/>
      <c r="AI2685" s="4"/>
      <c r="AJ2685" s="4"/>
      <c r="AK2685" s="4"/>
      <c r="AL2685" s="4"/>
      <c r="AM2685" s="4"/>
      <c r="AN2685" s="4"/>
      <c r="AO2685" s="4"/>
      <c r="AP2685" s="4"/>
      <c r="AQ2685" s="4"/>
      <c r="AR2685" s="4"/>
      <c r="AS2685" s="4"/>
      <c r="AT2685" s="4"/>
      <c r="AU2685" s="4"/>
      <c r="AV2685" s="4"/>
      <c r="AW2685" s="4"/>
      <c r="AX2685" s="4"/>
      <c r="AY2685" s="4"/>
      <c r="AZ2685" s="4"/>
      <c r="BA2685" s="4"/>
      <c r="BB2685" s="4"/>
      <c r="BC2685" s="4"/>
      <c r="BD2685" s="4"/>
      <c r="BE2685" s="4"/>
      <c r="BF2685" s="4"/>
      <c r="BG2685" s="4"/>
      <c r="BH2685" s="4"/>
      <c r="BI2685" s="4"/>
      <c r="BJ2685" s="4"/>
      <c r="BK2685" s="4"/>
      <c r="BL2685" s="4"/>
      <c r="BM2685" s="4"/>
      <c r="BN2685" s="4"/>
      <c r="BO2685" s="4"/>
      <c r="BP2685" s="4"/>
      <c r="BQ2685" s="4"/>
      <c r="BR2685" s="4"/>
      <c r="BS2685" s="4"/>
      <c r="BT2685" s="4"/>
      <c r="BU2685" s="4"/>
    </row>
    <row r="2686" spans="29:73" s="1" customFormat="1" x14ac:dyDescent="0.25">
      <c r="AC2686" s="4"/>
      <c r="AD2686" s="4"/>
      <c r="AE2686" s="4"/>
      <c r="AF2686" s="4"/>
      <c r="AG2686" s="4"/>
      <c r="AH2686" s="4"/>
      <c r="AI2686" s="4"/>
      <c r="AJ2686" s="4"/>
      <c r="AK2686" s="4"/>
      <c r="AL2686" s="4"/>
      <c r="AM2686" s="4"/>
      <c r="AN2686" s="4"/>
      <c r="AO2686" s="4"/>
      <c r="AP2686" s="4"/>
      <c r="AQ2686" s="4"/>
      <c r="AR2686" s="4"/>
      <c r="AS2686" s="4"/>
      <c r="AT2686" s="4"/>
      <c r="AU2686" s="4"/>
      <c r="AV2686" s="4"/>
      <c r="AW2686" s="4"/>
      <c r="AX2686" s="4"/>
      <c r="AY2686" s="4"/>
      <c r="AZ2686" s="4"/>
      <c r="BA2686" s="4"/>
      <c r="BB2686" s="4"/>
      <c r="BC2686" s="4"/>
      <c r="BD2686" s="4"/>
      <c r="BE2686" s="4"/>
      <c r="BF2686" s="4"/>
      <c r="BG2686" s="4"/>
      <c r="BH2686" s="4"/>
      <c r="BI2686" s="4"/>
      <c r="BJ2686" s="4"/>
      <c r="BK2686" s="4"/>
      <c r="BL2686" s="4"/>
      <c r="BM2686" s="4"/>
      <c r="BN2686" s="4"/>
      <c r="BO2686" s="4"/>
      <c r="BP2686" s="4"/>
      <c r="BQ2686" s="4"/>
      <c r="BR2686" s="4"/>
      <c r="BS2686" s="4"/>
      <c r="BT2686" s="4"/>
      <c r="BU2686" s="4"/>
    </row>
    <row r="2687" spans="29:73" s="1" customFormat="1" x14ac:dyDescent="0.25">
      <c r="AC2687" s="4"/>
      <c r="AD2687" s="4"/>
      <c r="AE2687" s="4"/>
      <c r="AF2687" s="4"/>
      <c r="AG2687" s="4"/>
      <c r="AH2687" s="4"/>
      <c r="AI2687" s="4"/>
      <c r="AJ2687" s="4"/>
      <c r="AK2687" s="4"/>
      <c r="AL2687" s="4"/>
      <c r="AM2687" s="4"/>
      <c r="AN2687" s="4"/>
      <c r="AO2687" s="4"/>
      <c r="AP2687" s="4"/>
      <c r="AQ2687" s="4"/>
      <c r="AR2687" s="4"/>
      <c r="AS2687" s="4"/>
      <c r="AT2687" s="4"/>
      <c r="AU2687" s="4"/>
      <c r="AV2687" s="4"/>
      <c r="AW2687" s="4"/>
      <c r="AX2687" s="4"/>
      <c r="AY2687" s="4"/>
      <c r="AZ2687" s="4"/>
      <c r="BA2687" s="4"/>
      <c r="BB2687" s="4"/>
      <c r="BC2687" s="4"/>
      <c r="BD2687" s="4"/>
      <c r="BE2687" s="4"/>
      <c r="BF2687" s="4"/>
      <c r="BG2687" s="4"/>
      <c r="BH2687" s="4"/>
      <c r="BI2687" s="4"/>
      <c r="BJ2687" s="4"/>
      <c r="BK2687" s="4"/>
      <c r="BL2687" s="4"/>
      <c r="BM2687" s="4"/>
      <c r="BN2687" s="4"/>
      <c r="BO2687" s="4"/>
      <c r="BP2687" s="4"/>
      <c r="BQ2687" s="4"/>
      <c r="BR2687" s="4"/>
      <c r="BS2687" s="4"/>
      <c r="BT2687" s="4"/>
      <c r="BU2687" s="4"/>
    </row>
    <row r="2688" spans="29:73" s="1" customFormat="1" x14ac:dyDescent="0.25">
      <c r="AC2688" s="4"/>
      <c r="AD2688" s="4"/>
      <c r="AE2688" s="4"/>
      <c r="AF2688" s="4"/>
      <c r="AG2688" s="4"/>
      <c r="AH2688" s="4"/>
      <c r="AI2688" s="4"/>
      <c r="AJ2688" s="4"/>
      <c r="AK2688" s="4"/>
      <c r="AL2688" s="4"/>
      <c r="AM2688" s="4"/>
      <c r="AN2688" s="4"/>
      <c r="AO2688" s="4"/>
      <c r="AP2688" s="4"/>
      <c r="AQ2688" s="4"/>
      <c r="AR2688" s="4"/>
      <c r="AS2688" s="4"/>
      <c r="AT2688" s="4"/>
      <c r="AU2688" s="4"/>
      <c r="AV2688" s="4"/>
      <c r="AW2688" s="4"/>
      <c r="AX2688" s="4"/>
      <c r="AY2688" s="4"/>
      <c r="AZ2688" s="4"/>
      <c r="BA2688" s="4"/>
      <c r="BB2688" s="4"/>
      <c r="BC2688" s="4"/>
      <c r="BD2688" s="4"/>
      <c r="BE2688" s="4"/>
      <c r="BF2688" s="4"/>
      <c r="BG2688" s="4"/>
      <c r="BH2688" s="4"/>
      <c r="BI2688" s="4"/>
      <c r="BJ2688" s="4"/>
      <c r="BK2688" s="4"/>
      <c r="BL2688" s="4"/>
      <c r="BM2688" s="4"/>
      <c r="BN2688" s="4"/>
      <c r="BO2688" s="4"/>
      <c r="BP2688" s="4"/>
      <c r="BQ2688" s="4"/>
      <c r="BR2688" s="4"/>
      <c r="BS2688" s="4"/>
      <c r="BT2688" s="4"/>
      <c r="BU2688" s="4"/>
    </row>
    <row r="2689" spans="29:73" s="1" customFormat="1" x14ac:dyDescent="0.25">
      <c r="AC2689" s="4"/>
      <c r="AD2689" s="4"/>
      <c r="AE2689" s="4"/>
      <c r="AF2689" s="4"/>
      <c r="AG2689" s="4"/>
      <c r="AH2689" s="4"/>
      <c r="AI2689" s="4"/>
      <c r="AJ2689" s="4"/>
      <c r="AK2689" s="4"/>
      <c r="AL2689" s="4"/>
      <c r="AM2689" s="4"/>
      <c r="AN2689" s="4"/>
      <c r="AO2689" s="4"/>
      <c r="AP2689" s="4"/>
      <c r="AQ2689" s="4"/>
      <c r="AR2689" s="4"/>
      <c r="AS2689" s="4"/>
      <c r="AT2689" s="4"/>
      <c r="AU2689" s="4"/>
      <c r="AV2689" s="4"/>
      <c r="AW2689" s="4"/>
      <c r="AX2689" s="4"/>
      <c r="AY2689" s="4"/>
      <c r="AZ2689" s="4"/>
      <c r="BA2689" s="4"/>
      <c r="BB2689" s="4"/>
      <c r="BC2689" s="4"/>
      <c r="BD2689" s="4"/>
      <c r="BE2689" s="4"/>
      <c r="BF2689" s="4"/>
      <c r="BG2689" s="4"/>
      <c r="BH2689" s="4"/>
      <c r="BI2689" s="4"/>
      <c r="BJ2689" s="4"/>
      <c r="BK2689" s="4"/>
      <c r="BL2689" s="4"/>
      <c r="BM2689" s="4"/>
      <c r="BN2689" s="4"/>
      <c r="BO2689" s="4"/>
      <c r="BP2689" s="4"/>
      <c r="BQ2689" s="4"/>
      <c r="BR2689" s="4"/>
      <c r="BS2689" s="4"/>
      <c r="BT2689" s="4"/>
      <c r="BU2689" s="4"/>
    </row>
    <row r="2690" spans="29:73" s="1" customFormat="1" x14ac:dyDescent="0.25">
      <c r="AC2690" s="4"/>
      <c r="AD2690" s="4"/>
      <c r="AE2690" s="4"/>
      <c r="AF2690" s="4"/>
      <c r="AG2690" s="4"/>
      <c r="AH2690" s="4"/>
      <c r="AI2690" s="4"/>
      <c r="AJ2690" s="4"/>
      <c r="AK2690" s="4"/>
      <c r="AL2690" s="4"/>
      <c r="AM2690" s="4"/>
      <c r="AN2690" s="4"/>
      <c r="AO2690" s="4"/>
      <c r="AP2690" s="4"/>
      <c r="AQ2690" s="4"/>
      <c r="AR2690" s="4"/>
      <c r="AS2690" s="4"/>
      <c r="AT2690" s="4"/>
      <c r="AU2690" s="4"/>
      <c r="AV2690" s="4"/>
      <c r="AW2690" s="4"/>
      <c r="AX2690" s="4"/>
      <c r="AY2690" s="4"/>
      <c r="AZ2690" s="4"/>
      <c r="BA2690" s="4"/>
      <c r="BB2690" s="4"/>
      <c r="BC2690" s="4"/>
      <c r="BD2690" s="4"/>
      <c r="BE2690" s="4"/>
      <c r="BF2690" s="4"/>
      <c r="BG2690" s="4"/>
      <c r="BH2690" s="4"/>
      <c r="BI2690" s="4"/>
      <c r="BJ2690" s="4"/>
      <c r="BK2690" s="4"/>
      <c r="BL2690" s="4"/>
      <c r="BM2690" s="4"/>
      <c r="BN2690" s="4"/>
      <c r="BO2690" s="4"/>
      <c r="BP2690" s="4"/>
      <c r="BQ2690" s="4"/>
      <c r="BR2690" s="4"/>
      <c r="BS2690" s="4"/>
      <c r="BT2690" s="4"/>
      <c r="BU2690" s="4"/>
    </row>
    <row r="2691" spans="29:73" s="1" customFormat="1" x14ac:dyDescent="0.25">
      <c r="AC2691" s="4"/>
      <c r="AD2691" s="4"/>
      <c r="AE2691" s="4"/>
      <c r="AF2691" s="4"/>
      <c r="AG2691" s="4"/>
      <c r="AH2691" s="4"/>
      <c r="AI2691" s="4"/>
      <c r="AJ2691" s="4"/>
      <c r="AK2691" s="4"/>
      <c r="AL2691" s="4"/>
      <c r="AM2691" s="4"/>
      <c r="AN2691" s="4"/>
      <c r="AO2691" s="4"/>
      <c r="AP2691" s="4"/>
      <c r="AQ2691" s="4"/>
      <c r="AR2691" s="4"/>
      <c r="AS2691" s="4"/>
      <c r="AT2691" s="4"/>
      <c r="AU2691" s="4"/>
      <c r="AV2691" s="4"/>
      <c r="AW2691" s="4"/>
      <c r="AX2691" s="4"/>
      <c r="AY2691" s="4"/>
      <c r="AZ2691" s="4"/>
      <c r="BA2691" s="4"/>
      <c r="BB2691" s="4"/>
      <c r="BC2691" s="4"/>
      <c r="BD2691" s="4"/>
      <c r="BE2691" s="4"/>
      <c r="BF2691" s="4"/>
      <c r="BG2691" s="4"/>
      <c r="BH2691" s="4"/>
      <c r="BI2691" s="4"/>
      <c r="BJ2691" s="4"/>
      <c r="BK2691" s="4"/>
      <c r="BL2691" s="4"/>
      <c r="BM2691" s="4"/>
      <c r="BN2691" s="4"/>
      <c r="BO2691" s="4"/>
      <c r="BP2691" s="4"/>
      <c r="BQ2691" s="4"/>
      <c r="BR2691" s="4"/>
      <c r="BS2691" s="4"/>
      <c r="BT2691" s="4"/>
      <c r="BU2691" s="4"/>
    </row>
    <row r="2692" spans="29:73" s="1" customFormat="1" x14ac:dyDescent="0.25">
      <c r="AC2692" s="4"/>
      <c r="AD2692" s="4"/>
      <c r="AE2692" s="4"/>
      <c r="AF2692" s="4"/>
      <c r="AG2692" s="4"/>
      <c r="AH2692" s="4"/>
      <c r="AI2692" s="4"/>
      <c r="AJ2692" s="4"/>
      <c r="AK2692" s="4"/>
      <c r="AL2692" s="4"/>
      <c r="AM2692" s="4"/>
      <c r="AN2692" s="4"/>
      <c r="AO2692" s="4"/>
      <c r="AP2692" s="4"/>
      <c r="AQ2692" s="4"/>
      <c r="AR2692" s="4"/>
      <c r="AS2692" s="4"/>
      <c r="AT2692" s="4"/>
      <c r="AU2692" s="4"/>
      <c r="AV2692" s="4"/>
      <c r="AW2692" s="4"/>
      <c r="AX2692" s="4"/>
      <c r="AY2692" s="4"/>
      <c r="AZ2692" s="4"/>
      <c r="BA2692" s="4"/>
      <c r="BB2692" s="4"/>
      <c r="BC2692" s="4"/>
      <c r="BD2692" s="4"/>
      <c r="BE2692" s="4"/>
      <c r="BF2692" s="4"/>
      <c r="BG2692" s="4"/>
      <c r="BH2692" s="4"/>
      <c r="BI2692" s="4"/>
      <c r="BJ2692" s="4"/>
      <c r="BK2692" s="4"/>
      <c r="BL2692" s="4"/>
      <c r="BM2692" s="4"/>
      <c r="BN2692" s="4"/>
      <c r="BO2692" s="4"/>
      <c r="BP2692" s="4"/>
      <c r="BQ2692" s="4"/>
      <c r="BR2692" s="4"/>
      <c r="BS2692" s="4"/>
      <c r="BT2692" s="4"/>
      <c r="BU2692" s="4"/>
    </row>
    <row r="2693" spans="29:73" s="1" customFormat="1" x14ac:dyDescent="0.25">
      <c r="AC2693" s="4"/>
      <c r="AD2693" s="4"/>
      <c r="AE2693" s="4"/>
      <c r="AF2693" s="4"/>
      <c r="AG2693" s="4"/>
      <c r="AH2693" s="4"/>
      <c r="AI2693" s="4"/>
      <c r="AJ2693" s="4"/>
      <c r="AK2693" s="4"/>
      <c r="AL2693" s="4"/>
      <c r="AM2693" s="4"/>
      <c r="AN2693" s="4"/>
      <c r="AO2693" s="4"/>
      <c r="AP2693" s="4"/>
      <c r="AQ2693" s="4"/>
      <c r="AR2693" s="4"/>
      <c r="AS2693" s="4"/>
      <c r="AT2693" s="4"/>
      <c r="AU2693" s="4"/>
      <c r="AV2693" s="4"/>
      <c r="AW2693" s="4"/>
      <c r="AX2693" s="4"/>
      <c r="AY2693" s="4"/>
      <c r="AZ2693" s="4"/>
      <c r="BA2693" s="4"/>
      <c r="BB2693" s="4"/>
      <c r="BC2693" s="4"/>
      <c r="BD2693" s="4"/>
      <c r="BE2693" s="4"/>
      <c r="BF2693" s="4"/>
      <c r="BG2693" s="4"/>
      <c r="BH2693" s="4"/>
      <c r="BI2693" s="4"/>
      <c r="BJ2693" s="4"/>
      <c r="BK2693" s="4"/>
      <c r="BL2693" s="4"/>
      <c r="BM2693" s="4"/>
      <c r="BN2693" s="4"/>
      <c r="BO2693" s="4"/>
      <c r="BP2693" s="4"/>
      <c r="BQ2693" s="4"/>
      <c r="BR2693" s="4"/>
      <c r="BS2693" s="4"/>
      <c r="BT2693" s="4"/>
      <c r="BU2693" s="4"/>
    </row>
    <row r="2694" spans="29:73" s="1" customFormat="1" x14ac:dyDescent="0.25">
      <c r="AC2694" s="4"/>
      <c r="AD2694" s="4"/>
      <c r="AE2694" s="4"/>
      <c r="AF2694" s="4"/>
      <c r="AG2694" s="4"/>
      <c r="AH2694" s="4"/>
      <c r="AI2694" s="4"/>
      <c r="AJ2694" s="4"/>
      <c r="AK2694" s="4"/>
      <c r="AL2694" s="4"/>
      <c r="AM2694" s="4"/>
      <c r="AN2694" s="4"/>
      <c r="AO2694" s="4"/>
      <c r="AP2694" s="4"/>
      <c r="AQ2694" s="4"/>
      <c r="AR2694" s="4"/>
      <c r="AS2694" s="4"/>
      <c r="AT2694" s="4"/>
      <c r="AU2694" s="4"/>
      <c r="AV2694" s="4"/>
      <c r="AW2694" s="4"/>
      <c r="AX2694" s="4"/>
      <c r="AY2694" s="4"/>
      <c r="AZ2694" s="4"/>
      <c r="BA2694" s="4"/>
      <c r="BB2694" s="4"/>
      <c r="BC2694" s="4"/>
      <c r="BD2694" s="4"/>
      <c r="BE2694" s="4"/>
      <c r="BF2694" s="4"/>
      <c r="BG2694" s="4"/>
      <c r="BH2694" s="4"/>
      <c r="BI2694" s="4"/>
      <c r="BJ2694" s="4"/>
      <c r="BK2694" s="4"/>
      <c r="BL2694" s="4"/>
      <c r="BM2694" s="4"/>
      <c r="BN2694" s="4"/>
      <c r="BO2694" s="4"/>
      <c r="BP2694" s="4"/>
      <c r="BQ2694" s="4"/>
      <c r="BR2694" s="4"/>
      <c r="BS2694" s="4"/>
      <c r="BT2694" s="4"/>
      <c r="BU2694" s="4"/>
    </row>
    <row r="2695" spans="29:73" s="1" customFormat="1" x14ac:dyDescent="0.25">
      <c r="AC2695" s="4"/>
      <c r="AD2695" s="4"/>
      <c r="AE2695" s="4"/>
      <c r="AF2695" s="4"/>
      <c r="AG2695" s="4"/>
      <c r="AH2695" s="4"/>
      <c r="AI2695" s="4"/>
      <c r="AJ2695" s="4"/>
      <c r="AK2695" s="4"/>
      <c r="AL2695" s="4"/>
      <c r="AM2695" s="4"/>
      <c r="AN2695" s="4"/>
      <c r="AO2695" s="4"/>
      <c r="AP2695" s="4"/>
      <c r="AQ2695" s="4"/>
      <c r="AR2695" s="4"/>
      <c r="AS2695" s="4"/>
      <c r="AT2695" s="4"/>
      <c r="AU2695" s="4"/>
      <c r="AV2695" s="4"/>
      <c r="AW2695" s="4"/>
      <c r="AX2695" s="4"/>
      <c r="AY2695" s="4"/>
      <c r="AZ2695" s="4"/>
      <c r="BA2695" s="4"/>
      <c r="BB2695" s="4"/>
      <c r="BC2695" s="4"/>
      <c r="BD2695" s="4"/>
      <c r="BE2695" s="4"/>
      <c r="BF2695" s="4"/>
      <c r="BG2695" s="4"/>
      <c r="BH2695" s="4"/>
      <c r="BI2695" s="4"/>
      <c r="BJ2695" s="4"/>
      <c r="BK2695" s="4"/>
      <c r="BL2695" s="4"/>
      <c r="BM2695" s="4"/>
      <c r="BN2695" s="4"/>
      <c r="BO2695" s="4"/>
      <c r="BP2695" s="4"/>
      <c r="BQ2695" s="4"/>
      <c r="BR2695" s="4"/>
      <c r="BS2695" s="4"/>
      <c r="BT2695" s="4"/>
      <c r="BU2695" s="4"/>
    </row>
    <row r="2696" spans="29:73" s="1" customFormat="1" x14ac:dyDescent="0.25">
      <c r="AC2696" s="4"/>
      <c r="AD2696" s="4"/>
      <c r="AE2696" s="4"/>
      <c r="AF2696" s="4"/>
      <c r="AG2696" s="4"/>
      <c r="AH2696" s="4"/>
      <c r="AI2696" s="4"/>
      <c r="AJ2696" s="4"/>
      <c r="AK2696" s="4"/>
      <c r="AL2696" s="4"/>
      <c r="AM2696" s="4"/>
      <c r="AN2696" s="4"/>
      <c r="AO2696" s="4"/>
      <c r="AP2696" s="4"/>
      <c r="AQ2696" s="4"/>
      <c r="AR2696" s="4"/>
      <c r="AS2696" s="4"/>
      <c r="AT2696" s="4"/>
      <c r="AU2696" s="4"/>
      <c r="AV2696" s="4"/>
      <c r="AW2696" s="4"/>
      <c r="AX2696" s="4"/>
      <c r="AY2696" s="4"/>
      <c r="AZ2696" s="4"/>
      <c r="BA2696" s="4"/>
      <c r="BB2696" s="4"/>
      <c r="BC2696" s="4"/>
      <c r="BD2696" s="4"/>
      <c r="BE2696" s="4"/>
      <c r="BF2696" s="4"/>
      <c r="BG2696" s="4"/>
      <c r="BH2696" s="4"/>
      <c r="BI2696" s="4"/>
      <c r="BJ2696" s="4"/>
      <c r="BK2696" s="4"/>
      <c r="BL2696" s="4"/>
      <c r="BM2696" s="4"/>
      <c r="BN2696" s="4"/>
      <c r="BO2696" s="4"/>
      <c r="BP2696" s="4"/>
      <c r="BQ2696" s="4"/>
      <c r="BR2696" s="4"/>
      <c r="BS2696" s="4"/>
      <c r="BT2696" s="4"/>
      <c r="BU2696" s="4"/>
    </row>
    <row r="2697" spans="29:73" s="1" customFormat="1" x14ac:dyDescent="0.25">
      <c r="AC2697" s="4"/>
      <c r="AD2697" s="4"/>
      <c r="AE2697" s="4"/>
      <c r="AF2697" s="4"/>
      <c r="AG2697" s="4"/>
      <c r="AH2697" s="4"/>
      <c r="AI2697" s="4"/>
      <c r="AJ2697" s="4"/>
      <c r="AK2697" s="4"/>
      <c r="AL2697" s="4"/>
      <c r="AM2697" s="4"/>
      <c r="AN2697" s="4"/>
      <c r="AO2697" s="4"/>
      <c r="AP2697" s="4"/>
      <c r="AQ2697" s="4"/>
      <c r="AR2697" s="4"/>
      <c r="AS2697" s="4"/>
      <c r="AT2697" s="4"/>
      <c r="AU2697" s="4"/>
      <c r="AV2697" s="4"/>
      <c r="AW2697" s="4"/>
      <c r="AX2697" s="4"/>
      <c r="AY2697" s="4"/>
      <c r="AZ2697" s="4"/>
      <c r="BA2697" s="4"/>
      <c r="BB2697" s="4"/>
      <c r="BC2697" s="4"/>
      <c r="BD2697" s="4"/>
      <c r="BE2697" s="4"/>
      <c r="BF2697" s="4"/>
      <c r="BG2697" s="4"/>
      <c r="BH2697" s="4"/>
      <c r="BI2697" s="4"/>
      <c r="BJ2697" s="4"/>
      <c r="BK2697" s="4"/>
      <c r="BL2697" s="4"/>
      <c r="BM2697" s="4"/>
      <c r="BN2697" s="4"/>
      <c r="BO2697" s="4"/>
      <c r="BP2697" s="4"/>
      <c r="BQ2697" s="4"/>
      <c r="BR2697" s="4"/>
      <c r="BS2697" s="4"/>
      <c r="BT2697" s="4"/>
      <c r="BU2697" s="4"/>
    </row>
    <row r="2698" spans="29:73" s="1" customFormat="1" x14ac:dyDescent="0.25">
      <c r="AC2698" s="4"/>
      <c r="AD2698" s="4"/>
      <c r="AE2698" s="4"/>
      <c r="AF2698" s="4"/>
      <c r="AG2698" s="4"/>
      <c r="AH2698" s="4"/>
      <c r="AI2698" s="4"/>
      <c r="AJ2698" s="4"/>
      <c r="AK2698" s="4"/>
      <c r="AL2698" s="4"/>
      <c r="AM2698" s="4"/>
      <c r="AN2698" s="4"/>
      <c r="AO2698" s="4"/>
      <c r="AP2698" s="4"/>
      <c r="AQ2698" s="4"/>
      <c r="AR2698" s="4"/>
      <c r="AS2698" s="4"/>
      <c r="AT2698" s="4"/>
      <c r="AU2698" s="4"/>
      <c r="AV2698" s="4"/>
      <c r="AW2698" s="4"/>
      <c r="AX2698" s="4"/>
      <c r="AY2698" s="4"/>
      <c r="AZ2698" s="4"/>
      <c r="BA2698" s="4"/>
      <c r="BB2698" s="4"/>
      <c r="BC2698" s="4"/>
      <c r="BD2698" s="4"/>
      <c r="BE2698" s="4"/>
      <c r="BF2698" s="4"/>
      <c r="BG2698" s="4"/>
      <c r="BH2698" s="4"/>
      <c r="BI2698" s="4"/>
      <c r="BJ2698" s="4"/>
      <c r="BK2698" s="4"/>
      <c r="BL2698" s="4"/>
      <c r="BM2698" s="4"/>
      <c r="BN2698" s="4"/>
      <c r="BO2698" s="4"/>
      <c r="BP2698" s="4"/>
      <c r="BQ2698" s="4"/>
      <c r="BR2698" s="4"/>
      <c r="BS2698" s="4"/>
      <c r="BT2698" s="4"/>
      <c r="BU2698" s="4"/>
    </row>
    <row r="2699" spans="29:73" s="1" customFormat="1" x14ac:dyDescent="0.25">
      <c r="AC2699" s="4"/>
      <c r="AD2699" s="4"/>
      <c r="AE2699" s="4"/>
      <c r="AF2699" s="4"/>
      <c r="AG2699" s="4"/>
      <c r="AH2699" s="4"/>
      <c r="AI2699" s="4"/>
      <c r="AJ2699" s="4"/>
      <c r="AK2699" s="4"/>
      <c r="AL2699" s="4"/>
      <c r="AM2699" s="4"/>
      <c r="AN2699" s="4"/>
      <c r="AO2699" s="4"/>
      <c r="AP2699" s="4"/>
      <c r="AQ2699" s="4"/>
      <c r="AR2699" s="4"/>
      <c r="AS2699" s="4"/>
      <c r="AT2699" s="4"/>
      <c r="AU2699" s="4"/>
      <c r="AV2699" s="4"/>
      <c r="AW2699" s="4"/>
      <c r="AX2699" s="4"/>
      <c r="AY2699" s="4"/>
      <c r="AZ2699" s="4"/>
      <c r="BA2699" s="4"/>
      <c r="BB2699" s="4"/>
      <c r="BC2699" s="4"/>
      <c r="BD2699" s="4"/>
      <c r="BE2699" s="4"/>
      <c r="BF2699" s="4"/>
      <c r="BG2699" s="4"/>
      <c r="BH2699" s="4"/>
      <c r="BI2699" s="4"/>
      <c r="BJ2699" s="4"/>
      <c r="BK2699" s="4"/>
      <c r="BL2699" s="4"/>
      <c r="BM2699" s="4"/>
      <c r="BN2699" s="4"/>
      <c r="BO2699" s="4"/>
      <c r="BP2699" s="4"/>
      <c r="BQ2699" s="4"/>
      <c r="BR2699" s="4"/>
      <c r="BS2699" s="4"/>
      <c r="BT2699" s="4"/>
      <c r="BU2699" s="4"/>
    </row>
    <row r="2700" spans="29:73" s="1" customFormat="1" x14ac:dyDescent="0.25">
      <c r="AC2700" s="4"/>
      <c r="AD2700" s="4"/>
      <c r="AE2700" s="4"/>
      <c r="AF2700" s="4"/>
      <c r="AG2700" s="4"/>
      <c r="AH2700" s="4"/>
      <c r="AI2700" s="4"/>
      <c r="AJ2700" s="4"/>
      <c r="AK2700" s="4"/>
      <c r="AL2700" s="4"/>
      <c r="AM2700" s="4"/>
      <c r="AN2700" s="4"/>
      <c r="AO2700" s="4"/>
      <c r="AP2700" s="4"/>
      <c r="AQ2700" s="4"/>
      <c r="AR2700" s="4"/>
      <c r="AS2700" s="4"/>
      <c r="AT2700" s="4"/>
      <c r="AU2700" s="4"/>
      <c r="AV2700" s="4"/>
      <c r="AW2700" s="4"/>
      <c r="AX2700" s="4"/>
      <c r="AY2700" s="4"/>
      <c r="AZ2700" s="4"/>
      <c r="BA2700" s="4"/>
      <c r="BB2700" s="4"/>
      <c r="BC2700" s="4"/>
      <c r="BD2700" s="4"/>
      <c r="BE2700" s="4"/>
      <c r="BF2700" s="4"/>
      <c r="BG2700" s="4"/>
      <c r="BH2700" s="4"/>
      <c r="BI2700" s="4"/>
      <c r="BJ2700" s="4"/>
      <c r="BK2700" s="4"/>
      <c r="BL2700" s="4"/>
      <c r="BM2700" s="4"/>
      <c r="BN2700" s="4"/>
      <c r="BO2700" s="4"/>
      <c r="BP2700" s="4"/>
      <c r="BQ2700" s="4"/>
      <c r="BR2700" s="4"/>
      <c r="BS2700" s="4"/>
      <c r="BT2700" s="4"/>
      <c r="BU2700" s="4"/>
    </row>
    <row r="2701" spans="29:73" s="1" customFormat="1" x14ac:dyDescent="0.25">
      <c r="AC2701" s="4"/>
      <c r="AD2701" s="4"/>
      <c r="AE2701" s="4"/>
      <c r="AF2701" s="4"/>
      <c r="AG2701" s="4"/>
      <c r="AH2701" s="4"/>
      <c r="AI2701" s="4"/>
      <c r="AJ2701" s="4"/>
      <c r="AK2701" s="4"/>
      <c r="AL2701" s="4"/>
      <c r="AM2701" s="4"/>
      <c r="AN2701" s="4"/>
      <c r="AO2701" s="4"/>
      <c r="AP2701" s="4"/>
      <c r="AQ2701" s="4"/>
      <c r="AR2701" s="4"/>
      <c r="AS2701" s="4"/>
      <c r="AT2701" s="4"/>
      <c r="AU2701" s="4"/>
      <c r="AV2701" s="4"/>
      <c r="AW2701" s="4"/>
      <c r="AX2701" s="4"/>
      <c r="AY2701" s="4"/>
      <c r="AZ2701" s="4"/>
      <c r="BA2701" s="4"/>
      <c r="BB2701" s="4"/>
      <c r="BC2701" s="4"/>
      <c r="BD2701" s="4"/>
      <c r="BE2701" s="4"/>
      <c r="BF2701" s="4"/>
      <c r="BG2701" s="4"/>
      <c r="BH2701" s="4"/>
      <c r="BI2701" s="4"/>
      <c r="BJ2701" s="4"/>
      <c r="BK2701" s="4"/>
      <c r="BL2701" s="4"/>
      <c r="BM2701" s="4"/>
      <c r="BN2701" s="4"/>
      <c r="BO2701" s="4"/>
      <c r="BP2701" s="4"/>
      <c r="BQ2701" s="4"/>
      <c r="BR2701" s="4"/>
      <c r="BS2701" s="4"/>
      <c r="BT2701" s="4"/>
      <c r="BU2701" s="4"/>
    </row>
    <row r="2702" spans="29:73" s="1" customFormat="1" x14ac:dyDescent="0.25">
      <c r="AC2702" s="4"/>
      <c r="AD2702" s="4"/>
      <c r="AE2702" s="4"/>
      <c r="AF2702" s="4"/>
      <c r="AG2702" s="4"/>
      <c r="AH2702" s="4"/>
      <c r="AI2702" s="4"/>
      <c r="AJ2702" s="4"/>
      <c r="AK2702" s="4"/>
      <c r="AL2702" s="4"/>
      <c r="AM2702" s="4"/>
      <c r="AN2702" s="4"/>
      <c r="AO2702" s="4"/>
      <c r="AP2702" s="4"/>
      <c r="AQ2702" s="4"/>
      <c r="AR2702" s="4"/>
      <c r="AS2702" s="4"/>
      <c r="AT2702" s="4"/>
      <c r="AU2702" s="4"/>
      <c r="AV2702" s="4"/>
      <c r="AW2702" s="4"/>
      <c r="AX2702" s="4"/>
      <c r="AY2702" s="4"/>
      <c r="AZ2702" s="4"/>
      <c r="BA2702" s="4"/>
      <c r="BB2702" s="4"/>
      <c r="BC2702" s="4"/>
      <c r="BD2702" s="4"/>
      <c r="BE2702" s="4"/>
      <c r="BF2702" s="4"/>
      <c r="BG2702" s="4"/>
      <c r="BH2702" s="4"/>
      <c r="BI2702" s="4"/>
      <c r="BJ2702" s="4"/>
      <c r="BK2702" s="4"/>
      <c r="BL2702" s="4"/>
      <c r="BM2702" s="4"/>
      <c r="BN2702" s="4"/>
      <c r="BO2702" s="4"/>
      <c r="BP2702" s="4"/>
      <c r="BQ2702" s="4"/>
      <c r="BR2702" s="4"/>
      <c r="BS2702" s="4"/>
      <c r="BT2702" s="4"/>
      <c r="BU2702" s="4"/>
    </row>
    <row r="2703" spans="29:73" s="1" customFormat="1" x14ac:dyDescent="0.25">
      <c r="AC2703" s="4"/>
      <c r="AD2703" s="4"/>
      <c r="AE2703" s="4"/>
      <c r="AF2703" s="4"/>
      <c r="AG2703" s="4"/>
      <c r="AH2703" s="4"/>
      <c r="AI2703" s="4"/>
      <c r="AJ2703" s="4"/>
      <c r="AK2703" s="4"/>
      <c r="AL2703" s="4"/>
      <c r="AM2703" s="4"/>
      <c r="AN2703" s="4"/>
      <c r="AO2703" s="4"/>
      <c r="AP2703" s="4"/>
      <c r="AQ2703" s="4"/>
      <c r="AR2703" s="4"/>
      <c r="AS2703" s="4"/>
      <c r="AT2703" s="4"/>
      <c r="AU2703" s="4"/>
      <c r="AV2703" s="4"/>
      <c r="AW2703" s="4"/>
      <c r="AX2703" s="4"/>
      <c r="AY2703" s="4"/>
      <c r="AZ2703" s="4"/>
      <c r="BA2703" s="4"/>
      <c r="BB2703" s="4"/>
      <c r="BC2703" s="4"/>
      <c r="BD2703" s="4"/>
      <c r="BE2703" s="4"/>
      <c r="BF2703" s="4"/>
      <c r="BG2703" s="4"/>
      <c r="BH2703" s="4"/>
      <c r="BI2703" s="4"/>
      <c r="BJ2703" s="4"/>
      <c r="BK2703" s="4"/>
      <c r="BL2703" s="4"/>
      <c r="BM2703" s="4"/>
      <c r="BN2703" s="4"/>
      <c r="BO2703" s="4"/>
      <c r="BP2703" s="4"/>
      <c r="BQ2703" s="4"/>
      <c r="BR2703" s="4"/>
      <c r="BS2703" s="4"/>
      <c r="BT2703" s="4"/>
      <c r="BU2703" s="4"/>
    </row>
    <row r="2704" spans="29:73" s="1" customFormat="1" x14ac:dyDescent="0.25">
      <c r="AC2704" s="4"/>
      <c r="AD2704" s="4"/>
      <c r="AE2704" s="4"/>
      <c r="AF2704" s="4"/>
      <c r="AG2704" s="4"/>
      <c r="AH2704" s="4"/>
      <c r="AI2704" s="4"/>
      <c r="AJ2704" s="4"/>
      <c r="AK2704" s="4"/>
      <c r="AL2704" s="4"/>
      <c r="AM2704" s="4"/>
      <c r="AN2704" s="4"/>
      <c r="AO2704" s="4"/>
      <c r="AP2704" s="4"/>
      <c r="AQ2704" s="4"/>
      <c r="AR2704" s="4"/>
      <c r="AS2704" s="4"/>
      <c r="AT2704" s="4"/>
      <c r="AU2704" s="4"/>
      <c r="AV2704" s="4"/>
      <c r="AW2704" s="4"/>
      <c r="AX2704" s="4"/>
      <c r="AY2704" s="4"/>
      <c r="AZ2704" s="4"/>
      <c r="BA2704" s="4"/>
      <c r="BB2704" s="4"/>
      <c r="BC2704" s="4"/>
      <c r="BD2704" s="4"/>
      <c r="BE2704" s="4"/>
      <c r="BF2704" s="4"/>
      <c r="BG2704" s="4"/>
      <c r="BH2704" s="4"/>
      <c r="BI2704" s="4"/>
      <c r="BJ2704" s="4"/>
      <c r="BK2704" s="4"/>
      <c r="BL2704" s="4"/>
      <c r="BM2704" s="4"/>
      <c r="BN2704" s="4"/>
      <c r="BO2704" s="4"/>
      <c r="BP2704" s="4"/>
      <c r="BQ2704" s="4"/>
      <c r="BR2704" s="4"/>
      <c r="BS2704" s="4"/>
      <c r="BT2704" s="4"/>
      <c r="BU2704" s="4"/>
    </row>
    <row r="2705" spans="29:73" s="1" customFormat="1" x14ac:dyDescent="0.25">
      <c r="AC2705" s="4"/>
      <c r="AD2705" s="4"/>
      <c r="AE2705" s="4"/>
      <c r="AF2705" s="4"/>
      <c r="AG2705" s="4"/>
      <c r="AH2705" s="4"/>
      <c r="AI2705" s="4"/>
      <c r="AJ2705" s="4"/>
      <c r="AK2705" s="4"/>
      <c r="AL2705" s="4"/>
      <c r="AM2705" s="4"/>
      <c r="AN2705" s="4"/>
      <c r="AO2705" s="4"/>
      <c r="AP2705" s="4"/>
      <c r="AQ2705" s="4"/>
      <c r="AR2705" s="4"/>
      <c r="AS2705" s="4"/>
      <c r="AT2705" s="4"/>
      <c r="AU2705" s="4"/>
      <c r="AV2705" s="4"/>
      <c r="AW2705" s="4"/>
      <c r="AX2705" s="4"/>
      <c r="AY2705" s="4"/>
      <c r="AZ2705" s="4"/>
      <c r="BA2705" s="4"/>
      <c r="BB2705" s="4"/>
      <c r="BC2705" s="4"/>
      <c r="BD2705" s="4"/>
      <c r="BE2705" s="4"/>
      <c r="BF2705" s="4"/>
      <c r="BG2705" s="4"/>
      <c r="BH2705" s="4"/>
      <c r="BI2705" s="4"/>
      <c r="BJ2705" s="4"/>
      <c r="BK2705" s="4"/>
      <c r="BL2705" s="4"/>
      <c r="BM2705" s="4"/>
      <c r="BN2705" s="4"/>
      <c r="BO2705" s="4"/>
      <c r="BP2705" s="4"/>
      <c r="BQ2705" s="4"/>
      <c r="BR2705" s="4"/>
      <c r="BS2705" s="4"/>
      <c r="BT2705" s="4"/>
      <c r="BU2705" s="4"/>
    </row>
    <row r="2706" spans="29:73" s="1" customFormat="1" x14ac:dyDescent="0.25">
      <c r="AC2706" s="4"/>
      <c r="AD2706" s="4"/>
      <c r="AE2706" s="4"/>
      <c r="AF2706" s="4"/>
      <c r="AG2706" s="4"/>
      <c r="AH2706" s="4"/>
      <c r="AI2706" s="4"/>
      <c r="AJ2706" s="4"/>
      <c r="AK2706" s="4"/>
      <c r="AL2706" s="4"/>
      <c r="AM2706" s="4"/>
      <c r="AN2706" s="4"/>
      <c r="AO2706" s="4"/>
      <c r="AP2706" s="4"/>
      <c r="AQ2706" s="4"/>
      <c r="AR2706" s="4"/>
      <c r="AS2706" s="4"/>
      <c r="AT2706" s="4"/>
      <c r="AU2706" s="4"/>
      <c r="AV2706" s="4"/>
      <c r="AW2706" s="4"/>
      <c r="AX2706" s="4"/>
      <c r="AY2706" s="4"/>
      <c r="AZ2706" s="4"/>
      <c r="BA2706" s="4"/>
      <c r="BB2706" s="4"/>
      <c r="BC2706" s="4"/>
      <c r="BD2706" s="4"/>
      <c r="BE2706" s="4"/>
      <c r="BF2706" s="4"/>
      <c r="BG2706" s="4"/>
      <c r="BH2706" s="4"/>
      <c r="BI2706" s="4"/>
      <c r="BJ2706" s="4"/>
      <c r="BK2706" s="4"/>
      <c r="BL2706" s="4"/>
      <c r="BM2706" s="4"/>
      <c r="BN2706" s="4"/>
      <c r="BO2706" s="4"/>
      <c r="BP2706" s="4"/>
      <c r="BQ2706" s="4"/>
      <c r="BR2706" s="4"/>
      <c r="BS2706" s="4"/>
      <c r="BT2706" s="4"/>
      <c r="BU2706" s="4"/>
    </row>
    <row r="2707" spans="29:73" s="1" customFormat="1" x14ac:dyDescent="0.25">
      <c r="AC2707" s="4"/>
      <c r="AD2707" s="4"/>
      <c r="AE2707" s="4"/>
      <c r="AF2707" s="4"/>
      <c r="AG2707" s="4"/>
      <c r="AH2707" s="4"/>
      <c r="AI2707" s="4"/>
      <c r="AJ2707" s="4"/>
      <c r="AK2707" s="4"/>
      <c r="AL2707" s="4"/>
      <c r="AM2707" s="4"/>
      <c r="AN2707" s="4"/>
      <c r="AO2707" s="4"/>
      <c r="AP2707" s="4"/>
      <c r="AQ2707" s="4"/>
      <c r="AR2707" s="4"/>
      <c r="AS2707" s="4"/>
      <c r="AT2707" s="4"/>
      <c r="AU2707" s="4"/>
      <c r="AV2707" s="4"/>
      <c r="AW2707" s="4"/>
      <c r="AX2707" s="4"/>
      <c r="AY2707" s="4"/>
      <c r="AZ2707" s="4"/>
      <c r="BA2707" s="4"/>
      <c r="BB2707" s="4"/>
      <c r="BC2707" s="4"/>
      <c r="BD2707" s="4"/>
      <c r="BE2707" s="4"/>
      <c r="BF2707" s="4"/>
      <c r="BG2707" s="4"/>
      <c r="BH2707" s="4"/>
      <c r="BI2707" s="4"/>
      <c r="BJ2707" s="4"/>
      <c r="BK2707" s="4"/>
      <c r="BL2707" s="4"/>
      <c r="BM2707" s="4"/>
      <c r="BN2707" s="4"/>
      <c r="BO2707" s="4"/>
      <c r="BP2707" s="4"/>
      <c r="BQ2707" s="4"/>
      <c r="BR2707" s="4"/>
      <c r="BS2707" s="4"/>
      <c r="BT2707" s="4"/>
      <c r="BU2707" s="4"/>
    </row>
    <row r="2708" spans="29:73" s="1" customFormat="1" x14ac:dyDescent="0.25">
      <c r="AC2708" s="4"/>
      <c r="AD2708" s="4"/>
      <c r="AE2708" s="4"/>
      <c r="AF2708" s="4"/>
      <c r="AG2708" s="4"/>
      <c r="AH2708" s="4"/>
      <c r="AI2708" s="4"/>
      <c r="AJ2708" s="4"/>
      <c r="AK2708" s="4"/>
      <c r="AL2708" s="4"/>
      <c r="AM2708" s="4"/>
      <c r="AN2708" s="4"/>
      <c r="AO2708" s="4"/>
      <c r="AP2708" s="4"/>
      <c r="AQ2708" s="4"/>
      <c r="AR2708" s="4"/>
      <c r="AS2708" s="4"/>
      <c r="AT2708" s="4"/>
      <c r="AU2708" s="4"/>
      <c r="AV2708" s="4"/>
      <c r="AW2708" s="4"/>
      <c r="AX2708" s="4"/>
      <c r="AY2708" s="4"/>
      <c r="AZ2708" s="4"/>
      <c r="BA2708" s="4"/>
      <c r="BB2708" s="4"/>
      <c r="BC2708" s="4"/>
      <c r="BD2708" s="4"/>
      <c r="BE2708" s="4"/>
      <c r="BF2708" s="4"/>
      <c r="BG2708" s="4"/>
      <c r="BH2708" s="4"/>
      <c r="BI2708" s="4"/>
      <c r="BJ2708" s="4"/>
      <c r="BK2708" s="4"/>
      <c r="BL2708" s="4"/>
      <c r="BM2708" s="4"/>
      <c r="BN2708" s="4"/>
      <c r="BO2708" s="4"/>
      <c r="BP2708" s="4"/>
      <c r="BQ2708" s="4"/>
      <c r="BR2708" s="4"/>
      <c r="BS2708" s="4"/>
      <c r="BT2708" s="4"/>
      <c r="BU2708" s="4"/>
    </row>
    <row r="2709" spans="29:73" s="1" customFormat="1" x14ac:dyDescent="0.25">
      <c r="AC2709" s="4"/>
      <c r="AD2709" s="4"/>
      <c r="AE2709" s="4"/>
      <c r="AF2709" s="4"/>
      <c r="AG2709" s="4"/>
      <c r="AH2709" s="4"/>
      <c r="AI2709" s="4"/>
      <c r="AJ2709" s="4"/>
      <c r="AK2709" s="4"/>
      <c r="AL2709" s="4"/>
      <c r="AM2709" s="4"/>
      <c r="AN2709" s="4"/>
      <c r="AO2709" s="4"/>
      <c r="AP2709" s="4"/>
      <c r="AQ2709" s="4"/>
      <c r="AR2709" s="4"/>
      <c r="AS2709" s="4"/>
      <c r="AT2709" s="4"/>
      <c r="AU2709" s="4"/>
      <c r="AV2709" s="4"/>
      <c r="AW2709" s="4"/>
      <c r="AX2709" s="4"/>
      <c r="AY2709" s="4"/>
      <c r="AZ2709" s="4"/>
      <c r="BA2709" s="4"/>
      <c r="BB2709" s="4"/>
      <c r="BC2709" s="4"/>
      <c r="BD2709" s="4"/>
      <c r="BE2709" s="4"/>
      <c r="BF2709" s="4"/>
      <c r="BG2709" s="4"/>
      <c r="BH2709" s="4"/>
      <c r="BI2709" s="4"/>
      <c r="BJ2709" s="4"/>
      <c r="BK2709" s="4"/>
      <c r="BL2709" s="4"/>
      <c r="BM2709" s="4"/>
      <c r="BN2709" s="4"/>
      <c r="BO2709" s="4"/>
      <c r="BP2709" s="4"/>
      <c r="BQ2709" s="4"/>
      <c r="BR2709" s="4"/>
      <c r="BS2709" s="4"/>
      <c r="BT2709" s="4"/>
      <c r="BU2709" s="4"/>
    </row>
    <row r="2710" spans="29:73" s="1" customFormat="1" x14ac:dyDescent="0.25">
      <c r="AC2710" s="4"/>
      <c r="AD2710" s="4"/>
      <c r="AE2710" s="4"/>
      <c r="AF2710" s="4"/>
      <c r="AG2710" s="4"/>
      <c r="AH2710" s="4"/>
      <c r="AI2710" s="4"/>
      <c r="AJ2710" s="4"/>
      <c r="AK2710" s="4"/>
      <c r="AL2710" s="4"/>
      <c r="AM2710" s="4"/>
      <c r="AN2710" s="4"/>
      <c r="AO2710" s="4"/>
      <c r="AP2710" s="4"/>
      <c r="AQ2710" s="4"/>
      <c r="AR2710" s="4"/>
      <c r="AS2710" s="4"/>
      <c r="AT2710" s="4"/>
      <c r="AU2710" s="4"/>
      <c r="AV2710" s="4"/>
      <c r="AW2710" s="4"/>
      <c r="AX2710" s="4"/>
      <c r="AY2710" s="4"/>
      <c r="AZ2710" s="4"/>
      <c r="BA2710" s="4"/>
      <c r="BB2710" s="4"/>
      <c r="BC2710" s="4"/>
      <c r="BD2710" s="4"/>
      <c r="BE2710" s="4"/>
      <c r="BF2710" s="4"/>
      <c r="BG2710" s="4"/>
      <c r="BH2710" s="4"/>
      <c r="BI2710" s="4"/>
      <c r="BJ2710" s="4"/>
      <c r="BK2710" s="4"/>
      <c r="BL2710" s="4"/>
      <c r="BM2710" s="4"/>
      <c r="BN2710" s="4"/>
      <c r="BO2710" s="4"/>
      <c r="BP2710" s="4"/>
      <c r="BQ2710" s="4"/>
      <c r="BR2710" s="4"/>
      <c r="BS2710" s="4"/>
      <c r="BT2710" s="4"/>
      <c r="BU2710" s="4"/>
    </row>
    <row r="2711" spans="29:73" s="1" customFormat="1" x14ac:dyDescent="0.25">
      <c r="AC2711" s="4"/>
      <c r="AD2711" s="4"/>
      <c r="AE2711" s="4"/>
      <c r="AF2711" s="4"/>
      <c r="AG2711" s="4"/>
      <c r="AH2711" s="4"/>
      <c r="AI2711" s="4"/>
      <c r="AJ2711" s="4"/>
      <c r="AK2711" s="4"/>
      <c r="AL2711" s="4"/>
      <c r="AM2711" s="4"/>
      <c r="AN2711" s="4"/>
      <c r="AO2711" s="4"/>
      <c r="AP2711" s="4"/>
      <c r="AQ2711" s="4"/>
      <c r="AR2711" s="4"/>
      <c r="AS2711" s="4"/>
      <c r="AT2711" s="4"/>
      <c r="AU2711" s="4"/>
      <c r="AV2711" s="4"/>
      <c r="AW2711" s="4"/>
      <c r="AX2711" s="4"/>
      <c r="AY2711" s="4"/>
      <c r="AZ2711" s="4"/>
      <c r="BA2711" s="4"/>
      <c r="BB2711" s="4"/>
      <c r="BC2711" s="4"/>
      <c r="BD2711" s="4"/>
      <c r="BE2711" s="4"/>
      <c r="BF2711" s="4"/>
      <c r="BG2711" s="4"/>
      <c r="BH2711" s="4"/>
      <c r="BI2711" s="4"/>
      <c r="BJ2711" s="4"/>
      <c r="BK2711" s="4"/>
      <c r="BL2711" s="4"/>
      <c r="BM2711" s="4"/>
      <c r="BN2711" s="4"/>
      <c r="BO2711" s="4"/>
      <c r="BP2711" s="4"/>
      <c r="BQ2711" s="4"/>
      <c r="BR2711" s="4"/>
      <c r="BS2711" s="4"/>
      <c r="BT2711" s="4"/>
      <c r="BU2711" s="4"/>
    </row>
    <row r="2712" spans="29:73" s="1" customFormat="1" x14ac:dyDescent="0.25">
      <c r="AC2712" s="4"/>
      <c r="AD2712" s="4"/>
      <c r="AE2712" s="4"/>
      <c r="AF2712" s="4"/>
      <c r="AG2712" s="4"/>
      <c r="AH2712" s="4"/>
      <c r="AI2712" s="4"/>
      <c r="AJ2712" s="4"/>
      <c r="AK2712" s="4"/>
      <c r="AL2712" s="4"/>
      <c r="AM2712" s="4"/>
      <c r="AN2712" s="4"/>
      <c r="AO2712" s="4"/>
      <c r="AP2712" s="4"/>
      <c r="AQ2712" s="4"/>
      <c r="AR2712" s="4"/>
      <c r="AS2712" s="4"/>
      <c r="AT2712" s="4"/>
      <c r="AU2712" s="4"/>
      <c r="AV2712" s="4"/>
      <c r="AW2712" s="4"/>
      <c r="AX2712" s="4"/>
      <c r="AY2712" s="4"/>
      <c r="AZ2712" s="4"/>
      <c r="BA2712" s="4"/>
      <c r="BB2712" s="4"/>
      <c r="BC2712" s="4"/>
      <c r="BD2712" s="4"/>
      <c r="BE2712" s="4"/>
      <c r="BF2712" s="4"/>
      <c r="BG2712" s="4"/>
      <c r="BH2712" s="4"/>
      <c r="BI2712" s="4"/>
      <c r="BJ2712" s="4"/>
      <c r="BK2712" s="4"/>
      <c r="BL2712" s="4"/>
      <c r="BM2712" s="4"/>
      <c r="BN2712" s="4"/>
      <c r="BO2712" s="4"/>
      <c r="BP2712" s="4"/>
      <c r="BQ2712" s="4"/>
      <c r="BR2712" s="4"/>
      <c r="BS2712" s="4"/>
      <c r="BT2712" s="4"/>
      <c r="BU2712" s="4"/>
    </row>
    <row r="2713" spans="29:73" s="1" customFormat="1" x14ac:dyDescent="0.25">
      <c r="AC2713" s="4"/>
      <c r="AD2713" s="4"/>
      <c r="AE2713" s="4"/>
      <c r="AF2713" s="4"/>
      <c r="AG2713" s="4"/>
      <c r="AH2713" s="4"/>
      <c r="AI2713" s="4"/>
      <c r="AJ2713" s="4"/>
      <c r="AK2713" s="4"/>
      <c r="AL2713" s="4"/>
      <c r="AM2713" s="4"/>
      <c r="AN2713" s="4"/>
      <c r="AO2713" s="4"/>
      <c r="AP2713" s="4"/>
      <c r="AQ2713" s="4"/>
      <c r="AR2713" s="4"/>
      <c r="AS2713" s="4"/>
      <c r="AT2713" s="4"/>
      <c r="AU2713" s="4"/>
      <c r="AV2713" s="4"/>
      <c r="AW2713" s="4"/>
      <c r="AX2713" s="4"/>
      <c r="AY2713" s="4"/>
      <c r="AZ2713" s="4"/>
      <c r="BA2713" s="4"/>
      <c r="BB2713" s="4"/>
      <c r="BC2713" s="4"/>
      <c r="BD2713" s="4"/>
      <c r="BE2713" s="4"/>
      <c r="BF2713" s="4"/>
      <c r="BG2713" s="4"/>
      <c r="BH2713" s="4"/>
      <c r="BI2713" s="4"/>
      <c r="BJ2713" s="4"/>
      <c r="BK2713" s="4"/>
      <c r="BL2713" s="4"/>
      <c r="BM2713" s="4"/>
      <c r="BN2713" s="4"/>
      <c r="BO2713" s="4"/>
      <c r="BP2713" s="4"/>
      <c r="BQ2713" s="4"/>
      <c r="BR2713" s="4"/>
      <c r="BS2713" s="4"/>
      <c r="BT2713" s="4"/>
      <c r="BU2713" s="4"/>
    </row>
    <row r="2714" spans="29:73" s="1" customFormat="1" x14ac:dyDescent="0.25">
      <c r="AC2714" s="4"/>
      <c r="AD2714" s="4"/>
      <c r="AE2714" s="4"/>
      <c r="AF2714" s="4"/>
      <c r="AG2714" s="4"/>
      <c r="AH2714" s="4"/>
      <c r="AI2714" s="4"/>
      <c r="AJ2714" s="4"/>
      <c r="AK2714" s="4"/>
      <c r="AL2714" s="4"/>
      <c r="AM2714" s="4"/>
      <c r="AN2714" s="4"/>
      <c r="AO2714" s="4"/>
      <c r="AP2714" s="4"/>
      <c r="AQ2714" s="4"/>
      <c r="AR2714" s="4"/>
      <c r="AS2714" s="4"/>
      <c r="AT2714" s="4"/>
      <c r="AU2714" s="4"/>
      <c r="AV2714" s="4"/>
      <c r="AW2714" s="4"/>
      <c r="AX2714" s="4"/>
      <c r="AY2714" s="4"/>
      <c r="AZ2714" s="4"/>
      <c r="BA2714" s="4"/>
      <c r="BB2714" s="4"/>
      <c r="BC2714" s="4"/>
      <c r="BD2714" s="4"/>
      <c r="BE2714" s="4"/>
      <c r="BF2714" s="4"/>
      <c r="BG2714" s="4"/>
      <c r="BH2714" s="4"/>
      <c r="BI2714" s="4"/>
      <c r="BJ2714" s="4"/>
      <c r="BK2714" s="4"/>
      <c r="BL2714" s="4"/>
      <c r="BM2714" s="4"/>
      <c r="BN2714" s="4"/>
      <c r="BO2714" s="4"/>
      <c r="BP2714" s="4"/>
      <c r="BQ2714" s="4"/>
      <c r="BR2714" s="4"/>
      <c r="BS2714" s="4"/>
      <c r="BT2714" s="4"/>
      <c r="BU2714" s="4"/>
    </row>
    <row r="2715" spans="29:73" s="1" customFormat="1" x14ac:dyDescent="0.25">
      <c r="AC2715" s="4"/>
      <c r="AD2715" s="4"/>
      <c r="AE2715" s="4"/>
      <c r="AF2715" s="4"/>
      <c r="AG2715" s="4"/>
      <c r="AH2715" s="4"/>
      <c r="AI2715" s="4"/>
      <c r="AJ2715" s="4"/>
      <c r="AK2715" s="4"/>
      <c r="AL2715" s="4"/>
      <c r="AM2715" s="4"/>
      <c r="AN2715" s="4"/>
      <c r="AO2715" s="4"/>
      <c r="AP2715" s="4"/>
      <c r="AQ2715" s="4"/>
      <c r="AR2715" s="4"/>
      <c r="AS2715" s="4"/>
      <c r="AT2715" s="4"/>
      <c r="AU2715" s="4"/>
      <c r="AV2715" s="4"/>
      <c r="AW2715" s="4"/>
      <c r="AX2715" s="4"/>
      <c r="AY2715" s="4"/>
      <c r="AZ2715" s="4"/>
      <c r="BA2715" s="4"/>
      <c r="BB2715" s="4"/>
      <c r="BC2715" s="4"/>
      <c r="BD2715" s="4"/>
      <c r="BE2715" s="4"/>
      <c r="BF2715" s="4"/>
      <c r="BG2715" s="4"/>
      <c r="BH2715" s="4"/>
      <c r="BI2715" s="4"/>
      <c r="BJ2715" s="4"/>
      <c r="BK2715" s="4"/>
      <c r="BL2715" s="4"/>
      <c r="BM2715" s="4"/>
      <c r="BN2715" s="4"/>
      <c r="BO2715" s="4"/>
      <c r="BP2715" s="4"/>
      <c r="BQ2715" s="4"/>
      <c r="BR2715" s="4"/>
      <c r="BS2715" s="4"/>
      <c r="BT2715" s="4"/>
      <c r="BU2715" s="4"/>
    </row>
    <row r="2716" spans="29:73" s="1" customFormat="1" x14ac:dyDescent="0.25">
      <c r="AC2716" s="4"/>
      <c r="AD2716" s="4"/>
      <c r="AE2716" s="4"/>
      <c r="AF2716" s="4"/>
      <c r="AG2716" s="4"/>
      <c r="AH2716" s="4"/>
      <c r="AI2716" s="4"/>
      <c r="AJ2716" s="4"/>
      <c r="AK2716" s="4"/>
      <c r="AL2716" s="4"/>
      <c r="AM2716" s="4"/>
      <c r="AN2716" s="4"/>
      <c r="AO2716" s="4"/>
      <c r="AP2716" s="4"/>
      <c r="AQ2716" s="4"/>
      <c r="AR2716" s="4"/>
      <c r="AS2716" s="4"/>
      <c r="AT2716" s="4"/>
      <c r="AU2716" s="4"/>
      <c r="AV2716" s="4"/>
      <c r="AW2716" s="4"/>
      <c r="AX2716" s="4"/>
      <c r="AY2716" s="4"/>
      <c r="AZ2716" s="4"/>
      <c r="BA2716" s="4"/>
      <c r="BB2716" s="4"/>
      <c r="BC2716" s="4"/>
      <c r="BD2716" s="4"/>
      <c r="BE2716" s="4"/>
      <c r="BF2716" s="4"/>
      <c r="BG2716" s="4"/>
      <c r="BH2716" s="4"/>
      <c r="BI2716" s="4"/>
      <c r="BJ2716" s="4"/>
      <c r="BK2716" s="4"/>
      <c r="BL2716" s="4"/>
      <c r="BM2716" s="4"/>
      <c r="BN2716" s="4"/>
      <c r="BO2716" s="4"/>
      <c r="BP2716" s="4"/>
      <c r="BQ2716" s="4"/>
      <c r="BR2716" s="4"/>
      <c r="BS2716" s="4"/>
      <c r="BT2716" s="4"/>
      <c r="BU2716" s="4"/>
    </row>
    <row r="2717" spans="29:73" s="1" customFormat="1" x14ac:dyDescent="0.25">
      <c r="AC2717" s="4"/>
      <c r="AD2717" s="4"/>
      <c r="AE2717" s="4"/>
      <c r="AF2717" s="4"/>
      <c r="AG2717" s="4"/>
      <c r="AH2717" s="4"/>
      <c r="AI2717" s="4"/>
      <c r="AJ2717" s="4"/>
      <c r="AK2717" s="4"/>
      <c r="AL2717" s="4"/>
      <c r="AM2717" s="4"/>
      <c r="AN2717" s="4"/>
      <c r="AO2717" s="4"/>
      <c r="AP2717" s="4"/>
      <c r="AQ2717" s="4"/>
      <c r="AR2717" s="4"/>
      <c r="AS2717" s="4"/>
      <c r="AT2717" s="4"/>
      <c r="AU2717" s="4"/>
      <c r="AV2717" s="4"/>
      <c r="AW2717" s="4"/>
      <c r="AX2717" s="4"/>
      <c r="AY2717" s="4"/>
      <c r="AZ2717" s="4"/>
      <c r="BA2717" s="4"/>
      <c r="BB2717" s="4"/>
      <c r="BC2717" s="4"/>
      <c r="BD2717" s="4"/>
      <c r="BE2717" s="4"/>
      <c r="BF2717" s="4"/>
      <c r="BG2717" s="4"/>
      <c r="BH2717" s="4"/>
      <c r="BI2717" s="4"/>
      <c r="BJ2717" s="4"/>
      <c r="BK2717" s="4"/>
      <c r="BL2717" s="4"/>
      <c r="BM2717" s="4"/>
      <c r="BN2717" s="4"/>
      <c r="BO2717" s="4"/>
      <c r="BP2717" s="4"/>
      <c r="BQ2717" s="4"/>
      <c r="BR2717" s="4"/>
      <c r="BS2717" s="4"/>
      <c r="BT2717" s="4"/>
      <c r="BU2717" s="4"/>
    </row>
    <row r="2718" spans="29:73" s="1" customFormat="1" x14ac:dyDescent="0.25">
      <c r="AC2718" s="4"/>
      <c r="AD2718" s="4"/>
      <c r="AE2718" s="4"/>
      <c r="AF2718" s="4"/>
      <c r="AG2718" s="4"/>
      <c r="AH2718" s="4"/>
      <c r="AI2718" s="4"/>
      <c r="AJ2718" s="4"/>
      <c r="AK2718" s="4"/>
      <c r="AL2718" s="4"/>
      <c r="AM2718" s="4"/>
      <c r="AN2718" s="4"/>
      <c r="AO2718" s="4"/>
      <c r="AP2718" s="4"/>
      <c r="AQ2718" s="4"/>
      <c r="AR2718" s="4"/>
      <c r="AS2718" s="4"/>
      <c r="AT2718" s="4"/>
      <c r="AU2718" s="4"/>
      <c r="AV2718" s="4"/>
      <c r="AW2718" s="4"/>
      <c r="AX2718" s="4"/>
      <c r="AY2718" s="4"/>
      <c r="AZ2718" s="4"/>
      <c r="BA2718" s="4"/>
      <c r="BB2718" s="4"/>
      <c r="BC2718" s="4"/>
      <c r="BD2718" s="4"/>
      <c r="BE2718" s="4"/>
      <c r="BF2718" s="4"/>
      <c r="BG2718" s="4"/>
      <c r="BH2718" s="4"/>
      <c r="BI2718" s="4"/>
      <c r="BJ2718" s="4"/>
      <c r="BK2718" s="4"/>
      <c r="BL2718" s="4"/>
      <c r="BM2718" s="4"/>
      <c r="BN2718" s="4"/>
      <c r="BO2718" s="4"/>
      <c r="BP2718" s="4"/>
      <c r="BQ2718" s="4"/>
      <c r="BR2718" s="4"/>
      <c r="BS2718" s="4"/>
      <c r="BT2718" s="4"/>
      <c r="BU2718" s="4"/>
    </row>
    <row r="2719" spans="29:73" s="1" customFormat="1" x14ac:dyDescent="0.25">
      <c r="AC2719" s="4"/>
      <c r="AD2719" s="4"/>
      <c r="AE2719" s="4"/>
      <c r="AF2719" s="4"/>
      <c r="AG2719" s="4"/>
      <c r="AH2719" s="4"/>
      <c r="AI2719" s="4"/>
      <c r="AJ2719" s="4"/>
      <c r="AK2719" s="4"/>
      <c r="AL2719" s="4"/>
      <c r="AM2719" s="4"/>
      <c r="AN2719" s="4"/>
      <c r="AO2719" s="4"/>
      <c r="AP2719" s="4"/>
      <c r="AQ2719" s="4"/>
      <c r="AR2719" s="4"/>
      <c r="AS2719" s="4"/>
      <c r="AT2719" s="4"/>
      <c r="AU2719" s="4"/>
      <c r="AV2719" s="4"/>
      <c r="AW2719" s="4"/>
      <c r="AX2719" s="4"/>
      <c r="AY2719" s="4"/>
      <c r="AZ2719" s="4"/>
      <c r="BA2719" s="4"/>
      <c r="BB2719" s="4"/>
      <c r="BC2719" s="4"/>
      <c r="BD2719" s="4"/>
      <c r="BE2719" s="4"/>
      <c r="BF2719" s="4"/>
      <c r="BG2719" s="4"/>
      <c r="BH2719" s="4"/>
      <c r="BI2719" s="4"/>
      <c r="BJ2719" s="4"/>
      <c r="BK2719" s="4"/>
      <c r="BL2719" s="4"/>
      <c r="BM2719" s="4"/>
      <c r="BN2719" s="4"/>
      <c r="BO2719" s="4"/>
      <c r="BP2719" s="4"/>
      <c r="BQ2719" s="4"/>
      <c r="BR2719" s="4"/>
      <c r="BS2719" s="4"/>
      <c r="BT2719" s="4"/>
      <c r="BU2719" s="4"/>
    </row>
    <row r="2720" spans="29:73" s="1" customFormat="1" x14ac:dyDescent="0.25">
      <c r="AC2720" s="4"/>
      <c r="AD2720" s="4"/>
      <c r="AE2720" s="4"/>
      <c r="AF2720" s="4"/>
      <c r="AG2720" s="4"/>
      <c r="AH2720" s="4"/>
      <c r="AI2720" s="4"/>
      <c r="AJ2720" s="4"/>
      <c r="AK2720" s="4"/>
      <c r="AL2720" s="4"/>
      <c r="AM2720" s="4"/>
      <c r="AN2720" s="4"/>
      <c r="AO2720" s="4"/>
      <c r="AP2720" s="4"/>
      <c r="AQ2720" s="4"/>
      <c r="AR2720" s="4"/>
      <c r="AS2720" s="4"/>
      <c r="AT2720" s="4"/>
      <c r="AU2720" s="4"/>
      <c r="AV2720" s="4"/>
      <c r="AW2720" s="4"/>
      <c r="AX2720" s="4"/>
      <c r="AY2720" s="4"/>
      <c r="AZ2720" s="4"/>
      <c r="BA2720" s="4"/>
      <c r="BB2720" s="4"/>
      <c r="BC2720" s="4"/>
      <c r="BD2720" s="4"/>
      <c r="BE2720" s="4"/>
      <c r="BF2720" s="4"/>
      <c r="BG2720" s="4"/>
      <c r="BH2720" s="4"/>
      <c r="BI2720" s="4"/>
      <c r="BJ2720" s="4"/>
      <c r="BK2720" s="4"/>
      <c r="BL2720" s="4"/>
      <c r="BM2720" s="4"/>
      <c r="BN2720" s="4"/>
      <c r="BO2720" s="4"/>
      <c r="BP2720" s="4"/>
      <c r="BQ2720" s="4"/>
      <c r="BR2720" s="4"/>
      <c r="BS2720" s="4"/>
      <c r="BT2720" s="4"/>
      <c r="BU2720" s="4"/>
    </row>
    <row r="2721" spans="29:73" s="1" customFormat="1" x14ac:dyDescent="0.25">
      <c r="AC2721" s="4"/>
      <c r="AD2721" s="4"/>
      <c r="AE2721" s="4"/>
      <c r="AF2721" s="4"/>
      <c r="AG2721" s="4"/>
      <c r="AH2721" s="4"/>
      <c r="AI2721" s="4"/>
      <c r="AJ2721" s="4"/>
      <c r="AK2721" s="4"/>
      <c r="AL2721" s="4"/>
      <c r="AM2721" s="4"/>
      <c r="AN2721" s="4"/>
      <c r="AO2721" s="4"/>
      <c r="AP2721" s="4"/>
      <c r="AQ2721" s="4"/>
      <c r="AR2721" s="4"/>
      <c r="AS2721" s="4"/>
      <c r="AT2721" s="4"/>
      <c r="AU2721" s="4"/>
      <c r="AV2721" s="4"/>
      <c r="AW2721" s="4"/>
      <c r="AX2721" s="4"/>
      <c r="AY2721" s="4"/>
      <c r="AZ2721" s="4"/>
      <c r="BA2721" s="4"/>
      <c r="BB2721" s="4"/>
      <c r="BC2721" s="4"/>
      <c r="BD2721" s="4"/>
      <c r="BE2721" s="4"/>
      <c r="BF2721" s="4"/>
      <c r="BG2721" s="4"/>
      <c r="BH2721" s="4"/>
      <c r="BI2721" s="4"/>
      <c r="BJ2721" s="4"/>
      <c r="BK2721" s="4"/>
      <c r="BL2721" s="4"/>
      <c r="BM2721" s="4"/>
      <c r="BN2721" s="4"/>
      <c r="BO2721" s="4"/>
      <c r="BP2721" s="4"/>
      <c r="BQ2721" s="4"/>
      <c r="BR2721" s="4"/>
      <c r="BS2721" s="4"/>
      <c r="BT2721" s="4"/>
      <c r="BU2721" s="4"/>
    </row>
    <row r="2722" spans="29:73" s="1" customFormat="1" x14ac:dyDescent="0.25">
      <c r="AC2722" s="4"/>
      <c r="AD2722" s="4"/>
      <c r="AE2722" s="4"/>
      <c r="AF2722" s="4"/>
      <c r="AG2722" s="4"/>
      <c r="AH2722" s="4"/>
      <c r="AI2722" s="4"/>
      <c r="AJ2722" s="4"/>
      <c r="AK2722" s="4"/>
      <c r="AL2722" s="4"/>
      <c r="AM2722" s="4"/>
      <c r="AN2722" s="4"/>
      <c r="AO2722" s="4"/>
      <c r="AP2722" s="4"/>
      <c r="AQ2722" s="4"/>
      <c r="AR2722" s="4"/>
      <c r="AS2722" s="4"/>
      <c r="AT2722" s="4"/>
      <c r="AU2722" s="4"/>
      <c r="AV2722" s="4"/>
      <c r="AW2722" s="4"/>
      <c r="AX2722" s="4"/>
      <c r="AY2722" s="4"/>
      <c r="AZ2722" s="4"/>
      <c r="BA2722" s="4"/>
      <c r="BB2722" s="4"/>
      <c r="BC2722" s="4"/>
      <c r="BD2722" s="4"/>
      <c r="BE2722" s="4"/>
      <c r="BF2722" s="4"/>
      <c r="BG2722" s="4"/>
      <c r="BH2722" s="4"/>
      <c r="BI2722" s="4"/>
      <c r="BJ2722" s="4"/>
      <c r="BK2722" s="4"/>
      <c r="BL2722" s="4"/>
      <c r="BM2722" s="4"/>
      <c r="BN2722" s="4"/>
      <c r="BO2722" s="4"/>
      <c r="BP2722" s="4"/>
      <c r="BQ2722" s="4"/>
      <c r="BR2722" s="4"/>
      <c r="BS2722" s="4"/>
      <c r="BT2722" s="4"/>
      <c r="BU2722" s="4"/>
    </row>
    <row r="2723" spans="29:73" s="1" customFormat="1" x14ac:dyDescent="0.25">
      <c r="AC2723" s="4"/>
      <c r="AD2723" s="4"/>
      <c r="AE2723" s="4"/>
      <c r="AF2723" s="4"/>
      <c r="AG2723" s="4"/>
      <c r="AH2723" s="4"/>
      <c r="AI2723" s="4"/>
      <c r="AJ2723" s="4"/>
      <c r="AK2723" s="4"/>
      <c r="AL2723" s="4"/>
      <c r="AM2723" s="4"/>
      <c r="AN2723" s="4"/>
      <c r="AO2723" s="4"/>
      <c r="AP2723" s="4"/>
      <c r="AQ2723" s="4"/>
      <c r="AR2723" s="4"/>
      <c r="AS2723" s="4"/>
      <c r="AT2723" s="4"/>
      <c r="AU2723" s="4"/>
      <c r="AV2723" s="4"/>
      <c r="AW2723" s="4"/>
      <c r="AX2723" s="4"/>
      <c r="AY2723" s="4"/>
      <c r="AZ2723" s="4"/>
      <c r="BA2723" s="4"/>
      <c r="BB2723" s="4"/>
      <c r="BC2723" s="4"/>
      <c r="BD2723" s="4"/>
      <c r="BE2723" s="4"/>
      <c r="BF2723" s="4"/>
      <c r="BG2723" s="4"/>
      <c r="BH2723" s="4"/>
      <c r="BI2723" s="4"/>
      <c r="BJ2723" s="4"/>
      <c r="BK2723" s="4"/>
      <c r="BL2723" s="4"/>
      <c r="BM2723" s="4"/>
      <c r="BN2723" s="4"/>
      <c r="BO2723" s="4"/>
      <c r="BP2723" s="4"/>
      <c r="BQ2723" s="4"/>
      <c r="BR2723" s="4"/>
      <c r="BS2723" s="4"/>
      <c r="BT2723" s="4"/>
      <c r="BU2723" s="4"/>
    </row>
    <row r="2724" spans="29:73" s="1" customFormat="1" x14ac:dyDescent="0.25">
      <c r="AC2724" s="4"/>
      <c r="AD2724" s="4"/>
      <c r="AE2724" s="4"/>
      <c r="AF2724" s="4"/>
      <c r="AG2724" s="4"/>
      <c r="AH2724" s="4"/>
      <c r="AI2724" s="4"/>
      <c r="AJ2724" s="4"/>
      <c r="AK2724" s="4"/>
      <c r="AL2724" s="4"/>
      <c r="AM2724" s="4"/>
      <c r="AN2724" s="4"/>
      <c r="AO2724" s="4"/>
      <c r="AP2724" s="4"/>
      <c r="AQ2724" s="4"/>
      <c r="AR2724" s="4"/>
      <c r="AS2724" s="4"/>
      <c r="AT2724" s="4"/>
      <c r="AU2724" s="4"/>
      <c r="AV2724" s="4"/>
      <c r="AW2724" s="4"/>
      <c r="AX2724" s="4"/>
      <c r="AY2724" s="4"/>
      <c r="AZ2724" s="4"/>
      <c r="BA2724" s="4"/>
      <c r="BB2724" s="4"/>
      <c r="BC2724" s="4"/>
      <c r="BD2724" s="4"/>
      <c r="BE2724" s="4"/>
      <c r="BF2724" s="4"/>
      <c r="BG2724" s="4"/>
      <c r="BH2724" s="4"/>
      <c r="BI2724" s="4"/>
      <c r="BJ2724" s="4"/>
      <c r="BK2724" s="4"/>
      <c r="BL2724" s="4"/>
      <c r="BM2724" s="4"/>
      <c r="BN2724" s="4"/>
      <c r="BO2724" s="4"/>
      <c r="BP2724" s="4"/>
      <c r="BQ2724" s="4"/>
      <c r="BR2724" s="4"/>
      <c r="BS2724" s="4"/>
      <c r="BT2724" s="4"/>
      <c r="BU2724" s="4"/>
    </row>
    <row r="2725" spans="29:73" s="1" customFormat="1" x14ac:dyDescent="0.25">
      <c r="AC2725" s="4"/>
      <c r="AD2725" s="4"/>
      <c r="AE2725" s="4"/>
      <c r="AF2725" s="4"/>
      <c r="AG2725" s="4"/>
      <c r="AH2725" s="4"/>
      <c r="AI2725" s="4"/>
      <c r="AJ2725" s="4"/>
      <c r="AK2725" s="4"/>
      <c r="AL2725" s="4"/>
      <c r="AM2725" s="4"/>
      <c r="AN2725" s="4"/>
      <c r="AO2725" s="4"/>
      <c r="AP2725" s="4"/>
      <c r="AQ2725" s="4"/>
      <c r="AR2725" s="4"/>
      <c r="AS2725" s="4"/>
      <c r="AT2725" s="4"/>
      <c r="AU2725" s="4"/>
      <c r="AV2725" s="4"/>
      <c r="AW2725" s="4"/>
      <c r="AX2725" s="4"/>
      <c r="AY2725" s="4"/>
      <c r="AZ2725" s="4"/>
      <c r="BA2725" s="4"/>
      <c r="BB2725" s="4"/>
      <c r="BC2725" s="4"/>
      <c r="BD2725" s="4"/>
      <c r="BE2725" s="4"/>
      <c r="BF2725" s="4"/>
      <c r="BG2725" s="4"/>
      <c r="BH2725" s="4"/>
      <c r="BI2725" s="4"/>
      <c r="BJ2725" s="4"/>
      <c r="BK2725" s="4"/>
      <c r="BL2725" s="4"/>
      <c r="BM2725" s="4"/>
      <c r="BN2725" s="4"/>
      <c r="BO2725" s="4"/>
      <c r="BP2725" s="4"/>
      <c r="BQ2725" s="4"/>
      <c r="BR2725" s="4"/>
      <c r="BS2725" s="4"/>
      <c r="BT2725" s="4"/>
      <c r="BU2725" s="4"/>
    </row>
    <row r="2726" spans="29:73" s="1" customFormat="1" x14ac:dyDescent="0.25">
      <c r="AC2726" s="4"/>
      <c r="AD2726" s="4"/>
      <c r="AE2726" s="4"/>
      <c r="AF2726" s="4"/>
      <c r="AG2726" s="4"/>
      <c r="AH2726" s="4"/>
      <c r="AI2726" s="4"/>
      <c r="AJ2726" s="4"/>
      <c r="AK2726" s="4"/>
      <c r="AL2726" s="4"/>
      <c r="AM2726" s="4"/>
      <c r="AN2726" s="4"/>
      <c r="AO2726" s="4"/>
      <c r="AP2726" s="4"/>
      <c r="AQ2726" s="4"/>
      <c r="AR2726" s="4"/>
      <c r="AS2726" s="4"/>
      <c r="AT2726" s="4"/>
      <c r="AU2726" s="4"/>
      <c r="AV2726" s="4"/>
      <c r="AW2726" s="4"/>
      <c r="AX2726" s="4"/>
      <c r="AY2726" s="4"/>
      <c r="AZ2726" s="4"/>
      <c r="BA2726" s="4"/>
      <c r="BB2726" s="4"/>
      <c r="BC2726" s="4"/>
      <c r="BD2726" s="4"/>
      <c r="BE2726" s="4"/>
      <c r="BF2726" s="4"/>
      <c r="BG2726" s="4"/>
      <c r="BH2726" s="4"/>
      <c r="BI2726" s="4"/>
      <c r="BJ2726" s="4"/>
      <c r="BK2726" s="4"/>
      <c r="BL2726" s="4"/>
      <c r="BM2726" s="4"/>
      <c r="BN2726" s="4"/>
      <c r="BO2726" s="4"/>
      <c r="BP2726" s="4"/>
      <c r="BQ2726" s="4"/>
      <c r="BR2726" s="4"/>
      <c r="BS2726" s="4"/>
      <c r="BT2726" s="4"/>
      <c r="BU2726" s="4"/>
    </row>
    <row r="2727" spans="29:73" s="1" customFormat="1" x14ac:dyDescent="0.25">
      <c r="AC2727" s="4"/>
      <c r="AD2727" s="4"/>
      <c r="AE2727" s="4"/>
      <c r="AF2727" s="4"/>
      <c r="AG2727" s="4"/>
      <c r="AH2727" s="4"/>
      <c r="AI2727" s="4"/>
      <c r="AJ2727" s="4"/>
      <c r="AK2727" s="4"/>
      <c r="AL2727" s="4"/>
      <c r="AM2727" s="4"/>
      <c r="AN2727" s="4"/>
      <c r="AO2727" s="4"/>
      <c r="AP2727" s="4"/>
      <c r="AQ2727" s="4"/>
      <c r="AR2727" s="4"/>
      <c r="AS2727" s="4"/>
      <c r="AT2727" s="4"/>
      <c r="AU2727" s="4"/>
      <c r="AV2727" s="4"/>
      <c r="AW2727" s="4"/>
      <c r="AX2727" s="4"/>
      <c r="AY2727" s="4"/>
      <c r="AZ2727" s="4"/>
      <c r="BA2727" s="4"/>
      <c r="BB2727" s="4"/>
      <c r="BC2727" s="4"/>
      <c r="BD2727" s="4"/>
      <c r="BE2727" s="4"/>
      <c r="BF2727" s="4"/>
      <c r="BG2727" s="4"/>
      <c r="BH2727" s="4"/>
      <c r="BI2727" s="4"/>
      <c r="BJ2727" s="4"/>
      <c r="BK2727" s="4"/>
      <c r="BL2727" s="4"/>
      <c r="BM2727" s="4"/>
      <c r="BN2727" s="4"/>
      <c r="BO2727" s="4"/>
      <c r="BP2727" s="4"/>
      <c r="BQ2727" s="4"/>
      <c r="BR2727" s="4"/>
      <c r="BS2727" s="4"/>
      <c r="BT2727" s="4"/>
      <c r="BU2727" s="4"/>
    </row>
    <row r="2728" spans="29:73" s="1" customFormat="1" x14ac:dyDescent="0.25">
      <c r="AC2728" s="4"/>
      <c r="AD2728" s="4"/>
      <c r="AE2728" s="4"/>
      <c r="AF2728" s="4"/>
      <c r="AG2728" s="4"/>
      <c r="AH2728" s="4"/>
      <c r="AI2728" s="4"/>
      <c r="AJ2728" s="4"/>
      <c r="AK2728" s="4"/>
      <c r="AL2728" s="4"/>
      <c r="AM2728" s="4"/>
      <c r="AN2728" s="4"/>
      <c r="AO2728" s="4"/>
      <c r="AP2728" s="4"/>
      <c r="AQ2728" s="4"/>
      <c r="AR2728" s="4"/>
      <c r="AS2728" s="4"/>
      <c r="AT2728" s="4"/>
      <c r="AU2728" s="4"/>
      <c r="AV2728" s="4"/>
      <c r="AW2728" s="4"/>
      <c r="AX2728" s="4"/>
      <c r="AY2728" s="4"/>
      <c r="AZ2728" s="4"/>
      <c r="BA2728" s="4"/>
      <c r="BB2728" s="4"/>
      <c r="BC2728" s="4"/>
      <c r="BD2728" s="4"/>
      <c r="BE2728" s="4"/>
      <c r="BF2728" s="4"/>
      <c r="BG2728" s="4"/>
      <c r="BH2728" s="4"/>
      <c r="BI2728" s="4"/>
      <c r="BJ2728" s="4"/>
      <c r="BK2728" s="4"/>
      <c r="BL2728" s="4"/>
      <c r="BM2728" s="4"/>
      <c r="BN2728" s="4"/>
      <c r="BO2728" s="4"/>
      <c r="BP2728" s="4"/>
      <c r="BQ2728" s="4"/>
      <c r="BR2728" s="4"/>
      <c r="BS2728" s="4"/>
      <c r="BT2728" s="4"/>
      <c r="BU2728" s="4"/>
    </row>
    <row r="2729" spans="29:73" s="1" customFormat="1" x14ac:dyDescent="0.25">
      <c r="AC2729" s="4"/>
      <c r="AD2729" s="4"/>
      <c r="AE2729" s="4"/>
      <c r="AF2729" s="4"/>
      <c r="AG2729" s="4"/>
      <c r="AH2729" s="4"/>
      <c r="AI2729" s="4"/>
      <c r="AJ2729" s="4"/>
      <c r="AK2729" s="4"/>
      <c r="AL2729" s="4"/>
      <c r="AM2729" s="4"/>
      <c r="AN2729" s="4"/>
      <c r="AO2729" s="4"/>
      <c r="AP2729" s="4"/>
      <c r="AQ2729" s="4"/>
      <c r="AR2729" s="4"/>
      <c r="AS2729" s="4"/>
      <c r="AT2729" s="4"/>
      <c r="AU2729" s="4"/>
      <c r="AV2729" s="4"/>
      <c r="AW2729" s="4"/>
      <c r="AX2729" s="4"/>
      <c r="AY2729" s="4"/>
      <c r="AZ2729" s="4"/>
      <c r="BA2729" s="4"/>
      <c r="BB2729" s="4"/>
      <c r="BC2729" s="4"/>
      <c r="BD2729" s="4"/>
      <c r="BE2729" s="4"/>
      <c r="BF2729" s="4"/>
      <c r="BG2729" s="4"/>
      <c r="BH2729" s="4"/>
      <c r="BI2729" s="4"/>
      <c r="BJ2729" s="4"/>
      <c r="BK2729" s="4"/>
      <c r="BL2729" s="4"/>
      <c r="BM2729" s="4"/>
      <c r="BN2729" s="4"/>
      <c r="BO2729" s="4"/>
      <c r="BP2729" s="4"/>
      <c r="BQ2729" s="4"/>
      <c r="BR2729" s="4"/>
      <c r="BS2729" s="4"/>
      <c r="BT2729" s="4"/>
      <c r="BU2729" s="4"/>
    </row>
    <row r="2730" spans="29:73" s="1" customFormat="1" x14ac:dyDescent="0.25">
      <c r="AC2730" s="4"/>
      <c r="AD2730" s="4"/>
      <c r="AE2730" s="4"/>
      <c r="AF2730" s="4"/>
      <c r="AG2730" s="4"/>
      <c r="AH2730" s="4"/>
      <c r="AI2730" s="4"/>
      <c r="AJ2730" s="4"/>
      <c r="AK2730" s="4"/>
      <c r="AL2730" s="4"/>
      <c r="AM2730" s="4"/>
      <c r="AN2730" s="4"/>
      <c r="AO2730" s="4"/>
      <c r="AP2730" s="4"/>
      <c r="AQ2730" s="4"/>
      <c r="AR2730" s="4"/>
      <c r="AS2730" s="4"/>
      <c r="AT2730" s="4"/>
      <c r="AU2730" s="4"/>
      <c r="AV2730" s="4"/>
      <c r="AW2730" s="4"/>
      <c r="AX2730" s="4"/>
      <c r="AY2730" s="4"/>
      <c r="AZ2730" s="4"/>
      <c r="BA2730" s="4"/>
      <c r="BB2730" s="4"/>
      <c r="BC2730" s="4"/>
      <c r="BD2730" s="4"/>
      <c r="BE2730" s="4"/>
      <c r="BF2730" s="4"/>
      <c r="BG2730" s="4"/>
      <c r="BH2730" s="4"/>
      <c r="BI2730" s="4"/>
      <c r="BJ2730" s="4"/>
      <c r="BK2730" s="4"/>
      <c r="BL2730" s="4"/>
      <c r="BM2730" s="4"/>
      <c r="BN2730" s="4"/>
      <c r="BO2730" s="4"/>
      <c r="BP2730" s="4"/>
      <c r="BQ2730" s="4"/>
      <c r="BR2730" s="4"/>
      <c r="BS2730" s="4"/>
      <c r="BT2730" s="4"/>
      <c r="BU2730" s="4"/>
    </row>
    <row r="2731" spans="29:73" s="1" customFormat="1" x14ac:dyDescent="0.25">
      <c r="AC2731" s="4"/>
      <c r="AD2731" s="4"/>
      <c r="AE2731" s="4"/>
      <c r="AF2731" s="4"/>
      <c r="AG2731" s="4"/>
      <c r="AH2731" s="4"/>
      <c r="AI2731" s="4"/>
      <c r="AJ2731" s="4"/>
      <c r="AK2731" s="4"/>
      <c r="AL2731" s="4"/>
      <c r="AM2731" s="4"/>
      <c r="AN2731" s="4"/>
      <c r="AO2731" s="4"/>
      <c r="AP2731" s="4"/>
      <c r="AQ2731" s="4"/>
      <c r="AR2731" s="4"/>
      <c r="AS2731" s="4"/>
      <c r="AT2731" s="4"/>
      <c r="AU2731" s="4"/>
      <c r="AV2731" s="4"/>
      <c r="AW2731" s="4"/>
      <c r="AX2731" s="4"/>
      <c r="AY2731" s="4"/>
      <c r="AZ2731" s="4"/>
      <c r="BA2731" s="4"/>
      <c r="BB2731" s="4"/>
      <c r="BC2731" s="4"/>
      <c r="BD2731" s="4"/>
      <c r="BE2731" s="4"/>
      <c r="BF2731" s="4"/>
      <c r="BG2731" s="4"/>
      <c r="BH2731" s="4"/>
      <c r="BI2731" s="4"/>
      <c r="BJ2731" s="4"/>
      <c r="BK2731" s="4"/>
      <c r="BL2731" s="4"/>
      <c r="BM2731" s="4"/>
      <c r="BN2731" s="4"/>
      <c r="BO2731" s="4"/>
      <c r="BP2731" s="4"/>
      <c r="BQ2731" s="4"/>
      <c r="BR2731" s="4"/>
      <c r="BS2731" s="4"/>
      <c r="BT2731" s="4"/>
      <c r="BU2731" s="4"/>
    </row>
    <row r="2732" spans="29:73" s="1" customFormat="1" x14ac:dyDescent="0.25">
      <c r="AC2732" s="4"/>
      <c r="AD2732" s="4"/>
      <c r="AE2732" s="4"/>
      <c r="AF2732" s="4"/>
      <c r="AG2732" s="4"/>
      <c r="AH2732" s="4"/>
      <c r="AI2732" s="4"/>
      <c r="AJ2732" s="4"/>
      <c r="AK2732" s="4"/>
      <c r="AL2732" s="4"/>
      <c r="AM2732" s="4"/>
      <c r="AN2732" s="4"/>
      <c r="AO2732" s="4"/>
      <c r="AP2732" s="4"/>
      <c r="AQ2732" s="4"/>
      <c r="AR2732" s="4"/>
      <c r="AS2732" s="4"/>
      <c r="AT2732" s="4"/>
      <c r="AU2732" s="4"/>
      <c r="AV2732" s="4"/>
      <c r="AW2732" s="4"/>
      <c r="AX2732" s="4"/>
      <c r="AY2732" s="4"/>
      <c r="AZ2732" s="4"/>
      <c r="BA2732" s="4"/>
      <c r="BB2732" s="4"/>
      <c r="BC2732" s="4"/>
      <c r="BD2732" s="4"/>
      <c r="BE2732" s="4"/>
      <c r="BF2732" s="4"/>
      <c r="BG2732" s="4"/>
      <c r="BH2732" s="4"/>
      <c r="BI2732" s="4"/>
      <c r="BJ2732" s="4"/>
      <c r="BK2732" s="4"/>
      <c r="BL2732" s="4"/>
      <c r="BM2732" s="4"/>
      <c r="BN2732" s="4"/>
      <c r="BO2732" s="4"/>
      <c r="BP2732" s="4"/>
      <c r="BQ2732" s="4"/>
      <c r="BR2732" s="4"/>
      <c r="BS2732" s="4"/>
      <c r="BT2732" s="4"/>
      <c r="BU2732" s="4"/>
    </row>
    <row r="2733" spans="29:73" s="1" customFormat="1" x14ac:dyDescent="0.25">
      <c r="AC2733" s="4"/>
      <c r="AD2733" s="4"/>
      <c r="AE2733" s="4"/>
      <c r="AF2733" s="4"/>
      <c r="AG2733" s="4"/>
      <c r="AH2733" s="4"/>
      <c r="AI2733" s="4"/>
      <c r="AJ2733" s="4"/>
      <c r="AK2733" s="4"/>
      <c r="AL2733" s="4"/>
      <c r="AM2733" s="4"/>
      <c r="AN2733" s="4"/>
      <c r="AO2733" s="4"/>
      <c r="AP2733" s="4"/>
      <c r="AQ2733" s="4"/>
      <c r="AR2733" s="4"/>
      <c r="AS2733" s="4"/>
      <c r="AT2733" s="4"/>
      <c r="AU2733" s="4"/>
      <c r="AV2733" s="4"/>
      <c r="AW2733" s="4"/>
      <c r="AX2733" s="4"/>
      <c r="AY2733" s="4"/>
      <c r="AZ2733" s="4"/>
      <c r="BA2733" s="4"/>
      <c r="BB2733" s="4"/>
      <c r="BC2733" s="4"/>
      <c r="BD2733" s="4"/>
      <c r="BE2733" s="4"/>
      <c r="BF2733" s="4"/>
      <c r="BG2733" s="4"/>
      <c r="BH2733" s="4"/>
      <c r="BI2733" s="4"/>
      <c r="BJ2733" s="4"/>
      <c r="BK2733" s="4"/>
      <c r="BL2733" s="4"/>
      <c r="BM2733" s="4"/>
      <c r="BN2733" s="4"/>
      <c r="BO2733" s="4"/>
      <c r="BP2733" s="4"/>
      <c r="BQ2733" s="4"/>
      <c r="BR2733" s="4"/>
      <c r="BS2733" s="4"/>
      <c r="BT2733" s="4"/>
      <c r="BU2733" s="4"/>
    </row>
    <row r="2734" spans="29:73" s="1" customFormat="1" x14ac:dyDescent="0.25">
      <c r="AC2734" s="4"/>
      <c r="AD2734" s="4"/>
      <c r="AE2734" s="4"/>
      <c r="AF2734" s="4"/>
      <c r="AG2734" s="4"/>
      <c r="AH2734" s="4"/>
      <c r="AI2734" s="4"/>
      <c r="AJ2734" s="4"/>
      <c r="AK2734" s="4"/>
      <c r="AL2734" s="4"/>
      <c r="AM2734" s="4"/>
      <c r="AN2734" s="4"/>
      <c r="AO2734" s="4"/>
      <c r="AP2734" s="4"/>
      <c r="AQ2734" s="4"/>
      <c r="AR2734" s="4"/>
      <c r="AS2734" s="4"/>
      <c r="AT2734" s="4"/>
      <c r="AU2734" s="4"/>
      <c r="AV2734" s="4"/>
      <c r="AW2734" s="4"/>
      <c r="AX2734" s="4"/>
      <c r="AY2734" s="4"/>
      <c r="AZ2734" s="4"/>
      <c r="BA2734" s="4"/>
      <c r="BB2734" s="4"/>
      <c r="BC2734" s="4"/>
      <c r="BD2734" s="4"/>
      <c r="BE2734" s="4"/>
      <c r="BF2734" s="4"/>
      <c r="BG2734" s="4"/>
      <c r="BH2734" s="4"/>
      <c r="BI2734" s="4"/>
      <c r="BJ2734" s="4"/>
      <c r="BK2734" s="4"/>
      <c r="BL2734" s="4"/>
      <c r="BM2734" s="4"/>
      <c r="BN2734" s="4"/>
      <c r="BO2734" s="4"/>
      <c r="BP2734" s="4"/>
      <c r="BQ2734" s="4"/>
      <c r="BR2734" s="4"/>
      <c r="BS2734" s="4"/>
      <c r="BT2734" s="4"/>
      <c r="BU2734" s="4"/>
    </row>
    <row r="2735" spans="29:73" s="1" customFormat="1" x14ac:dyDescent="0.25">
      <c r="AC2735" s="4"/>
      <c r="AD2735" s="4"/>
      <c r="AE2735" s="4"/>
      <c r="AF2735" s="4"/>
      <c r="AG2735" s="4"/>
      <c r="AH2735" s="4"/>
      <c r="AI2735" s="4"/>
      <c r="AJ2735" s="4"/>
      <c r="AK2735" s="4"/>
      <c r="AL2735" s="4"/>
      <c r="AM2735" s="4"/>
      <c r="AN2735" s="4"/>
      <c r="AO2735" s="4"/>
      <c r="AP2735" s="4"/>
      <c r="AQ2735" s="4"/>
      <c r="AR2735" s="4"/>
      <c r="AS2735" s="4"/>
      <c r="AT2735" s="4"/>
      <c r="AU2735" s="4"/>
      <c r="AV2735" s="4"/>
      <c r="AW2735" s="4"/>
      <c r="AX2735" s="4"/>
      <c r="AY2735" s="4"/>
      <c r="AZ2735" s="4"/>
      <c r="BA2735" s="4"/>
      <c r="BB2735" s="4"/>
      <c r="BC2735" s="4"/>
      <c r="BD2735" s="4"/>
      <c r="BE2735" s="4"/>
      <c r="BF2735" s="4"/>
      <c r="BG2735" s="4"/>
      <c r="BH2735" s="4"/>
      <c r="BI2735" s="4"/>
      <c r="BJ2735" s="4"/>
      <c r="BK2735" s="4"/>
      <c r="BL2735" s="4"/>
      <c r="BM2735" s="4"/>
      <c r="BN2735" s="4"/>
      <c r="BO2735" s="4"/>
      <c r="BP2735" s="4"/>
      <c r="BQ2735" s="4"/>
      <c r="BR2735" s="4"/>
      <c r="BS2735" s="4"/>
      <c r="BT2735" s="4"/>
      <c r="BU2735" s="4"/>
    </row>
    <row r="2736" spans="29:73" s="1" customFormat="1" x14ac:dyDescent="0.25">
      <c r="AC2736" s="4"/>
      <c r="AD2736" s="4"/>
      <c r="AE2736" s="4"/>
      <c r="AF2736" s="4"/>
      <c r="AG2736" s="4"/>
      <c r="AH2736" s="4"/>
      <c r="AI2736" s="4"/>
      <c r="AJ2736" s="4"/>
      <c r="AK2736" s="4"/>
      <c r="AL2736" s="4"/>
      <c r="AM2736" s="4"/>
      <c r="AN2736" s="4"/>
      <c r="AO2736" s="4"/>
      <c r="AP2736" s="4"/>
      <c r="AQ2736" s="4"/>
      <c r="AR2736" s="4"/>
      <c r="AS2736" s="4"/>
      <c r="AT2736" s="4"/>
      <c r="AU2736" s="4"/>
      <c r="AV2736" s="4"/>
      <c r="AW2736" s="4"/>
      <c r="AX2736" s="4"/>
      <c r="AY2736" s="4"/>
      <c r="AZ2736" s="4"/>
      <c r="BA2736" s="4"/>
      <c r="BB2736" s="4"/>
      <c r="BC2736" s="4"/>
      <c r="BD2736" s="4"/>
      <c r="BE2736" s="4"/>
      <c r="BF2736" s="4"/>
      <c r="BG2736" s="4"/>
      <c r="BH2736" s="4"/>
      <c r="BI2736" s="4"/>
      <c r="BJ2736" s="4"/>
      <c r="BK2736" s="4"/>
      <c r="BL2736" s="4"/>
      <c r="BM2736" s="4"/>
      <c r="BN2736" s="4"/>
      <c r="BO2736" s="4"/>
      <c r="BP2736" s="4"/>
      <c r="BQ2736" s="4"/>
      <c r="BR2736" s="4"/>
      <c r="BS2736" s="4"/>
      <c r="BT2736" s="4"/>
      <c r="BU2736" s="4"/>
    </row>
    <row r="2737" spans="29:73" s="1" customFormat="1" x14ac:dyDescent="0.25">
      <c r="AC2737" s="4"/>
      <c r="AD2737" s="4"/>
      <c r="AE2737" s="4"/>
      <c r="AF2737" s="4"/>
      <c r="AG2737" s="4"/>
      <c r="AH2737" s="4"/>
      <c r="AI2737" s="4"/>
      <c r="AJ2737" s="4"/>
      <c r="AK2737" s="4"/>
      <c r="AL2737" s="4"/>
      <c r="AM2737" s="4"/>
      <c r="AN2737" s="4"/>
      <c r="AO2737" s="4"/>
      <c r="AP2737" s="4"/>
      <c r="AQ2737" s="4"/>
      <c r="AR2737" s="4"/>
      <c r="AS2737" s="4"/>
      <c r="AT2737" s="4"/>
      <c r="AU2737" s="4"/>
      <c r="AV2737" s="4"/>
      <c r="AW2737" s="4"/>
      <c r="AX2737" s="4"/>
      <c r="AY2737" s="4"/>
      <c r="AZ2737" s="4"/>
      <c r="BA2737" s="4"/>
      <c r="BB2737" s="4"/>
      <c r="BC2737" s="4"/>
      <c r="BD2737" s="4"/>
      <c r="BE2737" s="4"/>
      <c r="BF2737" s="4"/>
      <c r="BG2737" s="4"/>
      <c r="BH2737" s="4"/>
      <c r="BI2737" s="4"/>
      <c r="BJ2737" s="4"/>
      <c r="BK2737" s="4"/>
      <c r="BL2737" s="4"/>
      <c r="BM2737" s="4"/>
      <c r="BN2737" s="4"/>
      <c r="BO2737" s="4"/>
      <c r="BP2737" s="4"/>
      <c r="BQ2737" s="4"/>
      <c r="BR2737" s="4"/>
      <c r="BS2737" s="4"/>
      <c r="BT2737" s="4"/>
      <c r="BU2737" s="4"/>
    </row>
    <row r="2738" spans="29:73" s="1" customFormat="1" x14ac:dyDescent="0.25">
      <c r="AC2738" s="4"/>
      <c r="AD2738" s="4"/>
      <c r="AE2738" s="4"/>
      <c r="AF2738" s="4"/>
      <c r="AG2738" s="4"/>
      <c r="AH2738" s="4"/>
      <c r="AI2738" s="4"/>
      <c r="AJ2738" s="4"/>
      <c r="AK2738" s="4"/>
      <c r="AL2738" s="4"/>
      <c r="AM2738" s="4"/>
      <c r="AN2738" s="4"/>
      <c r="AO2738" s="4"/>
      <c r="AP2738" s="4"/>
      <c r="AQ2738" s="4"/>
      <c r="AR2738" s="4"/>
      <c r="AS2738" s="4"/>
      <c r="AT2738" s="4"/>
      <c r="AU2738" s="4"/>
      <c r="AV2738" s="4"/>
      <c r="AW2738" s="4"/>
      <c r="AX2738" s="4"/>
      <c r="AY2738" s="4"/>
      <c r="AZ2738" s="4"/>
      <c r="BA2738" s="4"/>
      <c r="BB2738" s="4"/>
      <c r="BC2738" s="4"/>
      <c r="BD2738" s="4"/>
      <c r="BE2738" s="4"/>
      <c r="BF2738" s="4"/>
      <c r="BG2738" s="4"/>
      <c r="BH2738" s="4"/>
      <c r="BI2738" s="4"/>
      <c r="BJ2738" s="4"/>
      <c r="BK2738" s="4"/>
      <c r="BL2738" s="4"/>
      <c r="BM2738" s="4"/>
      <c r="BN2738" s="4"/>
      <c r="BO2738" s="4"/>
      <c r="BP2738" s="4"/>
      <c r="BQ2738" s="4"/>
      <c r="BR2738" s="4"/>
      <c r="BS2738" s="4"/>
      <c r="BT2738" s="4"/>
      <c r="BU2738" s="4"/>
    </row>
    <row r="2739" spans="29:73" s="1" customFormat="1" x14ac:dyDescent="0.25">
      <c r="AC2739" s="4"/>
      <c r="AD2739" s="4"/>
      <c r="AE2739" s="4"/>
      <c r="AF2739" s="4"/>
      <c r="AG2739" s="4"/>
      <c r="AH2739" s="4"/>
      <c r="AI2739" s="4"/>
      <c r="AJ2739" s="4"/>
      <c r="AK2739" s="4"/>
      <c r="AL2739" s="4"/>
      <c r="AM2739" s="4"/>
      <c r="AN2739" s="4"/>
      <c r="AO2739" s="4"/>
      <c r="AP2739" s="4"/>
      <c r="AQ2739" s="4"/>
      <c r="AR2739" s="4"/>
      <c r="AS2739" s="4"/>
      <c r="AT2739" s="4"/>
      <c r="AU2739" s="4"/>
      <c r="AV2739" s="4"/>
      <c r="AW2739" s="4"/>
      <c r="AX2739" s="4"/>
      <c r="AY2739" s="4"/>
      <c r="AZ2739" s="4"/>
      <c r="BA2739" s="4"/>
      <c r="BB2739" s="4"/>
      <c r="BC2739" s="4"/>
      <c r="BD2739" s="4"/>
      <c r="BE2739" s="4"/>
      <c r="BF2739" s="4"/>
      <c r="BG2739" s="4"/>
      <c r="BH2739" s="4"/>
      <c r="BI2739" s="4"/>
      <c r="BJ2739" s="4"/>
      <c r="BK2739" s="4"/>
      <c r="BL2739" s="4"/>
      <c r="BM2739" s="4"/>
      <c r="BN2739" s="4"/>
      <c r="BO2739" s="4"/>
      <c r="BP2739" s="4"/>
      <c r="BQ2739" s="4"/>
      <c r="BR2739" s="4"/>
      <c r="BS2739" s="4"/>
      <c r="BT2739" s="4"/>
      <c r="BU2739" s="4"/>
    </row>
    <row r="2740" spans="29:73" s="1" customFormat="1" x14ac:dyDescent="0.25">
      <c r="AC2740" s="4"/>
      <c r="AD2740" s="4"/>
      <c r="AE2740" s="4"/>
      <c r="AF2740" s="4"/>
      <c r="AG2740" s="4"/>
      <c r="AH2740" s="4"/>
      <c r="AI2740" s="4"/>
      <c r="AJ2740" s="4"/>
      <c r="AK2740" s="4"/>
      <c r="AL2740" s="4"/>
      <c r="AM2740" s="4"/>
      <c r="AN2740" s="4"/>
      <c r="AO2740" s="4"/>
      <c r="AP2740" s="4"/>
      <c r="AQ2740" s="4"/>
      <c r="AR2740" s="4"/>
      <c r="AS2740" s="4"/>
      <c r="AT2740" s="4"/>
      <c r="AU2740" s="4"/>
      <c r="AV2740" s="4"/>
      <c r="AW2740" s="4"/>
      <c r="AX2740" s="4"/>
      <c r="AY2740" s="4"/>
      <c r="AZ2740" s="4"/>
      <c r="BA2740" s="4"/>
      <c r="BB2740" s="4"/>
      <c r="BC2740" s="4"/>
      <c r="BD2740" s="4"/>
      <c r="BE2740" s="4"/>
      <c r="BF2740" s="4"/>
      <c r="BG2740" s="4"/>
      <c r="BH2740" s="4"/>
      <c r="BI2740" s="4"/>
      <c r="BJ2740" s="4"/>
      <c r="BK2740" s="4"/>
      <c r="BL2740" s="4"/>
      <c r="BM2740" s="4"/>
      <c r="BN2740" s="4"/>
      <c r="BO2740" s="4"/>
      <c r="BP2740" s="4"/>
      <c r="BQ2740" s="4"/>
      <c r="BR2740" s="4"/>
      <c r="BS2740" s="4"/>
      <c r="BT2740" s="4"/>
      <c r="BU2740" s="4"/>
    </row>
    <row r="2741" spans="29:73" s="1" customFormat="1" x14ac:dyDescent="0.25">
      <c r="AC2741" s="4"/>
      <c r="AD2741" s="4"/>
      <c r="AE2741" s="4"/>
      <c r="AF2741" s="4"/>
      <c r="AG2741" s="4"/>
      <c r="AH2741" s="4"/>
      <c r="AI2741" s="4"/>
      <c r="AJ2741" s="4"/>
      <c r="AK2741" s="4"/>
      <c r="AL2741" s="4"/>
      <c r="AM2741" s="4"/>
      <c r="AN2741" s="4"/>
      <c r="AO2741" s="4"/>
      <c r="AP2741" s="4"/>
      <c r="AQ2741" s="4"/>
      <c r="AR2741" s="4"/>
      <c r="AS2741" s="4"/>
      <c r="AT2741" s="4"/>
      <c r="AU2741" s="4"/>
      <c r="AV2741" s="4"/>
      <c r="AW2741" s="4"/>
      <c r="AX2741" s="4"/>
      <c r="AY2741" s="4"/>
      <c r="AZ2741" s="4"/>
      <c r="BA2741" s="4"/>
      <c r="BB2741" s="4"/>
      <c r="BC2741" s="4"/>
      <c r="BD2741" s="4"/>
      <c r="BE2741" s="4"/>
      <c r="BF2741" s="4"/>
      <c r="BG2741" s="4"/>
      <c r="BH2741" s="4"/>
      <c r="BI2741" s="4"/>
      <c r="BJ2741" s="4"/>
      <c r="BK2741" s="4"/>
      <c r="BL2741" s="4"/>
      <c r="BM2741" s="4"/>
      <c r="BN2741" s="4"/>
      <c r="BO2741" s="4"/>
      <c r="BP2741" s="4"/>
      <c r="BQ2741" s="4"/>
      <c r="BR2741" s="4"/>
      <c r="BS2741" s="4"/>
      <c r="BT2741" s="4"/>
      <c r="BU2741" s="4"/>
    </row>
    <row r="2742" spans="29:73" s="1" customFormat="1" x14ac:dyDescent="0.25">
      <c r="AC2742" s="4"/>
      <c r="AD2742" s="4"/>
      <c r="AE2742" s="4"/>
      <c r="AF2742" s="4"/>
      <c r="AG2742" s="4"/>
      <c r="AH2742" s="4"/>
      <c r="AI2742" s="4"/>
      <c r="AJ2742" s="4"/>
      <c r="AK2742" s="4"/>
      <c r="AL2742" s="4"/>
      <c r="AM2742" s="4"/>
      <c r="AN2742" s="4"/>
      <c r="AO2742" s="4"/>
      <c r="AP2742" s="4"/>
      <c r="AQ2742" s="4"/>
      <c r="AR2742" s="4"/>
      <c r="AS2742" s="4"/>
      <c r="AT2742" s="4"/>
      <c r="AU2742" s="4"/>
      <c r="AV2742" s="4"/>
      <c r="AW2742" s="4"/>
      <c r="AX2742" s="4"/>
      <c r="AY2742" s="4"/>
      <c r="AZ2742" s="4"/>
      <c r="BA2742" s="4"/>
      <c r="BB2742" s="4"/>
      <c r="BC2742" s="4"/>
      <c r="BD2742" s="4"/>
      <c r="BE2742" s="4"/>
      <c r="BF2742" s="4"/>
      <c r="BG2742" s="4"/>
      <c r="BH2742" s="4"/>
      <c r="BI2742" s="4"/>
      <c r="BJ2742" s="4"/>
      <c r="BK2742" s="4"/>
      <c r="BL2742" s="4"/>
      <c r="BM2742" s="4"/>
      <c r="BN2742" s="4"/>
      <c r="BO2742" s="4"/>
      <c r="BP2742" s="4"/>
      <c r="BQ2742" s="4"/>
      <c r="BR2742" s="4"/>
      <c r="BS2742" s="4"/>
      <c r="BT2742" s="4"/>
      <c r="BU2742" s="4"/>
    </row>
    <row r="2743" spans="29:73" s="1" customFormat="1" x14ac:dyDescent="0.25">
      <c r="AC2743" s="4"/>
      <c r="AD2743" s="4"/>
      <c r="AE2743" s="4"/>
      <c r="AF2743" s="4"/>
      <c r="AG2743" s="4"/>
      <c r="AH2743" s="4"/>
      <c r="AI2743" s="4"/>
      <c r="AJ2743" s="4"/>
      <c r="AK2743" s="4"/>
      <c r="AL2743" s="4"/>
      <c r="AM2743" s="4"/>
      <c r="AN2743" s="4"/>
      <c r="AO2743" s="4"/>
      <c r="AP2743" s="4"/>
      <c r="AQ2743" s="4"/>
      <c r="AR2743" s="4"/>
      <c r="AS2743" s="4"/>
      <c r="AT2743" s="4"/>
      <c r="AU2743" s="4"/>
      <c r="AV2743" s="4"/>
      <c r="AW2743" s="4"/>
      <c r="AX2743" s="4"/>
      <c r="AY2743" s="4"/>
      <c r="AZ2743" s="4"/>
      <c r="BA2743" s="4"/>
      <c r="BB2743" s="4"/>
      <c r="BC2743" s="4"/>
      <c r="BD2743" s="4"/>
      <c r="BE2743" s="4"/>
      <c r="BF2743" s="4"/>
      <c r="BG2743" s="4"/>
      <c r="BH2743" s="4"/>
      <c r="BI2743" s="4"/>
      <c r="BJ2743" s="4"/>
      <c r="BK2743" s="4"/>
      <c r="BL2743" s="4"/>
      <c r="BM2743" s="4"/>
      <c r="BN2743" s="4"/>
      <c r="BO2743" s="4"/>
      <c r="BP2743" s="4"/>
      <c r="BQ2743" s="4"/>
      <c r="BR2743" s="4"/>
      <c r="BS2743" s="4"/>
      <c r="BT2743" s="4"/>
      <c r="BU2743" s="4"/>
    </row>
    <row r="2744" spans="29:73" s="1" customFormat="1" x14ac:dyDescent="0.25">
      <c r="AC2744" s="4"/>
      <c r="AD2744" s="4"/>
      <c r="AE2744" s="4"/>
      <c r="AF2744" s="4"/>
      <c r="AG2744" s="4"/>
      <c r="AH2744" s="4"/>
      <c r="AI2744" s="4"/>
      <c r="AJ2744" s="4"/>
      <c r="AK2744" s="4"/>
      <c r="AL2744" s="4"/>
      <c r="AM2744" s="4"/>
      <c r="AN2744" s="4"/>
      <c r="AO2744" s="4"/>
      <c r="AP2744" s="4"/>
      <c r="AQ2744" s="4"/>
      <c r="AR2744" s="4"/>
      <c r="AS2744" s="4"/>
      <c r="AT2744" s="4"/>
      <c r="AU2744" s="4"/>
      <c r="AV2744" s="4"/>
      <c r="AW2744" s="4"/>
      <c r="AX2744" s="4"/>
      <c r="AY2744" s="4"/>
      <c r="AZ2744" s="4"/>
      <c r="BA2744" s="4"/>
      <c r="BB2744" s="4"/>
      <c r="BC2744" s="4"/>
      <c r="BD2744" s="4"/>
      <c r="BE2744" s="4"/>
      <c r="BF2744" s="4"/>
      <c r="BG2744" s="4"/>
      <c r="BH2744" s="4"/>
      <c r="BI2744" s="4"/>
      <c r="BJ2744" s="4"/>
      <c r="BK2744" s="4"/>
      <c r="BL2744" s="4"/>
      <c r="BM2744" s="4"/>
      <c r="BN2744" s="4"/>
      <c r="BO2744" s="4"/>
      <c r="BP2744" s="4"/>
      <c r="BQ2744" s="4"/>
      <c r="BR2744" s="4"/>
      <c r="BS2744" s="4"/>
      <c r="BT2744" s="4"/>
      <c r="BU2744" s="4"/>
    </row>
    <row r="2745" spans="29:73" s="1" customFormat="1" x14ac:dyDescent="0.25">
      <c r="AC2745" s="4"/>
      <c r="AD2745" s="4"/>
      <c r="AE2745" s="4"/>
      <c r="AF2745" s="4"/>
      <c r="AG2745" s="4"/>
      <c r="AH2745" s="4"/>
      <c r="AI2745" s="4"/>
      <c r="AJ2745" s="4"/>
      <c r="AK2745" s="4"/>
      <c r="AL2745" s="4"/>
      <c r="AM2745" s="4"/>
      <c r="AN2745" s="4"/>
      <c r="AO2745" s="4"/>
      <c r="AP2745" s="4"/>
      <c r="AQ2745" s="4"/>
      <c r="AR2745" s="4"/>
      <c r="AS2745" s="4"/>
      <c r="AT2745" s="4"/>
      <c r="AU2745" s="4"/>
      <c r="AV2745" s="4"/>
      <c r="AW2745" s="4"/>
      <c r="AX2745" s="4"/>
      <c r="AY2745" s="4"/>
      <c r="AZ2745" s="4"/>
      <c r="BA2745" s="4"/>
      <c r="BB2745" s="4"/>
      <c r="BC2745" s="4"/>
      <c r="BD2745" s="4"/>
      <c r="BE2745" s="4"/>
      <c r="BF2745" s="4"/>
      <c r="BG2745" s="4"/>
      <c r="BH2745" s="4"/>
      <c r="BI2745" s="4"/>
      <c r="BJ2745" s="4"/>
      <c r="BK2745" s="4"/>
      <c r="BL2745" s="4"/>
      <c r="BM2745" s="4"/>
      <c r="BN2745" s="4"/>
      <c r="BO2745" s="4"/>
      <c r="BP2745" s="4"/>
      <c r="BQ2745" s="4"/>
      <c r="BR2745" s="4"/>
      <c r="BS2745" s="4"/>
      <c r="BT2745" s="4"/>
      <c r="BU2745" s="4"/>
    </row>
    <row r="2746" spans="29:73" s="1" customFormat="1" x14ac:dyDescent="0.25">
      <c r="AC2746" s="4"/>
      <c r="AD2746" s="4"/>
      <c r="AE2746" s="4"/>
      <c r="AF2746" s="4"/>
      <c r="AG2746" s="4"/>
      <c r="AH2746" s="4"/>
      <c r="AI2746" s="4"/>
      <c r="AJ2746" s="4"/>
      <c r="AK2746" s="4"/>
      <c r="AL2746" s="4"/>
      <c r="AM2746" s="4"/>
      <c r="AN2746" s="4"/>
      <c r="AO2746" s="4"/>
      <c r="AP2746" s="4"/>
      <c r="AQ2746" s="4"/>
      <c r="AR2746" s="4"/>
      <c r="AS2746" s="4"/>
      <c r="AT2746" s="4"/>
      <c r="AU2746" s="4"/>
      <c r="AV2746" s="4"/>
      <c r="AW2746" s="4"/>
      <c r="AX2746" s="4"/>
      <c r="AY2746" s="4"/>
      <c r="AZ2746" s="4"/>
      <c r="BA2746" s="4"/>
      <c r="BB2746" s="4"/>
      <c r="BC2746" s="4"/>
      <c r="BD2746" s="4"/>
      <c r="BE2746" s="4"/>
      <c r="BF2746" s="4"/>
      <c r="BG2746" s="4"/>
      <c r="BH2746" s="4"/>
      <c r="BI2746" s="4"/>
      <c r="BJ2746" s="4"/>
      <c r="BK2746" s="4"/>
      <c r="BL2746" s="4"/>
      <c r="BM2746" s="4"/>
      <c r="BN2746" s="4"/>
      <c r="BO2746" s="4"/>
      <c r="BP2746" s="4"/>
      <c r="BQ2746" s="4"/>
      <c r="BR2746" s="4"/>
      <c r="BS2746" s="4"/>
      <c r="BT2746" s="4"/>
      <c r="BU2746" s="4"/>
    </row>
    <row r="2747" spans="29:73" s="1" customFormat="1" x14ac:dyDescent="0.25">
      <c r="AC2747" s="4"/>
      <c r="AD2747" s="4"/>
      <c r="AE2747" s="4"/>
      <c r="AF2747" s="4"/>
      <c r="AG2747" s="4"/>
      <c r="AH2747" s="4"/>
      <c r="AI2747" s="4"/>
      <c r="AJ2747" s="4"/>
      <c r="AK2747" s="4"/>
      <c r="AL2747" s="4"/>
      <c r="AM2747" s="4"/>
      <c r="AN2747" s="4"/>
      <c r="AO2747" s="4"/>
      <c r="AP2747" s="4"/>
      <c r="AQ2747" s="4"/>
      <c r="AR2747" s="4"/>
      <c r="AS2747" s="4"/>
      <c r="AT2747" s="4"/>
      <c r="AU2747" s="4"/>
      <c r="AV2747" s="4"/>
      <c r="AW2747" s="4"/>
      <c r="AX2747" s="4"/>
      <c r="AY2747" s="4"/>
      <c r="AZ2747" s="4"/>
      <c r="BA2747" s="4"/>
      <c r="BB2747" s="4"/>
      <c r="BC2747" s="4"/>
      <c r="BD2747" s="4"/>
      <c r="BE2747" s="4"/>
      <c r="BF2747" s="4"/>
      <c r="BG2747" s="4"/>
      <c r="BH2747" s="4"/>
      <c r="BI2747" s="4"/>
      <c r="BJ2747" s="4"/>
      <c r="BK2747" s="4"/>
      <c r="BL2747" s="4"/>
      <c r="BM2747" s="4"/>
      <c r="BN2747" s="4"/>
      <c r="BO2747" s="4"/>
      <c r="BP2747" s="4"/>
      <c r="BQ2747" s="4"/>
      <c r="BR2747" s="4"/>
      <c r="BS2747" s="4"/>
      <c r="BT2747" s="4"/>
      <c r="BU2747" s="4"/>
    </row>
    <row r="2748" spans="29:73" s="1" customFormat="1" x14ac:dyDescent="0.25">
      <c r="AC2748" s="4"/>
      <c r="AD2748" s="4"/>
      <c r="AE2748" s="4"/>
      <c r="AF2748" s="4"/>
      <c r="AG2748" s="4"/>
      <c r="AH2748" s="4"/>
      <c r="AI2748" s="4"/>
      <c r="AJ2748" s="4"/>
      <c r="AK2748" s="4"/>
      <c r="AL2748" s="4"/>
      <c r="AM2748" s="4"/>
      <c r="AN2748" s="4"/>
      <c r="AO2748" s="4"/>
      <c r="AP2748" s="4"/>
      <c r="AQ2748" s="4"/>
      <c r="AR2748" s="4"/>
      <c r="AS2748" s="4"/>
      <c r="AT2748" s="4"/>
      <c r="AU2748" s="4"/>
      <c r="AV2748" s="4"/>
      <c r="AW2748" s="4"/>
      <c r="AX2748" s="4"/>
      <c r="AY2748" s="4"/>
      <c r="AZ2748" s="4"/>
      <c r="BA2748" s="4"/>
      <c r="BB2748" s="4"/>
      <c r="BC2748" s="4"/>
      <c r="BD2748" s="4"/>
      <c r="BE2748" s="4"/>
      <c r="BF2748" s="4"/>
      <c r="BG2748" s="4"/>
      <c r="BH2748" s="4"/>
      <c r="BI2748" s="4"/>
      <c r="BJ2748" s="4"/>
      <c r="BK2748" s="4"/>
      <c r="BL2748" s="4"/>
      <c r="BM2748" s="4"/>
      <c r="BN2748" s="4"/>
      <c r="BO2748" s="4"/>
      <c r="BP2748" s="4"/>
      <c r="BQ2748" s="4"/>
      <c r="BR2748" s="4"/>
      <c r="BS2748" s="4"/>
      <c r="BT2748" s="4"/>
      <c r="BU2748" s="4"/>
    </row>
    <row r="2749" spans="29:73" s="1" customFormat="1" x14ac:dyDescent="0.25">
      <c r="AC2749" s="4"/>
      <c r="AD2749" s="4"/>
      <c r="AE2749" s="4"/>
      <c r="AF2749" s="4"/>
      <c r="AG2749" s="4"/>
      <c r="AH2749" s="4"/>
      <c r="AI2749" s="4"/>
      <c r="AJ2749" s="4"/>
      <c r="AK2749" s="4"/>
      <c r="AL2749" s="4"/>
      <c r="AM2749" s="4"/>
      <c r="AN2749" s="4"/>
      <c r="AO2749" s="4"/>
      <c r="AP2749" s="4"/>
      <c r="AQ2749" s="4"/>
      <c r="AR2749" s="4"/>
      <c r="AS2749" s="4"/>
      <c r="AT2749" s="4"/>
      <c r="AU2749" s="4"/>
      <c r="AV2749" s="4"/>
      <c r="AW2749" s="4"/>
      <c r="AX2749" s="4"/>
      <c r="AY2749" s="4"/>
      <c r="AZ2749" s="4"/>
      <c r="BA2749" s="4"/>
      <c r="BB2749" s="4"/>
      <c r="BC2749" s="4"/>
      <c r="BD2749" s="4"/>
      <c r="BE2749" s="4"/>
      <c r="BF2749" s="4"/>
      <c r="BG2749" s="4"/>
      <c r="BH2749" s="4"/>
      <c r="BI2749" s="4"/>
      <c r="BJ2749" s="4"/>
      <c r="BK2749" s="4"/>
      <c r="BL2749" s="4"/>
      <c r="BM2749" s="4"/>
      <c r="BN2749" s="4"/>
      <c r="BO2749" s="4"/>
      <c r="BP2749" s="4"/>
      <c r="BQ2749" s="4"/>
      <c r="BR2749" s="4"/>
      <c r="BS2749" s="4"/>
      <c r="BT2749" s="4"/>
      <c r="BU2749" s="4"/>
    </row>
    <row r="2750" spans="29:73" s="1" customFormat="1" x14ac:dyDescent="0.25">
      <c r="AC2750" s="4"/>
      <c r="AD2750" s="4"/>
      <c r="AE2750" s="4"/>
      <c r="AF2750" s="4"/>
      <c r="AG2750" s="4"/>
      <c r="AH2750" s="4"/>
      <c r="AI2750" s="4"/>
      <c r="AJ2750" s="4"/>
      <c r="AK2750" s="4"/>
      <c r="AL2750" s="4"/>
      <c r="AM2750" s="4"/>
      <c r="AN2750" s="4"/>
      <c r="AO2750" s="4"/>
      <c r="AP2750" s="4"/>
      <c r="AQ2750" s="4"/>
      <c r="AR2750" s="4"/>
      <c r="AS2750" s="4"/>
      <c r="AT2750" s="4"/>
      <c r="AU2750" s="4"/>
      <c r="AV2750" s="4"/>
      <c r="AW2750" s="4"/>
      <c r="AX2750" s="4"/>
      <c r="AY2750" s="4"/>
      <c r="AZ2750" s="4"/>
      <c r="BA2750" s="4"/>
      <c r="BB2750" s="4"/>
      <c r="BC2750" s="4"/>
      <c r="BD2750" s="4"/>
      <c r="BE2750" s="4"/>
      <c r="BF2750" s="4"/>
      <c r="BG2750" s="4"/>
      <c r="BH2750" s="4"/>
      <c r="BI2750" s="4"/>
      <c r="BJ2750" s="4"/>
      <c r="BK2750" s="4"/>
      <c r="BL2750" s="4"/>
      <c r="BM2750" s="4"/>
      <c r="BN2750" s="4"/>
      <c r="BO2750" s="4"/>
      <c r="BP2750" s="4"/>
      <c r="BQ2750" s="4"/>
      <c r="BR2750" s="4"/>
      <c r="BS2750" s="4"/>
      <c r="BT2750" s="4"/>
      <c r="BU2750" s="4"/>
    </row>
    <row r="2751" spans="29:73" s="1" customFormat="1" x14ac:dyDescent="0.25">
      <c r="AC2751" s="4"/>
      <c r="AD2751" s="4"/>
      <c r="AE2751" s="4"/>
      <c r="AF2751" s="4"/>
      <c r="AG2751" s="4"/>
      <c r="AH2751" s="4"/>
      <c r="AI2751" s="4"/>
      <c r="AJ2751" s="4"/>
      <c r="AK2751" s="4"/>
      <c r="AL2751" s="4"/>
      <c r="AM2751" s="4"/>
      <c r="AN2751" s="4"/>
      <c r="AO2751" s="4"/>
      <c r="AP2751" s="4"/>
      <c r="AQ2751" s="4"/>
      <c r="AR2751" s="4"/>
      <c r="AS2751" s="4"/>
      <c r="AT2751" s="4"/>
      <c r="AU2751" s="4"/>
      <c r="AV2751" s="4"/>
      <c r="AW2751" s="4"/>
      <c r="AX2751" s="4"/>
      <c r="AY2751" s="4"/>
      <c r="AZ2751" s="4"/>
      <c r="BA2751" s="4"/>
      <c r="BB2751" s="4"/>
      <c r="BC2751" s="4"/>
      <c r="BD2751" s="4"/>
      <c r="BE2751" s="4"/>
      <c r="BF2751" s="4"/>
      <c r="BG2751" s="4"/>
      <c r="BH2751" s="4"/>
      <c r="BI2751" s="4"/>
      <c r="BJ2751" s="4"/>
      <c r="BK2751" s="4"/>
      <c r="BL2751" s="4"/>
      <c r="BM2751" s="4"/>
      <c r="BN2751" s="4"/>
      <c r="BO2751" s="4"/>
      <c r="BP2751" s="4"/>
      <c r="BQ2751" s="4"/>
      <c r="BR2751" s="4"/>
      <c r="BS2751" s="4"/>
      <c r="BT2751" s="4"/>
      <c r="BU2751" s="4"/>
    </row>
    <row r="2752" spans="29:73" s="1" customFormat="1" x14ac:dyDescent="0.25">
      <c r="AC2752" s="4"/>
      <c r="AD2752" s="4"/>
      <c r="AE2752" s="4"/>
      <c r="AF2752" s="4"/>
      <c r="AG2752" s="4"/>
      <c r="AH2752" s="4"/>
      <c r="AI2752" s="4"/>
      <c r="AJ2752" s="4"/>
      <c r="AK2752" s="4"/>
      <c r="AL2752" s="4"/>
      <c r="AM2752" s="4"/>
      <c r="AN2752" s="4"/>
      <c r="AO2752" s="4"/>
      <c r="AP2752" s="4"/>
      <c r="AQ2752" s="4"/>
      <c r="AR2752" s="4"/>
      <c r="AS2752" s="4"/>
      <c r="AT2752" s="4"/>
      <c r="AU2752" s="4"/>
      <c r="AV2752" s="4"/>
      <c r="AW2752" s="4"/>
      <c r="AX2752" s="4"/>
      <c r="AY2752" s="4"/>
      <c r="AZ2752" s="4"/>
      <c r="BA2752" s="4"/>
      <c r="BB2752" s="4"/>
      <c r="BC2752" s="4"/>
      <c r="BD2752" s="4"/>
      <c r="BE2752" s="4"/>
      <c r="BF2752" s="4"/>
      <c r="BG2752" s="4"/>
      <c r="BH2752" s="4"/>
      <c r="BI2752" s="4"/>
      <c r="BJ2752" s="4"/>
      <c r="BK2752" s="4"/>
      <c r="BL2752" s="4"/>
      <c r="BM2752" s="4"/>
      <c r="BN2752" s="4"/>
      <c r="BO2752" s="4"/>
      <c r="BP2752" s="4"/>
      <c r="BQ2752" s="4"/>
      <c r="BR2752" s="4"/>
      <c r="BS2752" s="4"/>
      <c r="BT2752" s="4"/>
      <c r="BU2752" s="4"/>
    </row>
    <row r="2753" spans="29:73" s="1" customFormat="1" x14ac:dyDescent="0.25">
      <c r="AC2753" s="4"/>
      <c r="AD2753" s="4"/>
      <c r="AE2753" s="4"/>
      <c r="AF2753" s="4"/>
      <c r="AG2753" s="4"/>
      <c r="AH2753" s="4"/>
      <c r="AI2753" s="4"/>
      <c r="AJ2753" s="4"/>
      <c r="AK2753" s="4"/>
      <c r="AL2753" s="4"/>
      <c r="AM2753" s="4"/>
      <c r="AN2753" s="4"/>
      <c r="AO2753" s="4"/>
      <c r="AP2753" s="4"/>
      <c r="AQ2753" s="4"/>
      <c r="AR2753" s="4"/>
      <c r="AS2753" s="4"/>
      <c r="AT2753" s="4"/>
      <c r="AU2753" s="4"/>
      <c r="AV2753" s="4"/>
      <c r="AW2753" s="4"/>
      <c r="AX2753" s="4"/>
      <c r="AY2753" s="4"/>
      <c r="AZ2753" s="4"/>
      <c r="BA2753" s="4"/>
      <c r="BB2753" s="4"/>
      <c r="BC2753" s="4"/>
      <c r="BD2753" s="4"/>
      <c r="BE2753" s="4"/>
      <c r="BF2753" s="4"/>
      <c r="BG2753" s="4"/>
      <c r="BH2753" s="4"/>
      <c r="BI2753" s="4"/>
      <c r="BJ2753" s="4"/>
      <c r="BK2753" s="4"/>
      <c r="BL2753" s="4"/>
      <c r="BM2753" s="4"/>
      <c r="BN2753" s="4"/>
      <c r="BO2753" s="4"/>
      <c r="BP2753" s="4"/>
      <c r="BQ2753" s="4"/>
      <c r="BR2753" s="4"/>
      <c r="BS2753" s="4"/>
      <c r="BT2753" s="4"/>
      <c r="BU2753" s="4"/>
    </row>
    <row r="2754" spans="29:73" s="1" customFormat="1" x14ac:dyDescent="0.25">
      <c r="AC2754" s="4"/>
      <c r="AD2754" s="4"/>
      <c r="AE2754" s="4"/>
      <c r="AF2754" s="4"/>
      <c r="AG2754" s="4"/>
      <c r="AH2754" s="4"/>
      <c r="AI2754" s="4"/>
      <c r="AJ2754" s="4"/>
      <c r="AK2754" s="4"/>
      <c r="AL2754" s="4"/>
      <c r="AM2754" s="4"/>
      <c r="AN2754" s="4"/>
      <c r="AO2754" s="4"/>
      <c r="AP2754" s="4"/>
      <c r="AQ2754" s="4"/>
      <c r="AR2754" s="4"/>
      <c r="AS2754" s="4"/>
      <c r="AT2754" s="4"/>
      <c r="AU2754" s="4"/>
      <c r="AV2754" s="4"/>
      <c r="AW2754" s="4"/>
      <c r="AX2754" s="4"/>
      <c r="AY2754" s="4"/>
      <c r="AZ2754" s="4"/>
      <c r="BA2754" s="4"/>
      <c r="BB2754" s="4"/>
      <c r="BC2754" s="4"/>
      <c r="BD2754" s="4"/>
      <c r="BE2754" s="4"/>
      <c r="BF2754" s="4"/>
      <c r="BG2754" s="4"/>
      <c r="BH2754" s="4"/>
      <c r="BI2754" s="4"/>
      <c r="BJ2754" s="4"/>
      <c r="BK2754" s="4"/>
      <c r="BL2754" s="4"/>
      <c r="BM2754" s="4"/>
      <c r="BN2754" s="4"/>
      <c r="BO2754" s="4"/>
      <c r="BP2754" s="4"/>
      <c r="BQ2754" s="4"/>
      <c r="BR2754" s="4"/>
      <c r="BS2754" s="4"/>
      <c r="BT2754" s="4"/>
      <c r="BU2754" s="4"/>
    </row>
    <row r="2755" spans="29:73" s="1" customFormat="1" x14ac:dyDescent="0.25">
      <c r="AC2755" s="4"/>
      <c r="AD2755" s="4"/>
      <c r="AE2755" s="4"/>
      <c r="AF2755" s="4"/>
      <c r="AG2755" s="4"/>
      <c r="AH2755" s="4"/>
      <c r="AI2755" s="4"/>
      <c r="AJ2755" s="4"/>
      <c r="AK2755" s="4"/>
      <c r="AL2755" s="4"/>
      <c r="AM2755" s="4"/>
      <c r="AN2755" s="4"/>
      <c r="AO2755" s="4"/>
      <c r="AP2755" s="4"/>
      <c r="AQ2755" s="4"/>
      <c r="AR2755" s="4"/>
      <c r="AS2755" s="4"/>
      <c r="AT2755" s="4"/>
      <c r="AU2755" s="4"/>
      <c r="AV2755" s="4"/>
      <c r="AW2755" s="4"/>
      <c r="AX2755" s="4"/>
      <c r="AY2755" s="4"/>
      <c r="AZ2755" s="4"/>
      <c r="BA2755" s="4"/>
      <c r="BB2755" s="4"/>
      <c r="BC2755" s="4"/>
      <c r="BD2755" s="4"/>
      <c r="BE2755" s="4"/>
      <c r="BF2755" s="4"/>
      <c r="BG2755" s="4"/>
      <c r="BH2755" s="4"/>
      <c r="BI2755" s="4"/>
      <c r="BJ2755" s="4"/>
      <c r="BK2755" s="4"/>
      <c r="BL2755" s="4"/>
      <c r="BM2755" s="4"/>
      <c r="BN2755" s="4"/>
      <c r="BO2755" s="4"/>
      <c r="BP2755" s="4"/>
      <c r="BQ2755" s="4"/>
      <c r="BR2755" s="4"/>
      <c r="BS2755" s="4"/>
      <c r="BT2755" s="4"/>
      <c r="BU2755" s="4"/>
    </row>
    <row r="2756" spans="29:73" s="1" customFormat="1" x14ac:dyDescent="0.25">
      <c r="AC2756" s="4"/>
      <c r="AD2756" s="4"/>
      <c r="AE2756" s="4"/>
      <c r="AF2756" s="4"/>
      <c r="AG2756" s="4"/>
      <c r="AH2756" s="4"/>
      <c r="AI2756" s="4"/>
      <c r="AJ2756" s="4"/>
      <c r="AK2756" s="4"/>
      <c r="AL2756" s="4"/>
      <c r="AM2756" s="4"/>
      <c r="AN2756" s="4"/>
      <c r="AO2756" s="4"/>
      <c r="AP2756" s="4"/>
      <c r="AQ2756" s="4"/>
      <c r="AR2756" s="4"/>
      <c r="AS2756" s="4"/>
      <c r="AT2756" s="4"/>
      <c r="AU2756" s="4"/>
      <c r="AV2756" s="4"/>
      <c r="AW2756" s="4"/>
      <c r="AX2756" s="4"/>
      <c r="AY2756" s="4"/>
      <c r="AZ2756" s="4"/>
      <c r="BA2756" s="4"/>
      <c r="BB2756" s="4"/>
      <c r="BC2756" s="4"/>
      <c r="BD2756" s="4"/>
      <c r="BE2756" s="4"/>
      <c r="BF2756" s="4"/>
      <c r="BG2756" s="4"/>
      <c r="BH2756" s="4"/>
      <c r="BI2756" s="4"/>
      <c r="BJ2756" s="4"/>
      <c r="BK2756" s="4"/>
      <c r="BL2756" s="4"/>
      <c r="BM2756" s="4"/>
      <c r="BN2756" s="4"/>
      <c r="BO2756" s="4"/>
      <c r="BP2756" s="4"/>
      <c r="BQ2756" s="4"/>
      <c r="BR2756" s="4"/>
      <c r="BS2756" s="4"/>
      <c r="BT2756" s="4"/>
      <c r="BU2756" s="4"/>
    </row>
    <row r="2757" spans="29:73" s="1" customFormat="1" x14ac:dyDescent="0.25">
      <c r="AC2757" s="4"/>
      <c r="AD2757" s="4"/>
      <c r="AE2757" s="4"/>
      <c r="AF2757" s="4"/>
      <c r="AG2757" s="4"/>
      <c r="AH2757" s="4"/>
      <c r="AI2757" s="4"/>
      <c r="AJ2757" s="4"/>
      <c r="AK2757" s="4"/>
      <c r="AL2757" s="4"/>
      <c r="AM2757" s="4"/>
      <c r="AN2757" s="4"/>
      <c r="AO2757" s="4"/>
      <c r="AP2757" s="4"/>
      <c r="AQ2757" s="4"/>
      <c r="AR2757" s="4"/>
      <c r="AS2757" s="4"/>
      <c r="AT2757" s="4"/>
      <c r="AU2757" s="4"/>
      <c r="AV2757" s="4"/>
      <c r="AW2757" s="4"/>
      <c r="AX2757" s="4"/>
      <c r="AY2757" s="4"/>
      <c r="AZ2757" s="4"/>
      <c r="BA2757" s="4"/>
      <c r="BB2757" s="4"/>
      <c r="BC2757" s="4"/>
      <c r="BD2757" s="4"/>
      <c r="BE2757" s="4"/>
      <c r="BF2757" s="4"/>
      <c r="BG2757" s="4"/>
      <c r="BH2757" s="4"/>
      <c r="BI2757" s="4"/>
      <c r="BJ2757" s="4"/>
      <c r="BK2757" s="4"/>
      <c r="BL2757" s="4"/>
      <c r="BM2757" s="4"/>
      <c r="BN2757" s="4"/>
      <c r="BO2757" s="4"/>
      <c r="BP2757" s="4"/>
      <c r="BQ2757" s="4"/>
      <c r="BR2757" s="4"/>
      <c r="BS2757" s="4"/>
      <c r="BT2757" s="4"/>
      <c r="BU2757" s="4"/>
    </row>
    <row r="2758" spans="29:73" s="1" customFormat="1" x14ac:dyDescent="0.25">
      <c r="AC2758" s="4"/>
      <c r="AD2758" s="4"/>
      <c r="AE2758" s="4"/>
      <c r="AF2758" s="4"/>
      <c r="AG2758" s="4"/>
      <c r="AH2758" s="4"/>
      <c r="AI2758" s="4"/>
      <c r="AJ2758" s="4"/>
      <c r="AK2758" s="4"/>
      <c r="AL2758" s="4"/>
      <c r="AM2758" s="4"/>
      <c r="AN2758" s="4"/>
      <c r="AO2758" s="4"/>
      <c r="AP2758" s="4"/>
      <c r="AQ2758" s="4"/>
      <c r="AR2758" s="4"/>
      <c r="AS2758" s="4"/>
      <c r="AT2758" s="4"/>
      <c r="AU2758" s="4"/>
      <c r="AV2758" s="4"/>
      <c r="AW2758" s="4"/>
      <c r="AX2758" s="4"/>
      <c r="AY2758" s="4"/>
      <c r="AZ2758" s="4"/>
      <c r="BA2758" s="4"/>
      <c r="BB2758" s="4"/>
      <c r="BC2758" s="4"/>
      <c r="BD2758" s="4"/>
      <c r="BE2758" s="4"/>
      <c r="BF2758" s="4"/>
      <c r="BG2758" s="4"/>
      <c r="BH2758" s="4"/>
      <c r="BI2758" s="4"/>
      <c r="BJ2758" s="4"/>
      <c r="BK2758" s="4"/>
      <c r="BL2758" s="4"/>
      <c r="BM2758" s="4"/>
      <c r="BN2758" s="4"/>
      <c r="BO2758" s="4"/>
      <c r="BP2758" s="4"/>
      <c r="BQ2758" s="4"/>
      <c r="BR2758" s="4"/>
      <c r="BS2758" s="4"/>
      <c r="BT2758" s="4"/>
      <c r="BU2758" s="4"/>
    </row>
    <row r="2759" spans="29:73" s="1" customFormat="1" x14ac:dyDescent="0.25">
      <c r="AC2759" s="4"/>
      <c r="AD2759" s="4"/>
      <c r="AE2759" s="4"/>
      <c r="AF2759" s="4"/>
      <c r="AG2759" s="4"/>
      <c r="AH2759" s="4"/>
      <c r="AI2759" s="4"/>
      <c r="AJ2759" s="4"/>
      <c r="AK2759" s="4"/>
      <c r="AL2759" s="4"/>
      <c r="AM2759" s="4"/>
      <c r="AN2759" s="4"/>
      <c r="AO2759" s="4"/>
      <c r="AP2759" s="4"/>
      <c r="AQ2759" s="4"/>
      <c r="AR2759" s="4"/>
      <c r="AS2759" s="4"/>
      <c r="AT2759" s="4"/>
      <c r="AU2759" s="4"/>
      <c r="AV2759" s="4"/>
      <c r="AW2759" s="4"/>
      <c r="AX2759" s="4"/>
      <c r="AY2759" s="4"/>
      <c r="AZ2759" s="4"/>
      <c r="BA2759" s="4"/>
      <c r="BB2759" s="4"/>
      <c r="BC2759" s="4"/>
      <c r="BD2759" s="4"/>
      <c r="BE2759" s="4"/>
      <c r="BF2759" s="4"/>
      <c r="BG2759" s="4"/>
      <c r="BH2759" s="4"/>
      <c r="BI2759" s="4"/>
      <c r="BJ2759" s="4"/>
      <c r="BK2759" s="4"/>
      <c r="BL2759" s="4"/>
      <c r="BM2759" s="4"/>
      <c r="BN2759" s="4"/>
      <c r="BO2759" s="4"/>
      <c r="BP2759" s="4"/>
      <c r="BQ2759" s="4"/>
      <c r="BR2759" s="4"/>
      <c r="BS2759" s="4"/>
      <c r="BT2759" s="4"/>
      <c r="BU2759" s="4"/>
    </row>
    <row r="2760" spans="29:73" s="1" customFormat="1" x14ac:dyDescent="0.25">
      <c r="AC2760" s="4"/>
      <c r="AD2760" s="4"/>
      <c r="AE2760" s="4"/>
      <c r="AF2760" s="4"/>
      <c r="AG2760" s="4"/>
      <c r="AH2760" s="4"/>
      <c r="AI2760" s="4"/>
      <c r="AJ2760" s="4"/>
      <c r="AK2760" s="4"/>
      <c r="AL2760" s="4"/>
      <c r="AM2760" s="4"/>
      <c r="AN2760" s="4"/>
      <c r="AO2760" s="4"/>
      <c r="AP2760" s="4"/>
      <c r="AQ2760" s="4"/>
      <c r="AR2760" s="4"/>
      <c r="AS2760" s="4"/>
      <c r="AT2760" s="4"/>
      <c r="AU2760" s="4"/>
      <c r="AV2760" s="4"/>
      <c r="AW2760" s="4"/>
      <c r="AX2760" s="4"/>
      <c r="AY2760" s="4"/>
      <c r="AZ2760" s="4"/>
      <c r="BA2760" s="4"/>
      <c r="BB2760" s="4"/>
      <c r="BC2760" s="4"/>
      <c r="BD2760" s="4"/>
      <c r="BE2760" s="4"/>
      <c r="BF2760" s="4"/>
      <c r="BG2760" s="4"/>
      <c r="BH2760" s="4"/>
      <c r="BI2760" s="4"/>
      <c r="BJ2760" s="4"/>
      <c r="BK2760" s="4"/>
      <c r="BL2760" s="4"/>
      <c r="BM2760" s="4"/>
      <c r="BN2760" s="4"/>
      <c r="BO2760" s="4"/>
      <c r="BP2760" s="4"/>
      <c r="BQ2760" s="4"/>
      <c r="BR2760" s="4"/>
      <c r="BS2760" s="4"/>
      <c r="BT2760" s="4"/>
      <c r="BU2760" s="4"/>
    </row>
    <row r="2761" spans="29:73" s="1" customFormat="1" x14ac:dyDescent="0.25">
      <c r="AC2761" s="4"/>
      <c r="AD2761" s="4"/>
      <c r="AE2761" s="4"/>
      <c r="AF2761" s="4"/>
      <c r="AG2761" s="4"/>
      <c r="AH2761" s="4"/>
      <c r="AI2761" s="4"/>
      <c r="AJ2761" s="4"/>
      <c r="AK2761" s="4"/>
      <c r="AL2761" s="4"/>
      <c r="AM2761" s="4"/>
      <c r="AN2761" s="4"/>
      <c r="AO2761" s="4"/>
      <c r="AP2761" s="4"/>
      <c r="AQ2761" s="4"/>
      <c r="AR2761" s="4"/>
      <c r="AS2761" s="4"/>
      <c r="AT2761" s="4"/>
      <c r="AU2761" s="4"/>
      <c r="AV2761" s="4"/>
      <c r="AW2761" s="4"/>
      <c r="AX2761" s="4"/>
      <c r="AY2761" s="4"/>
      <c r="AZ2761" s="4"/>
      <c r="BA2761" s="4"/>
      <c r="BB2761" s="4"/>
      <c r="BC2761" s="4"/>
      <c r="BD2761" s="4"/>
      <c r="BE2761" s="4"/>
      <c r="BF2761" s="4"/>
      <c r="BG2761" s="4"/>
      <c r="BH2761" s="4"/>
      <c r="BI2761" s="4"/>
      <c r="BJ2761" s="4"/>
      <c r="BK2761" s="4"/>
      <c r="BL2761" s="4"/>
      <c r="BM2761" s="4"/>
      <c r="BN2761" s="4"/>
      <c r="BO2761" s="4"/>
      <c r="BP2761" s="4"/>
      <c r="BQ2761" s="4"/>
      <c r="BR2761" s="4"/>
      <c r="BS2761" s="4"/>
      <c r="BT2761" s="4"/>
      <c r="BU2761" s="4"/>
    </row>
    <row r="2762" spans="29:73" s="1" customFormat="1" x14ac:dyDescent="0.25">
      <c r="AC2762" s="4"/>
      <c r="AD2762" s="4"/>
      <c r="AE2762" s="4"/>
      <c r="AF2762" s="4"/>
      <c r="AG2762" s="4"/>
      <c r="AH2762" s="4"/>
      <c r="AI2762" s="4"/>
      <c r="AJ2762" s="4"/>
      <c r="AK2762" s="4"/>
      <c r="AL2762" s="4"/>
      <c r="AM2762" s="4"/>
      <c r="AN2762" s="4"/>
      <c r="AO2762" s="4"/>
      <c r="AP2762" s="4"/>
      <c r="AQ2762" s="4"/>
      <c r="AR2762" s="4"/>
      <c r="AS2762" s="4"/>
      <c r="AT2762" s="4"/>
      <c r="AU2762" s="4"/>
      <c r="AV2762" s="4"/>
      <c r="AW2762" s="4"/>
      <c r="AX2762" s="4"/>
      <c r="AY2762" s="4"/>
      <c r="AZ2762" s="4"/>
      <c r="BA2762" s="4"/>
      <c r="BB2762" s="4"/>
      <c r="BC2762" s="4"/>
      <c r="BD2762" s="4"/>
      <c r="BE2762" s="4"/>
      <c r="BF2762" s="4"/>
      <c r="BG2762" s="4"/>
      <c r="BH2762" s="4"/>
      <c r="BI2762" s="4"/>
      <c r="BJ2762" s="4"/>
      <c r="BK2762" s="4"/>
      <c r="BL2762" s="4"/>
      <c r="BM2762" s="4"/>
      <c r="BN2762" s="4"/>
      <c r="BO2762" s="4"/>
      <c r="BP2762" s="4"/>
      <c r="BQ2762" s="4"/>
      <c r="BR2762" s="4"/>
      <c r="BS2762" s="4"/>
      <c r="BT2762" s="4"/>
      <c r="BU2762" s="4"/>
    </row>
    <row r="2763" spans="29:73" s="1" customFormat="1" x14ac:dyDescent="0.25">
      <c r="AC2763" s="4"/>
      <c r="AD2763" s="4"/>
      <c r="AE2763" s="4"/>
      <c r="AF2763" s="4"/>
      <c r="AG2763" s="4"/>
      <c r="AH2763" s="4"/>
      <c r="AI2763" s="4"/>
      <c r="AJ2763" s="4"/>
      <c r="AK2763" s="4"/>
      <c r="AL2763" s="4"/>
      <c r="AM2763" s="4"/>
      <c r="AN2763" s="4"/>
      <c r="AO2763" s="4"/>
      <c r="AP2763" s="4"/>
      <c r="AQ2763" s="4"/>
      <c r="AR2763" s="4"/>
      <c r="AS2763" s="4"/>
      <c r="AT2763" s="4"/>
      <c r="AU2763" s="4"/>
      <c r="AV2763" s="4"/>
      <c r="AW2763" s="4"/>
      <c r="AX2763" s="4"/>
      <c r="AY2763" s="4"/>
      <c r="AZ2763" s="4"/>
      <c r="BA2763" s="4"/>
      <c r="BB2763" s="4"/>
      <c r="BC2763" s="4"/>
      <c r="BD2763" s="4"/>
      <c r="BE2763" s="4"/>
      <c r="BF2763" s="4"/>
      <c r="BG2763" s="4"/>
      <c r="BH2763" s="4"/>
      <c r="BI2763" s="4"/>
      <c r="BJ2763" s="4"/>
      <c r="BK2763" s="4"/>
      <c r="BL2763" s="4"/>
      <c r="BM2763" s="4"/>
      <c r="BN2763" s="4"/>
      <c r="BO2763" s="4"/>
      <c r="BP2763" s="4"/>
      <c r="BQ2763" s="4"/>
      <c r="BR2763" s="4"/>
      <c r="BS2763" s="4"/>
      <c r="BT2763" s="4"/>
      <c r="BU2763" s="4"/>
    </row>
    <row r="2764" spans="29:73" s="1" customFormat="1" x14ac:dyDescent="0.25">
      <c r="AC2764" s="4"/>
      <c r="AD2764" s="4"/>
      <c r="AE2764" s="4"/>
      <c r="AF2764" s="4"/>
      <c r="AG2764" s="4"/>
      <c r="AH2764" s="4"/>
      <c r="AI2764" s="4"/>
      <c r="AJ2764" s="4"/>
      <c r="AK2764" s="4"/>
      <c r="AL2764" s="4"/>
      <c r="AM2764" s="4"/>
      <c r="AN2764" s="4"/>
      <c r="AO2764" s="4"/>
      <c r="AP2764" s="4"/>
      <c r="AQ2764" s="4"/>
      <c r="AR2764" s="4"/>
      <c r="AS2764" s="4"/>
      <c r="AT2764" s="4"/>
      <c r="AU2764" s="4"/>
      <c r="AV2764" s="4"/>
      <c r="AW2764" s="4"/>
      <c r="AX2764" s="4"/>
      <c r="AY2764" s="4"/>
      <c r="AZ2764" s="4"/>
      <c r="BA2764" s="4"/>
      <c r="BB2764" s="4"/>
      <c r="BC2764" s="4"/>
      <c r="BD2764" s="4"/>
      <c r="BE2764" s="4"/>
      <c r="BF2764" s="4"/>
      <c r="BG2764" s="4"/>
      <c r="BH2764" s="4"/>
      <c r="BI2764" s="4"/>
      <c r="BJ2764" s="4"/>
      <c r="BK2764" s="4"/>
      <c r="BL2764" s="4"/>
      <c r="BM2764" s="4"/>
      <c r="BN2764" s="4"/>
      <c r="BO2764" s="4"/>
      <c r="BP2764" s="4"/>
      <c r="BQ2764" s="4"/>
      <c r="BR2764" s="4"/>
      <c r="BS2764" s="4"/>
      <c r="BT2764" s="4"/>
      <c r="BU2764" s="4"/>
    </row>
    <row r="2765" spans="29:73" s="1" customFormat="1" x14ac:dyDescent="0.25">
      <c r="AC2765" s="4"/>
      <c r="AD2765" s="4"/>
      <c r="AE2765" s="4"/>
      <c r="AF2765" s="4"/>
      <c r="AG2765" s="4"/>
      <c r="AH2765" s="4"/>
      <c r="AI2765" s="4"/>
      <c r="AJ2765" s="4"/>
      <c r="AK2765" s="4"/>
      <c r="AL2765" s="4"/>
      <c r="AM2765" s="4"/>
      <c r="AN2765" s="4"/>
      <c r="AO2765" s="4"/>
      <c r="AP2765" s="4"/>
      <c r="AQ2765" s="4"/>
      <c r="AR2765" s="4"/>
      <c r="AS2765" s="4"/>
      <c r="AT2765" s="4"/>
      <c r="AU2765" s="4"/>
      <c r="AV2765" s="4"/>
      <c r="AW2765" s="4"/>
      <c r="AX2765" s="4"/>
      <c r="AY2765" s="4"/>
      <c r="AZ2765" s="4"/>
      <c r="BA2765" s="4"/>
      <c r="BB2765" s="4"/>
      <c r="BC2765" s="4"/>
      <c r="BD2765" s="4"/>
      <c r="BE2765" s="4"/>
      <c r="BF2765" s="4"/>
      <c r="BG2765" s="4"/>
      <c r="BH2765" s="4"/>
      <c r="BI2765" s="4"/>
      <c r="BJ2765" s="4"/>
      <c r="BK2765" s="4"/>
      <c r="BL2765" s="4"/>
      <c r="BM2765" s="4"/>
      <c r="BN2765" s="4"/>
      <c r="BO2765" s="4"/>
      <c r="BP2765" s="4"/>
      <c r="BQ2765" s="4"/>
      <c r="BR2765" s="4"/>
      <c r="BS2765" s="4"/>
      <c r="BT2765" s="4"/>
      <c r="BU2765" s="4"/>
    </row>
    <row r="2766" spans="29:73" s="1" customFormat="1" x14ac:dyDescent="0.25">
      <c r="AC2766" s="4"/>
      <c r="AD2766" s="4"/>
      <c r="AE2766" s="4"/>
      <c r="AF2766" s="4"/>
      <c r="AG2766" s="4"/>
      <c r="AH2766" s="4"/>
      <c r="AI2766" s="4"/>
      <c r="AJ2766" s="4"/>
      <c r="AK2766" s="4"/>
      <c r="AL2766" s="4"/>
      <c r="AM2766" s="4"/>
      <c r="AN2766" s="4"/>
      <c r="AO2766" s="4"/>
      <c r="AP2766" s="4"/>
      <c r="AQ2766" s="4"/>
      <c r="AR2766" s="4"/>
      <c r="AS2766" s="4"/>
      <c r="AT2766" s="4"/>
      <c r="AU2766" s="4"/>
      <c r="AV2766" s="4"/>
      <c r="AW2766" s="4"/>
      <c r="AX2766" s="4"/>
      <c r="AY2766" s="4"/>
      <c r="AZ2766" s="4"/>
      <c r="BA2766" s="4"/>
      <c r="BB2766" s="4"/>
      <c r="BC2766" s="4"/>
      <c r="BD2766" s="4"/>
      <c r="BE2766" s="4"/>
      <c r="BF2766" s="4"/>
      <c r="BG2766" s="4"/>
      <c r="BH2766" s="4"/>
      <c r="BI2766" s="4"/>
      <c r="BJ2766" s="4"/>
      <c r="BK2766" s="4"/>
      <c r="BL2766" s="4"/>
      <c r="BM2766" s="4"/>
      <c r="BN2766" s="4"/>
      <c r="BO2766" s="4"/>
      <c r="BP2766" s="4"/>
      <c r="BQ2766" s="4"/>
      <c r="BR2766" s="4"/>
      <c r="BS2766" s="4"/>
      <c r="BT2766" s="4"/>
      <c r="BU2766" s="4"/>
    </row>
    <row r="2767" spans="29:73" s="1" customFormat="1" x14ac:dyDescent="0.25">
      <c r="AC2767" s="4"/>
      <c r="AD2767" s="4"/>
      <c r="AE2767" s="4"/>
      <c r="AF2767" s="4"/>
      <c r="AG2767" s="4"/>
      <c r="AH2767" s="4"/>
      <c r="AI2767" s="4"/>
      <c r="AJ2767" s="4"/>
      <c r="AK2767" s="4"/>
      <c r="AL2767" s="4"/>
      <c r="AM2767" s="4"/>
      <c r="AN2767" s="4"/>
      <c r="AO2767" s="4"/>
      <c r="AP2767" s="4"/>
      <c r="AQ2767" s="4"/>
      <c r="AR2767" s="4"/>
      <c r="AS2767" s="4"/>
      <c r="AT2767" s="4"/>
      <c r="AU2767" s="4"/>
      <c r="AV2767" s="4"/>
      <c r="AW2767" s="4"/>
      <c r="AX2767" s="4"/>
      <c r="AY2767" s="4"/>
      <c r="AZ2767" s="4"/>
      <c r="BA2767" s="4"/>
      <c r="BB2767" s="4"/>
      <c r="BC2767" s="4"/>
      <c r="BD2767" s="4"/>
      <c r="BE2767" s="4"/>
      <c r="BF2767" s="4"/>
      <c r="BG2767" s="4"/>
      <c r="BH2767" s="4"/>
      <c r="BI2767" s="4"/>
      <c r="BJ2767" s="4"/>
      <c r="BK2767" s="4"/>
      <c r="BL2767" s="4"/>
      <c r="BM2767" s="4"/>
      <c r="BN2767" s="4"/>
      <c r="BO2767" s="4"/>
      <c r="BP2767" s="4"/>
      <c r="BQ2767" s="4"/>
      <c r="BR2767" s="4"/>
      <c r="BS2767" s="4"/>
      <c r="BT2767" s="4"/>
      <c r="BU2767" s="4"/>
    </row>
    <row r="2768" spans="29:73" s="1" customFormat="1" x14ac:dyDescent="0.25">
      <c r="AC2768" s="4"/>
      <c r="AD2768" s="4"/>
      <c r="AE2768" s="4"/>
      <c r="AF2768" s="4"/>
      <c r="AG2768" s="4"/>
      <c r="AH2768" s="4"/>
      <c r="AI2768" s="4"/>
      <c r="AJ2768" s="4"/>
      <c r="AK2768" s="4"/>
      <c r="AL2768" s="4"/>
      <c r="AM2768" s="4"/>
      <c r="AN2768" s="4"/>
      <c r="AO2768" s="4"/>
      <c r="AP2768" s="4"/>
      <c r="AQ2768" s="4"/>
      <c r="AR2768" s="4"/>
      <c r="AS2768" s="4"/>
      <c r="AT2768" s="4"/>
      <c r="AU2768" s="4"/>
      <c r="AV2768" s="4"/>
      <c r="AW2768" s="4"/>
      <c r="AX2768" s="4"/>
      <c r="AY2768" s="4"/>
      <c r="AZ2768" s="4"/>
      <c r="BA2768" s="4"/>
      <c r="BB2768" s="4"/>
      <c r="BC2768" s="4"/>
      <c r="BD2768" s="4"/>
      <c r="BE2768" s="4"/>
      <c r="BF2768" s="4"/>
      <c r="BG2768" s="4"/>
      <c r="BH2768" s="4"/>
      <c r="BI2768" s="4"/>
      <c r="BJ2768" s="4"/>
      <c r="BK2768" s="4"/>
      <c r="BL2768" s="4"/>
      <c r="BM2768" s="4"/>
      <c r="BN2768" s="4"/>
      <c r="BO2768" s="4"/>
      <c r="BP2768" s="4"/>
      <c r="BQ2768" s="4"/>
      <c r="BR2768" s="4"/>
      <c r="BS2768" s="4"/>
      <c r="BT2768" s="4"/>
      <c r="BU2768" s="4"/>
    </row>
    <row r="2769" spans="29:73" s="1" customFormat="1" x14ac:dyDescent="0.25">
      <c r="AC2769" s="4"/>
      <c r="AD2769" s="4"/>
      <c r="AE2769" s="4"/>
      <c r="AF2769" s="4"/>
      <c r="AG2769" s="4"/>
      <c r="AH2769" s="4"/>
      <c r="AI2769" s="4"/>
      <c r="AJ2769" s="4"/>
      <c r="AK2769" s="4"/>
      <c r="AL2769" s="4"/>
      <c r="AM2769" s="4"/>
      <c r="AN2769" s="4"/>
      <c r="AO2769" s="4"/>
      <c r="AP2769" s="4"/>
      <c r="AQ2769" s="4"/>
      <c r="AR2769" s="4"/>
      <c r="AS2769" s="4"/>
      <c r="AT2769" s="4"/>
      <c r="AU2769" s="4"/>
      <c r="AV2769" s="4"/>
      <c r="AW2769" s="4"/>
      <c r="AX2769" s="4"/>
      <c r="AY2769" s="4"/>
      <c r="AZ2769" s="4"/>
      <c r="BA2769" s="4"/>
      <c r="BB2769" s="4"/>
      <c r="BC2769" s="4"/>
      <c r="BD2769" s="4"/>
      <c r="BE2769" s="4"/>
      <c r="BF2769" s="4"/>
      <c r="BG2769" s="4"/>
      <c r="BH2769" s="4"/>
      <c r="BI2769" s="4"/>
      <c r="BJ2769" s="4"/>
      <c r="BK2769" s="4"/>
      <c r="BL2769" s="4"/>
      <c r="BM2769" s="4"/>
      <c r="BN2769" s="4"/>
      <c r="BO2769" s="4"/>
      <c r="BP2769" s="4"/>
      <c r="BQ2769" s="4"/>
      <c r="BR2769" s="4"/>
      <c r="BS2769" s="4"/>
      <c r="BT2769" s="4"/>
      <c r="BU2769" s="4"/>
    </row>
    <row r="2770" spans="29:73" s="1" customFormat="1" x14ac:dyDescent="0.25">
      <c r="AC2770" s="4"/>
      <c r="AD2770" s="4"/>
      <c r="AE2770" s="4"/>
      <c r="AF2770" s="4"/>
      <c r="AG2770" s="4"/>
      <c r="AH2770" s="4"/>
      <c r="AI2770" s="4"/>
      <c r="AJ2770" s="4"/>
      <c r="AK2770" s="4"/>
      <c r="AL2770" s="4"/>
      <c r="AM2770" s="4"/>
      <c r="AN2770" s="4"/>
      <c r="AO2770" s="4"/>
      <c r="AP2770" s="4"/>
      <c r="AQ2770" s="4"/>
      <c r="AR2770" s="4"/>
      <c r="AS2770" s="4"/>
      <c r="AT2770" s="4"/>
      <c r="AU2770" s="4"/>
      <c r="AV2770" s="4"/>
      <c r="AW2770" s="4"/>
      <c r="AX2770" s="4"/>
      <c r="AY2770" s="4"/>
      <c r="AZ2770" s="4"/>
      <c r="BA2770" s="4"/>
      <c r="BB2770" s="4"/>
      <c r="BC2770" s="4"/>
      <c r="BD2770" s="4"/>
      <c r="BE2770" s="4"/>
      <c r="BF2770" s="4"/>
      <c r="BG2770" s="4"/>
      <c r="BH2770" s="4"/>
      <c r="BI2770" s="4"/>
      <c r="BJ2770" s="4"/>
      <c r="BK2770" s="4"/>
      <c r="BL2770" s="4"/>
      <c r="BM2770" s="4"/>
      <c r="BN2770" s="4"/>
      <c r="BO2770" s="4"/>
      <c r="BP2770" s="4"/>
      <c r="BQ2770" s="4"/>
      <c r="BR2770" s="4"/>
      <c r="BS2770" s="4"/>
      <c r="BT2770" s="4"/>
      <c r="BU2770" s="4"/>
    </row>
    <row r="2771" spans="29:73" s="1" customFormat="1" x14ac:dyDescent="0.25">
      <c r="AC2771" s="4"/>
      <c r="AD2771" s="4"/>
      <c r="AE2771" s="4"/>
      <c r="AF2771" s="4"/>
      <c r="AG2771" s="4"/>
      <c r="AH2771" s="4"/>
      <c r="AI2771" s="4"/>
      <c r="AJ2771" s="4"/>
      <c r="AK2771" s="4"/>
      <c r="AL2771" s="4"/>
      <c r="AM2771" s="4"/>
      <c r="AN2771" s="4"/>
      <c r="AO2771" s="4"/>
      <c r="AP2771" s="4"/>
      <c r="AQ2771" s="4"/>
      <c r="AR2771" s="4"/>
      <c r="AS2771" s="4"/>
      <c r="AT2771" s="4"/>
      <c r="AU2771" s="4"/>
      <c r="AV2771" s="4"/>
      <c r="AW2771" s="4"/>
      <c r="AX2771" s="4"/>
      <c r="AY2771" s="4"/>
      <c r="AZ2771" s="4"/>
      <c r="BA2771" s="4"/>
      <c r="BB2771" s="4"/>
      <c r="BC2771" s="4"/>
      <c r="BD2771" s="4"/>
      <c r="BE2771" s="4"/>
      <c r="BF2771" s="4"/>
      <c r="BG2771" s="4"/>
      <c r="BH2771" s="4"/>
      <c r="BI2771" s="4"/>
      <c r="BJ2771" s="4"/>
      <c r="BK2771" s="4"/>
      <c r="BL2771" s="4"/>
      <c r="BM2771" s="4"/>
      <c r="BN2771" s="4"/>
      <c r="BO2771" s="4"/>
      <c r="BP2771" s="4"/>
      <c r="BQ2771" s="4"/>
      <c r="BR2771" s="4"/>
      <c r="BS2771" s="4"/>
      <c r="BT2771" s="4"/>
      <c r="BU2771" s="4"/>
    </row>
    <row r="2772" spans="29:73" s="1" customFormat="1" x14ac:dyDescent="0.25">
      <c r="AC2772" s="4"/>
      <c r="AD2772" s="4"/>
      <c r="AE2772" s="4"/>
      <c r="AF2772" s="4"/>
      <c r="AG2772" s="4"/>
      <c r="AH2772" s="4"/>
      <c r="AI2772" s="4"/>
      <c r="AJ2772" s="4"/>
      <c r="AK2772" s="4"/>
      <c r="AL2772" s="4"/>
      <c r="AM2772" s="4"/>
      <c r="AN2772" s="4"/>
      <c r="AO2772" s="4"/>
      <c r="AP2772" s="4"/>
      <c r="AQ2772" s="4"/>
      <c r="AR2772" s="4"/>
      <c r="AS2772" s="4"/>
      <c r="AT2772" s="4"/>
      <c r="AU2772" s="4"/>
      <c r="AV2772" s="4"/>
      <c r="AW2772" s="4"/>
      <c r="AX2772" s="4"/>
      <c r="AY2772" s="4"/>
      <c r="AZ2772" s="4"/>
      <c r="BA2772" s="4"/>
      <c r="BB2772" s="4"/>
      <c r="BC2772" s="4"/>
      <c r="BD2772" s="4"/>
      <c r="BE2772" s="4"/>
      <c r="BF2772" s="4"/>
      <c r="BG2772" s="4"/>
      <c r="BH2772" s="4"/>
      <c r="BI2772" s="4"/>
      <c r="BJ2772" s="4"/>
      <c r="BK2772" s="4"/>
      <c r="BL2772" s="4"/>
      <c r="BM2772" s="4"/>
      <c r="BN2772" s="4"/>
      <c r="BO2772" s="4"/>
      <c r="BP2772" s="4"/>
      <c r="BQ2772" s="4"/>
      <c r="BR2772" s="4"/>
      <c r="BS2772" s="4"/>
      <c r="BT2772" s="4"/>
      <c r="BU2772" s="4"/>
    </row>
    <row r="2773" spans="29:73" s="1" customFormat="1" x14ac:dyDescent="0.25">
      <c r="AC2773" s="4"/>
      <c r="AD2773" s="4"/>
      <c r="AE2773" s="4"/>
      <c r="AF2773" s="4"/>
      <c r="AG2773" s="4"/>
      <c r="AH2773" s="4"/>
      <c r="AI2773" s="4"/>
      <c r="AJ2773" s="4"/>
      <c r="AK2773" s="4"/>
      <c r="AL2773" s="4"/>
      <c r="AM2773" s="4"/>
      <c r="AN2773" s="4"/>
      <c r="AO2773" s="4"/>
      <c r="AP2773" s="4"/>
      <c r="AQ2773" s="4"/>
      <c r="AR2773" s="4"/>
      <c r="AS2773" s="4"/>
      <c r="AT2773" s="4"/>
      <c r="AU2773" s="4"/>
      <c r="AV2773" s="4"/>
      <c r="AW2773" s="4"/>
      <c r="AX2773" s="4"/>
      <c r="AY2773" s="4"/>
      <c r="AZ2773" s="4"/>
      <c r="BA2773" s="4"/>
      <c r="BB2773" s="4"/>
      <c r="BC2773" s="4"/>
      <c r="BD2773" s="4"/>
      <c r="BE2773" s="4"/>
      <c r="BF2773" s="4"/>
      <c r="BG2773" s="4"/>
      <c r="BH2773" s="4"/>
      <c r="BI2773" s="4"/>
      <c r="BJ2773" s="4"/>
      <c r="BK2773" s="4"/>
      <c r="BL2773" s="4"/>
      <c r="BM2773" s="4"/>
      <c r="BN2773" s="4"/>
      <c r="BO2773" s="4"/>
      <c r="BP2773" s="4"/>
      <c r="BQ2773" s="4"/>
      <c r="BR2773" s="4"/>
      <c r="BS2773" s="4"/>
      <c r="BT2773" s="4"/>
      <c r="BU2773" s="4"/>
    </row>
    <row r="2774" spans="29:73" s="1" customFormat="1" x14ac:dyDescent="0.25">
      <c r="AC2774" s="4"/>
      <c r="AD2774" s="4"/>
      <c r="AE2774" s="4"/>
      <c r="AF2774" s="4"/>
      <c r="AG2774" s="4"/>
      <c r="AH2774" s="4"/>
      <c r="AI2774" s="4"/>
      <c r="AJ2774" s="4"/>
      <c r="AK2774" s="4"/>
      <c r="AL2774" s="4"/>
      <c r="AM2774" s="4"/>
      <c r="AN2774" s="4"/>
      <c r="AO2774" s="4"/>
      <c r="AP2774" s="4"/>
      <c r="AQ2774" s="4"/>
      <c r="AR2774" s="4"/>
      <c r="AS2774" s="4"/>
      <c r="AT2774" s="4"/>
      <c r="AU2774" s="4"/>
      <c r="AV2774" s="4"/>
      <c r="AW2774" s="4"/>
      <c r="AX2774" s="4"/>
      <c r="AY2774" s="4"/>
      <c r="AZ2774" s="4"/>
      <c r="BA2774" s="4"/>
      <c r="BB2774" s="4"/>
      <c r="BC2774" s="4"/>
      <c r="BD2774" s="4"/>
      <c r="BE2774" s="4"/>
      <c r="BF2774" s="4"/>
      <c r="BG2774" s="4"/>
      <c r="BH2774" s="4"/>
      <c r="BI2774" s="4"/>
      <c r="BJ2774" s="4"/>
      <c r="BK2774" s="4"/>
      <c r="BL2774" s="4"/>
      <c r="BM2774" s="4"/>
      <c r="BN2774" s="4"/>
      <c r="BO2774" s="4"/>
      <c r="BP2774" s="4"/>
      <c r="BQ2774" s="4"/>
      <c r="BR2774" s="4"/>
      <c r="BS2774" s="4"/>
      <c r="BT2774" s="4"/>
      <c r="BU2774" s="4"/>
    </row>
    <row r="2775" spans="29:73" s="1" customFormat="1" x14ac:dyDescent="0.25">
      <c r="AC2775" s="4"/>
      <c r="AD2775" s="4"/>
      <c r="AE2775" s="4"/>
      <c r="AF2775" s="4"/>
      <c r="AG2775" s="4"/>
      <c r="AH2775" s="4"/>
      <c r="AI2775" s="4"/>
      <c r="AJ2775" s="4"/>
      <c r="AK2775" s="4"/>
      <c r="AL2775" s="4"/>
      <c r="AM2775" s="4"/>
      <c r="AN2775" s="4"/>
      <c r="AO2775" s="4"/>
      <c r="AP2775" s="4"/>
      <c r="AQ2775" s="4"/>
      <c r="AR2775" s="4"/>
      <c r="AS2775" s="4"/>
      <c r="AT2775" s="4"/>
      <c r="AU2775" s="4"/>
      <c r="AV2775" s="4"/>
      <c r="AW2775" s="4"/>
      <c r="AX2775" s="4"/>
      <c r="AY2775" s="4"/>
      <c r="AZ2775" s="4"/>
      <c r="BA2775" s="4"/>
      <c r="BB2775" s="4"/>
      <c r="BC2775" s="4"/>
      <c r="BD2775" s="4"/>
      <c r="BE2775" s="4"/>
      <c r="BF2775" s="4"/>
      <c r="BG2775" s="4"/>
      <c r="BH2775" s="4"/>
      <c r="BI2775" s="4"/>
      <c r="BJ2775" s="4"/>
      <c r="BK2775" s="4"/>
      <c r="BL2775" s="4"/>
      <c r="BM2775" s="4"/>
      <c r="BN2775" s="4"/>
      <c r="BO2775" s="4"/>
      <c r="BP2775" s="4"/>
      <c r="BQ2775" s="4"/>
      <c r="BR2775" s="4"/>
      <c r="BS2775" s="4"/>
      <c r="BT2775" s="4"/>
      <c r="BU2775" s="4"/>
    </row>
    <row r="2776" spans="29:73" s="1" customFormat="1" x14ac:dyDescent="0.25">
      <c r="AC2776" s="4"/>
      <c r="AD2776" s="4"/>
      <c r="AE2776" s="4"/>
      <c r="AF2776" s="4"/>
      <c r="AG2776" s="4"/>
      <c r="AH2776" s="4"/>
      <c r="AI2776" s="4"/>
      <c r="AJ2776" s="4"/>
      <c r="AK2776" s="4"/>
      <c r="AL2776" s="4"/>
      <c r="AM2776" s="4"/>
      <c r="AN2776" s="4"/>
      <c r="AO2776" s="4"/>
      <c r="AP2776" s="4"/>
      <c r="AQ2776" s="4"/>
      <c r="AR2776" s="4"/>
      <c r="AS2776" s="4"/>
      <c r="AT2776" s="4"/>
      <c r="AU2776" s="4"/>
      <c r="AV2776" s="4"/>
      <c r="AW2776" s="4"/>
      <c r="AX2776" s="4"/>
      <c r="AY2776" s="4"/>
      <c r="AZ2776" s="4"/>
      <c r="BA2776" s="4"/>
      <c r="BB2776" s="4"/>
      <c r="BC2776" s="4"/>
      <c r="BD2776" s="4"/>
      <c r="BE2776" s="4"/>
      <c r="BF2776" s="4"/>
      <c r="BG2776" s="4"/>
      <c r="BH2776" s="4"/>
      <c r="BI2776" s="4"/>
      <c r="BJ2776" s="4"/>
      <c r="BK2776" s="4"/>
      <c r="BL2776" s="4"/>
      <c r="BM2776" s="4"/>
      <c r="BN2776" s="4"/>
      <c r="BO2776" s="4"/>
      <c r="BP2776" s="4"/>
      <c r="BQ2776" s="4"/>
      <c r="BR2776" s="4"/>
      <c r="BS2776" s="4"/>
      <c r="BT2776" s="4"/>
      <c r="BU2776" s="4"/>
    </row>
    <row r="2777" spans="29:73" s="1" customFormat="1" x14ac:dyDescent="0.25">
      <c r="AC2777" s="4"/>
      <c r="AD2777" s="4"/>
      <c r="AE2777" s="4"/>
      <c r="AF2777" s="4"/>
      <c r="AG2777" s="4"/>
      <c r="AH2777" s="4"/>
      <c r="AI2777" s="4"/>
      <c r="AJ2777" s="4"/>
      <c r="AK2777" s="4"/>
      <c r="AL2777" s="4"/>
      <c r="AM2777" s="4"/>
      <c r="AN2777" s="4"/>
      <c r="AO2777" s="4"/>
      <c r="AP2777" s="4"/>
      <c r="AQ2777" s="4"/>
      <c r="AR2777" s="4"/>
      <c r="AS2777" s="4"/>
      <c r="AT2777" s="4"/>
      <c r="AU2777" s="4"/>
      <c r="AV2777" s="4"/>
      <c r="AW2777" s="4"/>
      <c r="AX2777" s="4"/>
      <c r="AY2777" s="4"/>
      <c r="AZ2777" s="4"/>
      <c r="BA2777" s="4"/>
      <c r="BB2777" s="4"/>
      <c r="BC2777" s="4"/>
      <c r="BD2777" s="4"/>
      <c r="BE2777" s="4"/>
      <c r="BF2777" s="4"/>
      <c r="BG2777" s="4"/>
      <c r="BH2777" s="4"/>
      <c r="BI2777" s="4"/>
      <c r="BJ2777" s="4"/>
      <c r="BK2777" s="4"/>
      <c r="BL2777" s="4"/>
      <c r="BM2777" s="4"/>
      <c r="BN2777" s="4"/>
      <c r="BO2777" s="4"/>
      <c r="BP2777" s="4"/>
      <c r="BQ2777" s="4"/>
      <c r="BR2777" s="4"/>
      <c r="BS2777" s="4"/>
      <c r="BT2777" s="4"/>
      <c r="BU2777" s="4"/>
    </row>
    <row r="2778" spans="29:73" s="1" customFormat="1" x14ac:dyDescent="0.25">
      <c r="AC2778" s="4"/>
      <c r="AD2778" s="4"/>
      <c r="AE2778" s="4"/>
      <c r="AF2778" s="4"/>
      <c r="AG2778" s="4"/>
      <c r="AH2778" s="4"/>
      <c r="AI2778" s="4"/>
      <c r="AJ2778" s="4"/>
      <c r="AK2778" s="4"/>
      <c r="AL2778" s="4"/>
      <c r="AM2778" s="4"/>
      <c r="AN2778" s="4"/>
      <c r="AO2778" s="4"/>
      <c r="AP2778" s="4"/>
      <c r="AQ2778" s="4"/>
      <c r="AR2778" s="4"/>
      <c r="AS2778" s="4"/>
      <c r="AT2778" s="4"/>
      <c r="AU2778" s="4"/>
      <c r="AV2778" s="4"/>
      <c r="AW2778" s="4"/>
      <c r="AX2778" s="4"/>
      <c r="AY2778" s="4"/>
      <c r="AZ2778" s="4"/>
      <c r="BA2778" s="4"/>
      <c r="BB2778" s="4"/>
      <c r="BC2778" s="4"/>
      <c r="BD2778" s="4"/>
      <c r="BE2778" s="4"/>
      <c r="BF2778" s="4"/>
      <c r="BG2778" s="4"/>
      <c r="BH2778" s="4"/>
      <c r="BI2778" s="4"/>
      <c r="BJ2778" s="4"/>
      <c r="BK2778" s="4"/>
      <c r="BL2778" s="4"/>
      <c r="BM2778" s="4"/>
      <c r="BN2778" s="4"/>
      <c r="BO2778" s="4"/>
      <c r="BP2778" s="4"/>
      <c r="BQ2778" s="4"/>
      <c r="BR2778" s="4"/>
      <c r="BS2778" s="4"/>
      <c r="BT2778" s="4"/>
      <c r="BU2778" s="4"/>
    </row>
    <row r="2779" spans="29:73" s="1" customFormat="1" x14ac:dyDescent="0.25">
      <c r="AC2779" s="4"/>
      <c r="AD2779" s="4"/>
      <c r="AE2779" s="4"/>
      <c r="AF2779" s="4"/>
      <c r="AG2779" s="4"/>
      <c r="AH2779" s="4"/>
      <c r="AI2779" s="4"/>
      <c r="AJ2779" s="4"/>
      <c r="AK2779" s="4"/>
      <c r="AL2779" s="4"/>
      <c r="AM2779" s="4"/>
      <c r="AN2779" s="4"/>
      <c r="AO2779" s="4"/>
      <c r="AP2779" s="4"/>
      <c r="AQ2779" s="4"/>
      <c r="AR2779" s="4"/>
      <c r="AS2779" s="4"/>
      <c r="AT2779" s="4"/>
      <c r="AU2779" s="4"/>
      <c r="AV2779" s="4"/>
      <c r="AW2779" s="4"/>
      <c r="AX2779" s="4"/>
      <c r="AY2779" s="4"/>
      <c r="AZ2779" s="4"/>
      <c r="BA2779" s="4"/>
      <c r="BB2779" s="4"/>
      <c r="BC2779" s="4"/>
      <c r="BD2779" s="4"/>
      <c r="BE2779" s="4"/>
      <c r="BF2779" s="4"/>
      <c r="BG2779" s="4"/>
      <c r="BH2779" s="4"/>
      <c r="BI2779" s="4"/>
      <c r="BJ2779" s="4"/>
      <c r="BK2779" s="4"/>
      <c r="BL2779" s="4"/>
      <c r="BM2779" s="4"/>
      <c r="BN2779" s="4"/>
      <c r="BO2779" s="4"/>
      <c r="BP2779" s="4"/>
      <c r="BQ2779" s="4"/>
      <c r="BR2779" s="4"/>
      <c r="BS2779" s="4"/>
      <c r="BT2779" s="4"/>
      <c r="BU2779" s="4"/>
    </row>
    <row r="2780" spans="29:73" s="1" customFormat="1" x14ac:dyDescent="0.25">
      <c r="AC2780" s="4"/>
      <c r="AD2780" s="4"/>
      <c r="AE2780" s="4"/>
      <c r="AF2780" s="4"/>
      <c r="AG2780" s="4"/>
      <c r="AH2780" s="4"/>
      <c r="AI2780" s="4"/>
      <c r="AJ2780" s="4"/>
      <c r="AK2780" s="4"/>
      <c r="AL2780" s="4"/>
      <c r="AM2780" s="4"/>
      <c r="AN2780" s="4"/>
      <c r="AO2780" s="4"/>
      <c r="AP2780" s="4"/>
      <c r="AQ2780" s="4"/>
      <c r="AR2780" s="4"/>
      <c r="AS2780" s="4"/>
      <c r="AT2780" s="4"/>
      <c r="AU2780" s="4"/>
      <c r="AV2780" s="4"/>
      <c r="AW2780" s="4"/>
      <c r="AX2780" s="4"/>
      <c r="AY2780" s="4"/>
      <c r="AZ2780" s="4"/>
      <c r="BA2780" s="4"/>
      <c r="BB2780" s="4"/>
      <c r="BC2780" s="4"/>
      <c r="BD2780" s="4"/>
      <c r="BE2780" s="4"/>
      <c r="BF2780" s="4"/>
      <c r="BG2780" s="4"/>
      <c r="BH2780" s="4"/>
      <c r="BI2780" s="4"/>
      <c r="BJ2780" s="4"/>
      <c r="BK2780" s="4"/>
      <c r="BL2780" s="4"/>
      <c r="BM2780" s="4"/>
      <c r="BN2780" s="4"/>
      <c r="BO2780" s="4"/>
      <c r="BP2780" s="4"/>
      <c r="BQ2780" s="4"/>
      <c r="BR2780" s="4"/>
      <c r="BS2780" s="4"/>
      <c r="BT2780" s="4"/>
      <c r="BU2780" s="4"/>
    </row>
    <row r="2781" spans="29:73" s="1" customFormat="1" x14ac:dyDescent="0.25">
      <c r="AC2781" s="4"/>
      <c r="AD2781" s="4"/>
      <c r="AE2781" s="4"/>
      <c r="AF2781" s="4"/>
      <c r="AG2781" s="4"/>
      <c r="AH2781" s="4"/>
      <c r="AI2781" s="4"/>
      <c r="AJ2781" s="4"/>
      <c r="AK2781" s="4"/>
      <c r="AL2781" s="4"/>
      <c r="AM2781" s="4"/>
      <c r="AN2781" s="4"/>
      <c r="AO2781" s="4"/>
      <c r="AP2781" s="4"/>
      <c r="AQ2781" s="4"/>
      <c r="AR2781" s="4"/>
      <c r="AS2781" s="4"/>
      <c r="AT2781" s="4"/>
      <c r="AU2781" s="4"/>
      <c r="AV2781" s="4"/>
      <c r="AW2781" s="4"/>
      <c r="AX2781" s="4"/>
      <c r="AY2781" s="4"/>
      <c r="AZ2781" s="4"/>
      <c r="BA2781" s="4"/>
      <c r="BB2781" s="4"/>
      <c r="BC2781" s="4"/>
      <c r="BD2781" s="4"/>
      <c r="BE2781" s="4"/>
      <c r="BF2781" s="4"/>
      <c r="BG2781" s="4"/>
      <c r="BH2781" s="4"/>
      <c r="BI2781" s="4"/>
      <c r="BJ2781" s="4"/>
      <c r="BK2781" s="4"/>
      <c r="BL2781" s="4"/>
      <c r="BM2781" s="4"/>
      <c r="BN2781" s="4"/>
      <c r="BO2781" s="4"/>
      <c r="BP2781" s="4"/>
      <c r="BQ2781" s="4"/>
      <c r="BR2781" s="4"/>
      <c r="BS2781" s="4"/>
      <c r="BT2781" s="4"/>
      <c r="BU2781" s="4"/>
    </row>
    <row r="2782" spans="29:73" s="1" customFormat="1" x14ac:dyDescent="0.25">
      <c r="AC2782" s="4"/>
      <c r="AD2782" s="4"/>
      <c r="AE2782" s="4"/>
      <c r="AF2782" s="4"/>
      <c r="AG2782" s="4"/>
      <c r="AH2782" s="4"/>
      <c r="AI2782" s="4"/>
      <c r="AJ2782" s="4"/>
      <c r="AK2782" s="4"/>
      <c r="AL2782" s="4"/>
      <c r="AM2782" s="4"/>
      <c r="AN2782" s="4"/>
      <c r="AO2782" s="4"/>
      <c r="AP2782" s="4"/>
      <c r="AQ2782" s="4"/>
      <c r="AR2782" s="4"/>
      <c r="AS2782" s="4"/>
      <c r="AT2782" s="4"/>
      <c r="AU2782" s="4"/>
      <c r="AV2782" s="4"/>
      <c r="AW2782" s="4"/>
      <c r="AX2782" s="4"/>
      <c r="AY2782" s="4"/>
      <c r="AZ2782" s="4"/>
      <c r="BA2782" s="4"/>
      <c r="BB2782" s="4"/>
      <c r="BC2782" s="4"/>
      <c r="BD2782" s="4"/>
      <c r="BE2782" s="4"/>
      <c r="BF2782" s="4"/>
      <c r="BG2782" s="4"/>
      <c r="BH2782" s="4"/>
      <c r="BI2782" s="4"/>
      <c r="BJ2782" s="4"/>
      <c r="BK2782" s="4"/>
      <c r="BL2782" s="4"/>
      <c r="BM2782" s="4"/>
      <c r="BN2782" s="4"/>
      <c r="BO2782" s="4"/>
      <c r="BP2782" s="4"/>
      <c r="BQ2782" s="4"/>
      <c r="BR2782" s="4"/>
      <c r="BS2782" s="4"/>
      <c r="BT2782" s="4"/>
      <c r="BU2782" s="4"/>
    </row>
    <row r="2783" spans="29:73" s="1" customFormat="1" x14ac:dyDescent="0.25">
      <c r="AC2783" s="4"/>
      <c r="AD2783" s="4"/>
      <c r="AE2783" s="4"/>
      <c r="AF2783" s="4"/>
      <c r="AG2783" s="4"/>
      <c r="AH2783" s="4"/>
      <c r="AI2783" s="4"/>
      <c r="AJ2783" s="4"/>
      <c r="AK2783" s="4"/>
      <c r="AL2783" s="4"/>
      <c r="AM2783" s="4"/>
      <c r="AN2783" s="4"/>
      <c r="AO2783" s="4"/>
      <c r="AP2783" s="4"/>
      <c r="AQ2783" s="4"/>
      <c r="AR2783" s="4"/>
      <c r="AS2783" s="4"/>
      <c r="AT2783" s="4"/>
      <c r="AU2783" s="4"/>
      <c r="AV2783" s="4"/>
      <c r="AW2783" s="4"/>
      <c r="AX2783" s="4"/>
      <c r="AY2783" s="4"/>
      <c r="AZ2783" s="4"/>
      <c r="BA2783" s="4"/>
      <c r="BB2783" s="4"/>
      <c r="BC2783" s="4"/>
      <c r="BD2783" s="4"/>
      <c r="BE2783" s="4"/>
      <c r="BF2783" s="4"/>
      <c r="BG2783" s="4"/>
      <c r="BH2783" s="4"/>
      <c r="BI2783" s="4"/>
      <c r="BJ2783" s="4"/>
      <c r="BK2783" s="4"/>
      <c r="BL2783" s="4"/>
      <c r="BM2783" s="4"/>
      <c r="BN2783" s="4"/>
      <c r="BO2783" s="4"/>
      <c r="BP2783" s="4"/>
      <c r="BQ2783" s="4"/>
      <c r="BR2783" s="4"/>
      <c r="BS2783" s="4"/>
      <c r="BT2783" s="4"/>
      <c r="BU2783" s="4"/>
    </row>
    <row r="2784" spans="29:73" s="1" customFormat="1" x14ac:dyDescent="0.25">
      <c r="AC2784" s="4"/>
      <c r="AD2784" s="4"/>
      <c r="AE2784" s="4"/>
      <c r="AF2784" s="4"/>
      <c r="AG2784" s="4"/>
      <c r="AH2784" s="4"/>
      <c r="AI2784" s="4"/>
      <c r="AJ2784" s="4"/>
      <c r="AK2784" s="4"/>
      <c r="AL2784" s="4"/>
      <c r="AM2784" s="4"/>
      <c r="AN2784" s="4"/>
      <c r="AO2784" s="4"/>
      <c r="AP2784" s="4"/>
      <c r="AQ2784" s="4"/>
      <c r="AR2784" s="4"/>
      <c r="AS2784" s="4"/>
      <c r="AT2784" s="4"/>
      <c r="AU2784" s="4"/>
      <c r="AV2784" s="4"/>
      <c r="AW2784" s="4"/>
      <c r="AX2784" s="4"/>
      <c r="AY2784" s="4"/>
      <c r="AZ2784" s="4"/>
      <c r="BA2784" s="4"/>
      <c r="BB2784" s="4"/>
      <c r="BC2784" s="4"/>
      <c r="BD2784" s="4"/>
      <c r="BE2784" s="4"/>
      <c r="BF2784" s="4"/>
      <c r="BG2784" s="4"/>
      <c r="BH2784" s="4"/>
      <c r="BI2784" s="4"/>
      <c r="BJ2784" s="4"/>
      <c r="BK2784" s="4"/>
      <c r="BL2784" s="4"/>
      <c r="BM2784" s="4"/>
      <c r="BN2784" s="4"/>
      <c r="BO2784" s="4"/>
      <c r="BP2784" s="4"/>
      <c r="BQ2784" s="4"/>
      <c r="BR2784" s="4"/>
      <c r="BS2784" s="4"/>
      <c r="BT2784" s="4"/>
      <c r="BU2784" s="4"/>
    </row>
    <row r="2785" spans="29:73" s="1" customFormat="1" x14ac:dyDescent="0.25">
      <c r="AC2785" s="4"/>
      <c r="AD2785" s="4"/>
      <c r="AE2785" s="4"/>
      <c r="AF2785" s="4"/>
      <c r="AG2785" s="4"/>
      <c r="AH2785" s="4"/>
      <c r="AI2785" s="4"/>
      <c r="AJ2785" s="4"/>
      <c r="AK2785" s="4"/>
      <c r="AL2785" s="4"/>
      <c r="AM2785" s="4"/>
      <c r="AN2785" s="4"/>
      <c r="AO2785" s="4"/>
      <c r="AP2785" s="4"/>
      <c r="AQ2785" s="4"/>
      <c r="AR2785" s="4"/>
      <c r="AS2785" s="4"/>
      <c r="AT2785" s="4"/>
      <c r="AU2785" s="4"/>
      <c r="AV2785" s="4"/>
      <c r="AW2785" s="4"/>
      <c r="AX2785" s="4"/>
      <c r="AY2785" s="4"/>
      <c r="AZ2785" s="4"/>
      <c r="BA2785" s="4"/>
      <c r="BB2785" s="4"/>
      <c r="BC2785" s="4"/>
      <c r="BD2785" s="4"/>
      <c r="BE2785" s="4"/>
      <c r="BF2785" s="4"/>
      <c r="BG2785" s="4"/>
      <c r="BH2785" s="4"/>
      <c r="BI2785" s="4"/>
      <c r="BJ2785" s="4"/>
      <c r="BK2785" s="4"/>
      <c r="BL2785" s="4"/>
      <c r="BM2785" s="4"/>
      <c r="BN2785" s="4"/>
      <c r="BO2785" s="4"/>
      <c r="BP2785" s="4"/>
      <c r="BQ2785" s="4"/>
      <c r="BR2785" s="4"/>
      <c r="BS2785" s="4"/>
      <c r="BT2785" s="4"/>
      <c r="BU2785" s="4"/>
    </row>
    <row r="2786" spans="29:73" s="1" customFormat="1" x14ac:dyDescent="0.25">
      <c r="AC2786" s="4"/>
      <c r="AD2786" s="4"/>
      <c r="AE2786" s="4"/>
      <c r="AF2786" s="4"/>
      <c r="AG2786" s="4"/>
      <c r="AH2786" s="4"/>
      <c r="AI2786" s="4"/>
      <c r="AJ2786" s="4"/>
      <c r="AK2786" s="4"/>
      <c r="AL2786" s="4"/>
      <c r="AM2786" s="4"/>
      <c r="AN2786" s="4"/>
      <c r="AO2786" s="4"/>
      <c r="AP2786" s="4"/>
      <c r="AQ2786" s="4"/>
      <c r="AR2786" s="4"/>
      <c r="AS2786" s="4"/>
      <c r="AT2786" s="4"/>
      <c r="AU2786" s="4"/>
      <c r="AV2786" s="4"/>
      <c r="AW2786" s="4"/>
      <c r="AX2786" s="4"/>
      <c r="AY2786" s="4"/>
      <c r="AZ2786" s="4"/>
      <c r="BA2786" s="4"/>
      <c r="BB2786" s="4"/>
      <c r="BC2786" s="4"/>
      <c r="BD2786" s="4"/>
      <c r="BE2786" s="4"/>
      <c r="BF2786" s="4"/>
      <c r="BG2786" s="4"/>
      <c r="BH2786" s="4"/>
      <c r="BI2786" s="4"/>
      <c r="BJ2786" s="4"/>
      <c r="BK2786" s="4"/>
      <c r="BL2786" s="4"/>
      <c r="BM2786" s="4"/>
      <c r="BN2786" s="4"/>
      <c r="BO2786" s="4"/>
      <c r="BP2786" s="4"/>
      <c r="BQ2786" s="4"/>
      <c r="BR2786" s="4"/>
      <c r="BS2786" s="4"/>
      <c r="BT2786" s="4"/>
      <c r="BU2786" s="4"/>
    </row>
    <row r="2787" spans="29:73" s="1" customFormat="1" x14ac:dyDescent="0.25">
      <c r="AC2787" s="4"/>
      <c r="AD2787" s="4"/>
      <c r="AE2787" s="4"/>
      <c r="AF2787" s="4"/>
      <c r="AG2787" s="4"/>
      <c r="AH2787" s="4"/>
      <c r="AI2787" s="4"/>
      <c r="AJ2787" s="4"/>
      <c r="AK2787" s="4"/>
      <c r="AL2787" s="4"/>
      <c r="AM2787" s="4"/>
      <c r="AN2787" s="4"/>
      <c r="AO2787" s="4"/>
      <c r="AP2787" s="4"/>
      <c r="AQ2787" s="4"/>
      <c r="AR2787" s="4"/>
      <c r="AS2787" s="4"/>
      <c r="AT2787" s="4"/>
      <c r="AU2787" s="4"/>
      <c r="AV2787" s="4"/>
      <c r="AW2787" s="4"/>
      <c r="AX2787" s="4"/>
      <c r="AY2787" s="4"/>
      <c r="AZ2787" s="4"/>
      <c r="BA2787" s="4"/>
      <c r="BB2787" s="4"/>
      <c r="BC2787" s="4"/>
      <c r="BD2787" s="4"/>
      <c r="BE2787" s="4"/>
      <c r="BF2787" s="4"/>
      <c r="BG2787" s="4"/>
      <c r="BH2787" s="4"/>
      <c r="BI2787" s="4"/>
      <c r="BJ2787" s="4"/>
      <c r="BK2787" s="4"/>
      <c r="BL2787" s="4"/>
      <c r="BM2787" s="4"/>
      <c r="BN2787" s="4"/>
      <c r="BO2787" s="4"/>
      <c r="BP2787" s="4"/>
      <c r="BQ2787" s="4"/>
      <c r="BR2787" s="4"/>
      <c r="BS2787" s="4"/>
      <c r="BT2787" s="4"/>
      <c r="BU2787" s="4"/>
    </row>
    <row r="2788" spans="29:73" s="1" customFormat="1" x14ac:dyDescent="0.25">
      <c r="AC2788" s="4"/>
      <c r="AD2788" s="4"/>
      <c r="AE2788" s="4"/>
      <c r="AF2788" s="4"/>
      <c r="AG2788" s="4"/>
      <c r="AH2788" s="4"/>
      <c r="AI2788" s="4"/>
      <c r="AJ2788" s="4"/>
      <c r="AK2788" s="4"/>
      <c r="AL2788" s="4"/>
      <c r="AM2788" s="4"/>
      <c r="AN2788" s="4"/>
      <c r="AO2788" s="4"/>
      <c r="AP2788" s="4"/>
      <c r="AQ2788" s="4"/>
      <c r="AR2788" s="4"/>
      <c r="AS2788" s="4"/>
      <c r="AT2788" s="4"/>
      <c r="AU2788" s="4"/>
      <c r="AV2788" s="4"/>
      <c r="AW2788" s="4"/>
      <c r="AX2788" s="4"/>
      <c r="AY2788" s="4"/>
      <c r="AZ2788" s="4"/>
      <c r="BA2788" s="4"/>
      <c r="BB2788" s="4"/>
      <c r="BC2788" s="4"/>
      <c r="BD2788" s="4"/>
      <c r="BE2788" s="4"/>
      <c r="BF2788" s="4"/>
      <c r="BG2788" s="4"/>
      <c r="BH2788" s="4"/>
      <c r="BI2788" s="4"/>
      <c r="BJ2788" s="4"/>
      <c r="BK2788" s="4"/>
      <c r="BL2788" s="4"/>
      <c r="BM2788" s="4"/>
      <c r="BN2788" s="4"/>
      <c r="BO2788" s="4"/>
      <c r="BP2788" s="4"/>
      <c r="BQ2788" s="4"/>
      <c r="BR2788" s="4"/>
      <c r="BS2788" s="4"/>
      <c r="BT2788" s="4"/>
      <c r="BU2788" s="4"/>
    </row>
    <row r="2789" spans="29:73" s="1" customFormat="1" x14ac:dyDescent="0.25">
      <c r="AC2789" s="4"/>
      <c r="AD2789" s="4"/>
      <c r="AE2789" s="4"/>
      <c r="AF2789" s="4"/>
      <c r="AG2789" s="4"/>
      <c r="AH2789" s="4"/>
      <c r="AI2789" s="4"/>
      <c r="AJ2789" s="4"/>
      <c r="AK2789" s="4"/>
      <c r="AL2789" s="4"/>
      <c r="AM2789" s="4"/>
      <c r="AN2789" s="4"/>
      <c r="AO2789" s="4"/>
      <c r="AP2789" s="4"/>
      <c r="AQ2789" s="4"/>
      <c r="AR2789" s="4"/>
      <c r="AS2789" s="4"/>
      <c r="AT2789" s="4"/>
      <c r="AU2789" s="4"/>
      <c r="AV2789" s="4"/>
      <c r="AW2789" s="4"/>
      <c r="AX2789" s="4"/>
      <c r="AY2789" s="4"/>
      <c r="AZ2789" s="4"/>
      <c r="BA2789" s="4"/>
      <c r="BB2789" s="4"/>
      <c r="BC2789" s="4"/>
      <c r="BD2789" s="4"/>
      <c r="BE2789" s="4"/>
      <c r="BF2789" s="4"/>
      <c r="BG2789" s="4"/>
      <c r="BH2789" s="4"/>
      <c r="BI2789" s="4"/>
      <c r="BJ2789" s="4"/>
      <c r="BK2789" s="4"/>
      <c r="BL2789" s="4"/>
      <c r="BM2789" s="4"/>
      <c r="BN2789" s="4"/>
      <c r="BO2789" s="4"/>
      <c r="BP2789" s="4"/>
      <c r="BQ2789" s="4"/>
      <c r="BR2789" s="4"/>
      <c r="BS2789" s="4"/>
      <c r="BT2789" s="4"/>
      <c r="BU2789" s="4"/>
    </row>
    <row r="2790" spans="29:73" s="1" customFormat="1" x14ac:dyDescent="0.25">
      <c r="AC2790" s="4"/>
      <c r="AD2790" s="4"/>
      <c r="AE2790" s="4"/>
      <c r="AF2790" s="4"/>
      <c r="AG2790" s="4"/>
      <c r="AH2790" s="4"/>
      <c r="AI2790" s="4"/>
      <c r="AJ2790" s="4"/>
      <c r="AK2790" s="4"/>
      <c r="AL2790" s="4"/>
      <c r="AM2790" s="4"/>
      <c r="AN2790" s="4"/>
      <c r="AO2790" s="4"/>
      <c r="AP2790" s="4"/>
      <c r="AQ2790" s="4"/>
      <c r="AR2790" s="4"/>
      <c r="AS2790" s="4"/>
      <c r="AT2790" s="4"/>
      <c r="AU2790" s="4"/>
      <c r="AV2790" s="4"/>
      <c r="AW2790" s="4"/>
      <c r="AX2790" s="4"/>
      <c r="AY2790" s="4"/>
      <c r="AZ2790" s="4"/>
      <c r="BA2790" s="4"/>
      <c r="BB2790" s="4"/>
      <c r="BC2790" s="4"/>
      <c r="BD2790" s="4"/>
      <c r="BE2790" s="4"/>
      <c r="BF2790" s="4"/>
      <c r="BG2790" s="4"/>
      <c r="BH2790" s="4"/>
      <c r="BI2790" s="4"/>
      <c r="BJ2790" s="4"/>
      <c r="BK2790" s="4"/>
      <c r="BL2790" s="4"/>
      <c r="BM2790" s="4"/>
      <c r="BN2790" s="4"/>
      <c r="BO2790" s="4"/>
      <c r="BP2790" s="4"/>
      <c r="BQ2790" s="4"/>
      <c r="BR2790" s="4"/>
      <c r="BS2790" s="4"/>
      <c r="BT2790" s="4"/>
      <c r="BU2790" s="4"/>
    </row>
    <row r="2791" spans="29:73" s="1" customFormat="1" x14ac:dyDescent="0.25">
      <c r="AC2791" s="4"/>
      <c r="AD2791" s="4"/>
      <c r="AE2791" s="4"/>
      <c r="AF2791" s="4"/>
      <c r="AG2791" s="4"/>
      <c r="AH2791" s="4"/>
      <c r="AI2791" s="4"/>
      <c r="AJ2791" s="4"/>
      <c r="AK2791" s="4"/>
      <c r="AL2791" s="4"/>
      <c r="AM2791" s="4"/>
      <c r="AN2791" s="4"/>
      <c r="AO2791" s="4"/>
      <c r="AP2791" s="4"/>
      <c r="AQ2791" s="4"/>
      <c r="AR2791" s="4"/>
      <c r="AS2791" s="4"/>
      <c r="AT2791" s="4"/>
      <c r="AU2791" s="4"/>
      <c r="AV2791" s="4"/>
      <c r="AW2791" s="4"/>
      <c r="AX2791" s="4"/>
      <c r="AY2791" s="4"/>
      <c r="AZ2791" s="4"/>
      <c r="BA2791" s="4"/>
      <c r="BB2791" s="4"/>
      <c r="BC2791" s="4"/>
      <c r="BD2791" s="4"/>
      <c r="BE2791" s="4"/>
      <c r="BF2791" s="4"/>
      <c r="BG2791" s="4"/>
      <c r="BH2791" s="4"/>
      <c r="BI2791" s="4"/>
      <c r="BJ2791" s="4"/>
      <c r="BK2791" s="4"/>
      <c r="BL2791" s="4"/>
      <c r="BM2791" s="4"/>
      <c r="BN2791" s="4"/>
      <c r="BO2791" s="4"/>
      <c r="BP2791" s="4"/>
      <c r="BQ2791" s="4"/>
      <c r="BR2791" s="4"/>
      <c r="BS2791" s="4"/>
      <c r="BT2791" s="4"/>
      <c r="BU2791" s="4"/>
    </row>
    <row r="2792" spans="29:73" s="1" customFormat="1" x14ac:dyDescent="0.25">
      <c r="AC2792" s="4"/>
      <c r="AD2792" s="4"/>
      <c r="AE2792" s="4"/>
      <c r="AF2792" s="4"/>
      <c r="AG2792" s="4"/>
      <c r="AH2792" s="4"/>
      <c r="AI2792" s="4"/>
      <c r="AJ2792" s="4"/>
      <c r="AK2792" s="4"/>
      <c r="AL2792" s="4"/>
      <c r="AM2792" s="4"/>
      <c r="AN2792" s="4"/>
      <c r="AO2792" s="4"/>
      <c r="AP2792" s="4"/>
      <c r="AQ2792" s="4"/>
      <c r="AR2792" s="4"/>
      <c r="AS2792" s="4"/>
      <c r="AT2792" s="4"/>
      <c r="AU2792" s="4"/>
      <c r="AV2792" s="4"/>
      <c r="AW2792" s="4"/>
      <c r="AX2792" s="4"/>
      <c r="AY2792" s="4"/>
      <c r="AZ2792" s="4"/>
      <c r="BA2792" s="4"/>
      <c r="BB2792" s="4"/>
      <c r="BC2792" s="4"/>
      <c r="BD2792" s="4"/>
      <c r="BE2792" s="4"/>
      <c r="BF2792" s="4"/>
      <c r="BG2792" s="4"/>
      <c r="BH2792" s="4"/>
      <c r="BI2792" s="4"/>
      <c r="BJ2792" s="4"/>
      <c r="BK2792" s="4"/>
      <c r="BL2792" s="4"/>
      <c r="BM2792" s="4"/>
      <c r="BN2792" s="4"/>
      <c r="BO2792" s="4"/>
      <c r="BP2792" s="4"/>
      <c r="BQ2792" s="4"/>
      <c r="BR2792" s="4"/>
      <c r="BS2792" s="4"/>
      <c r="BT2792" s="4"/>
      <c r="BU2792" s="4"/>
    </row>
    <row r="2793" spans="29:73" s="1" customFormat="1" x14ac:dyDescent="0.25">
      <c r="AC2793" s="4"/>
      <c r="AD2793" s="4"/>
      <c r="AE2793" s="4"/>
      <c r="AF2793" s="4"/>
      <c r="AG2793" s="4"/>
      <c r="AH2793" s="4"/>
      <c r="AI2793" s="4"/>
      <c r="AJ2793" s="4"/>
      <c r="AK2793" s="4"/>
      <c r="AL2793" s="4"/>
      <c r="AM2793" s="4"/>
      <c r="AN2793" s="4"/>
      <c r="AO2793" s="4"/>
      <c r="AP2793" s="4"/>
      <c r="AQ2793" s="4"/>
      <c r="AR2793" s="4"/>
      <c r="AS2793" s="4"/>
      <c r="AT2793" s="4"/>
      <c r="AU2793" s="4"/>
      <c r="AV2793" s="4"/>
      <c r="AW2793" s="4"/>
      <c r="AX2793" s="4"/>
      <c r="AY2793" s="4"/>
      <c r="AZ2793" s="4"/>
      <c r="BA2793" s="4"/>
      <c r="BB2793" s="4"/>
      <c r="BC2793" s="4"/>
      <c r="BD2793" s="4"/>
      <c r="BE2793" s="4"/>
      <c r="BF2793" s="4"/>
      <c r="BG2793" s="4"/>
      <c r="BH2793" s="4"/>
      <c r="BI2793" s="4"/>
      <c r="BJ2793" s="4"/>
      <c r="BK2793" s="4"/>
      <c r="BL2793" s="4"/>
      <c r="BM2793" s="4"/>
      <c r="BN2793" s="4"/>
      <c r="BO2793" s="4"/>
      <c r="BP2793" s="4"/>
      <c r="BQ2793" s="4"/>
      <c r="BR2793" s="4"/>
      <c r="BS2793" s="4"/>
      <c r="BT2793" s="4"/>
      <c r="BU2793" s="4"/>
    </row>
    <row r="2794" spans="29:73" s="1" customFormat="1" x14ac:dyDescent="0.25">
      <c r="AC2794" s="4"/>
      <c r="AD2794" s="4"/>
      <c r="AE2794" s="4"/>
      <c r="AF2794" s="4"/>
      <c r="AG2794" s="4"/>
      <c r="AH2794" s="4"/>
      <c r="AI2794" s="4"/>
      <c r="AJ2794" s="4"/>
      <c r="AK2794" s="4"/>
      <c r="AL2794" s="4"/>
      <c r="AM2794" s="4"/>
      <c r="AN2794" s="4"/>
      <c r="AO2794" s="4"/>
      <c r="AP2794" s="4"/>
      <c r="AQ2794" s="4"/>
      <c r="AR2794" s="4"/>
      <c r="AS2794" s="4"/>
      <c r="AT2794" s="4"/>
      <c r="AU2794" s="4"/>
      <c r="AV2794" s="4"/>
      <c r="AW2794" s="4"/>
      <c r="AX2794" s="4"/>
      <c r="AY2794" s="4"/>
      <c r="AZ2794" s="4"/>
      <c r="BA2794" s="4"/>
      <c r="BB2794" s="4"/>
      <c r="BC2794" s="4"/>
      <c r="BD2794" s="4"/>
      <c r="BE2794" s="4"/>
      <c r="BF2794" s="4"/>
      <c r="BG2794" s="4"/>
      <c r="BH2794" s="4"/>
      <c r="BI2794" s="4"/>
      <c r="BJ2794" s="4"/>
      <c r="BK2794" s="4"/>
      <c r="BL2794" s="4"/>
      <c r="BM2794" s="4"/>
      <c r="BN2794" s="4"/>
      <c r="BO2794" s="4"/>
      <c r="BP2794" s="4"/>
      <c r="BQ2794" s="4"/>
      <c r="BR2794" s="4"/>
      <c r="BS2794" s="4"/>
      <c r="BT2794" s="4"/>
      <c r="BU2794" s="4"/>
    </row>
    <row r="2795" spans="29:73" s="1" customFormat="1" x14ac:dyDescent="0.25">
      <c r="AC2795" s="4"/>
      <c r="AD2795" s="4"/>
      <c r="AE2795" s="4"/>
      <c r="AF2795" s="4"/>
      <c r="AG2795" s="4"/>
      <c r="AH2795" s="4"/>
      <c r="AI2795" s="4"/>
      <c r="AJ2795" s="4"/>
      <c r="AK2795" s="4"/>
      <c r="AL2795" s="4"/>
      <c r="AM2795" s="4"/>
      <c r="AN2795" s="4"/>
      <c r="AO2795" s="4"/>
      <c r="AP2795" s="4"/>
      <c r="AQ2795" s="4"/>
      <c r="AR2795" s="4"/>
      <c r="AS2795" s="4"/>
      <c r="AT2795" s="4"/>
      <c r="AU2795" s="4"/>
      <c r="AV2795" s="4"/>
      <c r="AW2795" s="4"/>
      <c r="AX2795" s="4"/>
      <c r="AY2795" s="4"/>
      <c r="AZ2795" s="4"/>
      <c r="BA2795" s="4"/>
      <c r="BB2795" s="4"/>
      <c r="BC2795" s="4"/>
      <c r="BD2795" s="4"/>
      <c r="BE2795" s="4"/>
      <c r="BF2795" s="4"/>
      <c r="BG2795" s="4"/>
      <c r="BH2795" s="4"/>
      <c r="BI2795" s="4"/>
      <c r="BJ2795" s="4"/>
      <c r="BK2795" s="4"/>
      <c r="BL2795" s="4"/>
      <c r="BM2795" s="4"/>
      <c r="BN2795" s="4"/>
      <c r="BO2795" s="4"/>
      <c r="BP2795" s="4"/>
      <c r="BQ2795" s="4"/>
      <c r="BR2795" s="4"/>
      <c r="BS2795" s="4"/>
      <c r="BT2795" s="4"/>
      <c r="BU2795" s="4"/>
    </row>
    <row r="2796" spans="29:73" s="1" customFormat="1" x14ac:dyDescent="0.25">
      <c r="AC2796" s="4"/>
      <c r="AD2796" s="4"/>
      <c r="AE2796" s="4"/>
      <c r="AF2796" s="4"/>
      <c r="AG2796" s="4"/>
      <c r="AH2796" s="4"/>
      <c r="AI2796" s="4"/>
      <c r="AJ2796" s="4"/>
      <c r="AK2796" s="4"/>
      <c r="AL2796" s="4"/>
      <c r="AM2796" s="4"/>
      <c r="AN2796" s="4"/>
      <c r="AO2796" s="4"/>
      <c r="AP2796" s="4"/>
      <c r="AQ2796" s="4"/>
      <c r="AR2796" s="4"/>
      <c r="AS2796" s="4"/>
      <c r="AT2796" s="4"/>
      <c r="AU2796" s="4"/>
      <c r="AV2796" s="4"/>
      <c r="AW2796" s="4"/>
      <c r="AX2796" s="4"/>
      <c r="AY2796" s="4"/>
      <c r="AZ2796" s="4"/>
      <c r="BA2796" s="4"/>
      <c r="BB2796" s="4"/>
      <c r="BC2796" s="4"/>
      <c r="BD2796" s="4"/>
      <c r="BE2796" s="4"/>
      <c r="BF2796" s="4"/>
      <c r="BG2796" s="4"/>
      <c r="BH2796" s="4"/>
      <c r="BI2796" s="4"/>
      <c r="BJ2796" s="4"/>
      <c r="BK2796" s="4"/>
      <c r="BL2796" s="4"/>
      <c r="BM2796" s="4"/>
      <c r="BN2796" s="4"/>
      <c r="BO2796" s="4"/>
      <c r="BP2796" s="4"/>
      <c r="BQ2796" s="4"/>
      <c r="BR2796" s="4"/>
      <c r="BS2796" s="4"/>
      <c r="BT2796" s="4"/>
      <c r="BU2796" s="4"/>
    </row>
    <row r="2797" spans="29:73" s="1" customFormat="1" x14ac:dyDescent="0.25">
      <c r="AC2797" s="4"/>
      <c r="AD2797" s="4"/>
      <c r="AE2797" s="4"/>
      <c r="AF2797" s="4"/>
      <c r="AG2797" s="4"/>
      <c r="AH2797" s="4"/>
      <c r="AI2797" s="4"/>
      <c r="AJ2797" s="4"/>
      <c r="AK2797" s="4"/>
      <c r="AL2797" s="4"/>
      <c r="AM2797" s="4"/>
      <c r="AN2797" s="4"/>
      <c r="AO2797" s="4"/>
      <c r="AP2797" s="4"/>
      <c r="AQ2797" s="4"/>
      <c r="AR2797" s="4"/>
      <c r="AS2797" s="4"/>
      <c r="AT2797" s="4"/>
      <c r="AU2797" s="4"/>
      <c r="AV2797" s="4"/>
      <c r="AW2797" s="4"/>
      <c r="AX2797" s="4"/>
      <c r="AY2797" s="4"/>
      <c r="AZ2797" s="4"/>
      <c r="BA2797" s="4"/>
      <c r="BB2797" s="4"/>
      <c r="BC2797" s="4"/>
      <c r="BD2797" s="4"/>
      <c r="BE2797" s="4"/>
      <c r="BF2797" s="4"/>
      <c r="BG2797" s="4"/>
      <c r="BH2797" s="4"/>
      <c r="BI2797" s="4"/>
      <c r="BJ2797" s="4"/>
      <c r="BK2797" s="4"/>
      <c r="BL2797" s="4"/>
      <c r="BM2797" s="4"/>
      <c r="BN2797" s="4"/>
      <c r="BO2797" s="4"/>
      <c r="BP2797" s="4"/>
      <c r="BQ2797" s="4"/>
      <c r="BR2797" s="4"/>
      <c r="BS2797" s="4"/>
      <c r="BT2797" s="4"/>
      <c r="BU2797" s="4"/>
    </row>
    <row r="2798" spans="29:73" s="1" customFormat="1" x14ac:dyDescent="0.25">
      <c r="AC2798" s="4"/>
      <c r="AD2798" s="4"/>
      <c r="AE2798" s="4"/>
      <c r="AF2798" s="4"/>
      <c r="AG2798" s="4"/>
      <c r="AH2798" s="4"/>
      <c r="AI2798" s="4"/>
      <c r="AJ2798" s="4"/>
      <c r="AK2798" s="4"/>
      <c r="AL2798" s="4"/>
      <c r="AM2798" s="4"/>
      <c r="AN2798" s="4"/>
      <c r="AO2798" s="4"/>
      <c r="AP2798" s="4"/>
      <c r="AQ2798" s="4"/>
      <c r="AR2798" s="4"/>
      <c r="AS2798" s="4"/>
      <c r="AT2798" s="4"/>
      <c r="AU2798" s="4"/>
      <c r="AV2798" s="4"/>
      <c r="AW2798" s="4"/>
      <c r="AX2798" s="4"/>
      <c r="AY2798" s="4"/>
      <c r="AZ2798" s="4"/>
      <c r="BA2798" s="4"/>
      <c r="BB2798" s="4"/>
      <c r="BC2798" s="4"/>
      <c r="BD2798" s="4"/>
      <c r="BE2798" s="4"/>
      <c r="BF2798" s="4"/>
      <c r="BG2798" s="4"/>
      <c r="BH2798" s="4"/>
      <c r="BI2798" s="4"/>
      <c r="BJ2798" s="4"/>
      <c r="BK2798" s="4"/>
      <c r="BL2798" s="4"/>
      <c r="BM2798" s="4"/>
      <c r="BN2798" s="4"/>
      <c r="BO2798" s="4"/>
      <c r="BP2798" s="4"/>
      <c r="BQ2798" s="4"/>
      <c r="BR2798" s="4"/>
      <c r="BS2798" s="4"/>
      <c r="BT2798" s="4"/>
      <c r="BU2798" s="4"/>
    </row>
    <row r="2799" spans="29:73" s="1" customFormat="1" x14ac:dyDescent="0.25">
      <c r="AC2799" s="4"/>
      <c r="AD2799" s="4"/>
      <c r="AE2799" s="4"/>
      <c r="AF2799" s="4"/>
      <c r="AG2799" s="4"/>
      <c r="AH2799" s="4"/>
      <c r="AI2799" s="4"/>
      <c r="AJ2799" s="4"/>
      <c r="AK2799" s="4"/>
      <c r="AL2799" s="4"/>
      <c r="AM2799" s="4"/>
      <c r="AN2799" s="4"/>
      <c r="AO2799" s="4"/>
      <c r="AP2799" s="4"/>
      <c r="AQ2799" s="4"/>
      <c r="AR2799" s="4"/>
      <c r="AS2799" s="4"/>
      <c r="AT2799" s="4"/>
      <c r="AU2799" s="4"/>
      <c r="AV2799" s="4"/>
      <c r="AW2799" s="4"/>
      <c r="AX2799" s="4"/>
      <c r="AY2799" s="4"/>
      <c r="AZ2799" s="4"/>
      <c r="BA2799" s="4"/>
      <c r="BB2799" s="4"/>
      <c r="BC2799" s="4"/>
      <c r="BD2799" s="4"/>
      <c r="BE2799" s="4"/>
      <c r="BF2799" s="4"/>
      <c r="BG2799" s="4"/>
      <c r="BH2799" s="4"/>
      <c r="BI2799" s="4"/>
      <c r="BJ2799" s="4"/>
      <c r="BK2799" s="4"/>
      <c r="BL2799" s="4"/>
      <c r="BM2799" s="4"/>
      <c r="BN2799" s="4"/>
      <c r="BO2799" s="4"/>
      <c r="BP2799" s="4"/>
      <c r="BQ2799" s="4"/>
      <c r="BR2799" s="4"/>
      <c r="BS2799" s="4"/>
      <c r="BT2799" s="4"/>
      <c r="BU2799" s="4"/>
    </row>
    <row r="2800" spans="29:73" s="1" customFormat="1" x14ac:dyDescent="0.25">
      <c r="AC2800" s="4"/>
      <c r="AD2800" s="4"/>
      <c r="AE2800" s="4"/>
      <c r="AF2800" s="4"/>
      <c r="AG2800" s="4"/>
      <c r="AH2800" s="4"/>
      <c r="AI2800" s="4"/>
      <c r="AJ2800" s="4"/>
      <c r="AK2800" s="4"/>
      <c r="AL2800" s="4"/>
      <c r="AM2800" s="4"/>
      <c r="AN2800" s="4"/>
      <c r="AO2800" s="4"/>
      <c r="AP2800" s="4"/>
      <c r="AQ2800" s="4"/>
      <c r="AR2800" s="4"/>
      <c r="AS2800" s="4"/>
      <c r="AT2800" s="4"/>
      <c r="AU2800" s="4"/>
      <c r="AV2800" s="4"/>
      <c r="AW2800" s="4"/>
      <c r="AX2800" s="4"/>
      <c r="AY2800" s="4"/>
      <c r="AZ2800" s="4"/>
      <c r="BA2800" s="4"/>
      <c r="BB2800" s="4"/>
      <c r="BC2800" s="4"/>
      <c r="BD2800" s="4"/>
      <c r="BE2800" s="4"/>
      <c r="BF2800" s="4"/>
      <c r="BG2800" s="4"/>
      <c r="BH2800" s="4"/>
      <c r="BI2800" s="4"/>
      <c r="BJ2800" s="4"/>
      <c r="BK2800" s="4"/>
      <c r="BL2800" s="4"/>
      <c r="BM2800" s="4"/>
      <c r="BN2800" s="4"/>
      <c r="BO2800" s="4"/>
      <c r="BP2800" s="4"/>
      <c r="BQ2800" s="4"/>
      <c r="BR2800" s="4"/>
      <c r="BS2800" s="4"/>
      <c r="BT2800" s="4"/>
      <c r="BU2800" s="4"/>
    </row>
    <row r="2801" spans="29:73" s="1" customFormat="1" x14ac:dyDescent="0.25">
      <c r="AC2801" s="4"/>
      <c r="AD2801" s="4"/>
      <c r="AE2801" s="4"/>
      <c r="AF2801" s="4"/>
      <c r="AG2801" s="4"/>
      <c r="AH2801" s="4"/>
      <c r="AI2801" s="4"/>
      <c r="AJ2801" s="4"/>
      <c r="AK2801" s="4"/>
      <c r="AL2801" s="4"/>
      <c r="AM2801" s="4"/>
      <c r="AN2801" s="4"/>
      <c r="AO2801" s="4"/>
      <c r="AP2801" s="4"/>
      <c r="AQ2801" s="4"/>
      <c r="AR2801" s="4"/>
      <c r="AS2801" s="4"/>
      <c r="AT2801" s="4"/>
      <c r="AU2801" s="4"/>
      <c r="AV2801" s="4"/>
      <c r="AW2801" s="4"/>
      <c r="AX2801" s="4"/>
      <c r="AY2801" s="4"/>
      <c r="AZ2801" s="4"/>
      <c r="BA2801" s="4"/>
      <c r="BB2801" s="4"/>
      <c r="BC2801" s="4"/>
      <c r="BD2801" s="4"/>
      <c r="BE2801" s="4"/>
      <c r="BF2801" s="4"/>
      <c r="BG2801" s="4"/>
      <c r="BH2801" s="4"/>
      <c r="BI2801" s="4"/>
      <c r="BJ2801" s="4"/>
      <c r="BK2801" s="4"/>
      <c r="BL2801" s="4"/>
      <c r="BM2801" s="4"/>
      <c r="BN2801" s="4"/>
      <c r="BO2801" s="4"/>
      <c r="BP2801" s="4"/>
      <c r="BQ2801" s="4"/>
      <c r="BR2801" s="4"/>
      <c r="BS2801" s="4"/>
      <c r="BT2801" s="4"/>
      <c r="BU2801" s="4"/>
    </row>
    <row r="2802" spans="29:73" s="1" customFormat="1" x14ac:dyDescent="0.25">
      <c r="AC2802" s="4"/>
      <c r="AD2802" s="4"/>
      <c r="AE2802" s="4"/>
      <c r="AF2802" s="4"/>
      <c r="AG2802" s="4"/>
      <c r="AH2802" s="4"/>
      <c r="AI2802" s="4"/>
      <c r="AJ2802" s="4"/>
      <c r="AK2802" s="4"/>
      <c r="AL2802" s="4"/>
      <c r="AM2802" s="4"/>
      <c r="AN2802" s="4"/>
      <c r="AO2802" s="4"/>
      <c r="AP2802" s="4"/>
      <c r="AQ2802" s="4"/>
      <c r="AR2802" s="4"/>
      <c r="AS2802" s="4"/>
      <c r="AT2802" s="4"/>
      <c r="AU2802" s="4"/>
      <c r="AV2802" s="4"/>
      <c r="AW2802" s="4"/>
      <c r="AX2802" s="4"/>
      <c r="AY2802" s="4"/>
      <c r="AZ2802" s="4"/>
      <c r="BA2802" s="4"/>
      <c r="BB2802" s="4"/>
      <c r="BC2802" s="4"/>
      <c r="BD2802" s="4"/>
      <c r="BE2802" s="4"/>
      <c r="BF2802" s="4"/>
      <c r="BG2802" s="4"/>
      <c r="BH2802" s="4"/>
      <c r="BI2802" s="4"/>
      <c r="BJ2802" s="4"/>
      <c r="BK2802" s="4"/>
      <c r="BL2802" s="4"/>
      <c r="BM2802" s="4"/>
      <c r="BN2802" s="4"/>
      <c r="BO2802" s="4"/>
      <c r="BP2802" s="4"/>
      <c r="BQ2802" s="4"/>
      <c r="BR2802" s="4"/>
      <c r="BS2802" s="4"/>
      <c r="BT2802" s="4"/>
      <c r="BU2802" s="4"/>
    </row>
    <row r="2803" spans="29:73" s="1" customFormat="1" x14ac:dyDescent="0.25">
      <c r="AC2803" s="4"/>
      <c r="AD2803" s="4"/>
      <c r="AE2803" s="4"/>
      <c r="AF2803" s="4"/>
      <c r="AG2803" s="4"/>
      <c r="AH2803" s="4"/>
      <c r="AI2803" s="4"/>
      <c r="AJ2803" s="4"/>
      <c r="AK2803" s="4"/>
      <c r="AL2803" s="4"/>
      <c r="AM2803" s="4"/>
      <c r="AN2803" s="4"/>
      <c r="AO2803" s="4"/>
      <c r="AP2803" s="4"/>
      <c r="AQ2803" s="4"/>
      <c r="AR2803" s="4"/>
      <c r="AS2803" s="4"/>
      <c r="AT2803" s="4"/>
      <c r="AU2803" s="4"/>
      <c r="AV2803" s="4"/>
      <c r="AW2803" s="4"/>
      <c r="AX2803" s="4"/>
      <c r="AY2803" s="4"/>
      <c r="AZ2803" s="4"/>
      <c r="BA2803" s="4"/>
      <c r="BB2803" s="4"/>
      <c r="BC2803" s="4"/>
      <c r="BD2803" s="4"/>
      <c r="BE2803" s="4"/>
      <c r="BF2803" s="4"/>
      <c r="BG2803" s="4"/>
      <c r="BH2803" s="4"/>
      <c r="BI2803" s="4"/>
      <c r="BJ2803" s="4"/>
      <c r="BK2803" s="4"/>
      <c r="BL2803" s="4"/>
      <c r="BM2803" s="4"/>
      <c r="BN2803" s="4"/>
      <c r="BO2803" s="4"/>
      <c r="BP2803" s="4"/>
      <c r="BQ2803" s="4"/>
      <c r="BR2803" s="4"/>
      <c r="BS2803" s="4"/>
      <c r="BT2803" s="4"/>
      <c r="BU2803" s="4"/>
    </row>
    <row r="2804" spans="29:73" s="1" customFormat="1" x14ac:dyDescent="0.25">
      <c r="AC2804" s="4"/>
      <c r="AD2804" s="4"/>
      <c r="AE2804" s="4"/>
      <c r="AF2804" s="4"/>
      <c r="AG2804" s="4"/>
      <c r="AH2804" s="4"/>
      <c r="AI2804" s="4"/>
      <c r="AJ2804" s="4"/>
      <c r="AK2804" s="4"/>
      <c r="AL2804" s="4"/>
      <c r="AM2804" s="4"/>
      <c r="AN2804" s="4"/>
      <c r="AO2804" s="4"/>
      <c r="AP2804" s="4"/>
      <c r="AQ2804" s="4"/>
      <c r="AR2804" s="4"/>
      <c r="AS2804" s="4"/>
      <c r="AT2804" s="4"/>
      <c r="AU2804" s="4"/>
      <c r="AV2804" s="4"/>
      <c r="AW2804" s="4"/>
      <c r="AX2804" s="4"/>
      <c r="AY2804" s="4"/>
      <c r="AZ2804" s="4"/>
      <c r="BA2804" s="4"/>
      <c r="BB2804" s="4"/>
      <c r="BC2804" s="4"/>
      <c r="BD2804" s="4"/>
      <c r="BE2804" s="4"/>
      <c r="BF2804" s="4"/>
      <c r="BG2804" s="4"/>
      <c r="BH2804" s="4"/>
      <c r="BI2804" s="4"/>
      <c r="BJ2804" s="4"/>
      <c r="BK2804" s="4"/>
      <c r="BL2804" s="4"/>
      <c r="BM2804" s="4"/>
      <c r="BN2804" s="4"/>
      <c r="BO2804" s="4"/>
      <c r="BP2804" s="4"/>
      <c r="BQ2804" s="4"/>
      <c r="BR2804" s="4"/>
      <c r="BS2804" s="4"/>
      <c r="BT2804" s="4"/>
      <c r="BU2804" s="4"/>
    </row>
    <row r="2805" spans="29:73" s="1" customFormat="1" x14ac:dyDescent="0.25">
      <c r="AC2805" s="4"/>
      <c r="AD2805" s="4"/>
      <c r="AE2805" s="4"/>
      <c r="AF2805" s="4"/>
      <c r="AG2805" s="4"/>
      <c r="AH2805" s="4"/>
      <c r="AI2805" s="4"/>
      <c r="AJ2805" s="4"/>
      <c r="AK2805" s="4"/>
      <c r="AL2805" s="4"/>
      <c r="AM2805" s="4"/>
      <c r="AN2805" s="4"/>
      <c r="AO2805" s="4"/>
      <c r="AP2805" s="4"/>
      <c r="AQ2805" s="4"/>
      <c r="AR2805" s="4"/>
      <c r="AS2805" s="4"/>
      <c r="AT2805" s="4"/>
      <c r="AU2805" s="4"/>
      <c r="AV2805" s="4"/>
      <c r="AW2805" s="4"/>
      <c r="AX2805" s="4"/>
      <c r="AY2805" s="4"/>
      <c r="AZ2805" s="4"/>
      <c r="BA2805" s="4"/>
      <c r="BB2805" s="4"/>
      <c r="BC2805" s="4"/>
      <c r="BD2805" s="4"/>
      <c r="BE2805" s="4"/>
      <c r="BF2805" s="4"/>
      <c r="BG2805" s="4"/>
      <c r="BH2805" s="4"/>
      <c r="BI2805" s="4"/>
      <c r="BJ2805" s="4"/>
      <c r="BK2805" s="4"/>
      <c r="BL2805" s="4"/>
      <c r="BM2805" s="4"/>
      <c r="BN2805" s="4"/>
      <c r="BO2805" s="4"/>
      <c r="BP2805" s="4"/>
      <c r="BQ2805" s="4"/>
      <c r="BR2805" s="4"/>
      <c r="BS2805" s="4"/>
      <c r="BT2805" s="4"/>
      <c r="BU2805" s="4"/>
    </row>
    <row r="2806" spans="29:73" s="1" customFormat="1" x14ac:dyDescent="0.25">
      <c r="AC2806" s="4"/>
      <c r="AD2806" s="4"/>
      <c r="AE2806" s="4"/>
      <c r="AF2806" s="4"/>
      <c r="AG2806" s="4"/>
      <c r="AH2806" s="4"/>
      <c r="AI2806" s="4"/>
      <c r="AJ2806" s="4"/>
      <c r="AK2806" s="4"/>
      <c r="AL2806" s="4"/>
      <c r="AM2806" s="4"/>
      <c r="AN2806" s="4"/>
      <c r="AO2806" s="4"/>
      <c r="AP2806" s="4"/>
      <c r="AQ2806" s="4"/>
      <c r="AR2806" s="4"/>
      <c r="AS2806" s="4"/>
      <c r="AT2806" s="4"/>
      <c r="AU2806" s="4"/>
      <c r="AV2806" s="4"/>
      <c r="AW2806" s="4"/>
      <c r="AX2806" s="4"/>
      <c r="AY2806" s="4"/>
      <c r="AZ2806" s="4"/>
      <c r="BA2806" s="4"/>
      <c r="BB2806" s="4"/>
      <c r="BC2806" s="4"/>
      <c r="BD2806" s="4"/>
      <c r="BE2806" s="4"/>
      <c r="BF2806" s="4"/>
      <c r="BG2806" s="4"/>
      <c r="BH2806" s="4"/>
      <c r="BI2806" s="4"/>
      <c r="BJ2806" s="4"/>
      <c r="BK2806" s="4"/>
      <c r="BL2806" s="4"/>
      <c r="BM2806" s="4"/>
      <c r="BN2806" s="4"/>
      <c r="BO2806" s="4"/>
      <c r="BP2806" s="4"/>
      <c r="BQ2806" s="4"/>
      <c r="BR2806" s="4"/>
      <c r="BS2806" s="4"/>
      <c r="BT2806" s="4"/>
      <c r="BU2806" s="4"/>
    </row>
    <row r="2807" spans="29:73" s="1" customFormat="1" x14ac:dyDescent="0.25">
      <c r="AC2807" s="4"/>
      <c r="AD2807" s="4"/>
      <c r="AE2807" s="4"/>
      <c r="AF2807" s="4"/>
      <c r="AG2807" s="4"/>
      <c r="AH2807" s="4"/>
      <c r="AI2807" s="4"/>
      <c r="AJ2807" s="4"/>
      <c r="AK2807" s="4"/>
      <c r="AL2807" s="4"/>
      <c r="AM2807" s="4"/>
      <c r="AN2807" s="4"/>
      <c r="AO2807" s="4"/>
      <c r="AP2807" s="4"/>
      <c r="AQ2807" s="4"/>
      <c r="AR2807" s="4"/>
      <c r="AS2807" s="4"/>
      <c r="AT2807" s="4"/>
      <c r="AU2807" s="4"/>
      <c r="AV2807" s="4"/>
      <c r="AW2807" s="4"/>
      <c r="AX2807" s="4"/>
      <c r="AY2807" s="4"/>
      <c r="AZ2807" s="4"/>
      <c r="BA2807" s="4"/>
      <c r="BB2807" s="4"/>
      <c r="BC2807" s="4"/>
      <c r="BD2807" s="4"/>
      <c r="BE2807" s="4"/>
      <c r="BF2807" s="4"/>
      <c r="BG2807" s="4"/>
      <c r="BH2807" s="4"/>
      <c r="BI2807" s="4"/>
      <c r="BJ2807" s="4"/>
      <c r="BK2807" s="4"/>
      <c r="BL2807" s="4"/>
      <c r="BM2807" s="4"/>
      <c r="BN2807" s="4"/>
      <c r="BO2807" s="4"/>
      <c r="BP2807" s="4"/>
      <c r="BQ2807" s="4"/>
      <c r="BR2807" s="4"/>
      <c r="BS2807" s="4"/>
      <c r="BT2807" s="4"/>
      <c r="BU2807" s="4"/>
    </row>
    <row r="2808" spans="29:73" s="1" customFormat="1" x14ac:dyDescent="0.25">
      <c r="AC2808" s="4"/>
      <c r="AD2808" s="4"/>
      <c r="AE2808" s="4"/>
      <c r="AF2808" s="4"/>
      <c r="AG2808" s="4"/>
      <c r="AH2808" s="4"/>
      <c r="AI2808" s="4"/>
      <c r="AJ2808" s="4"/>
      <c r="AK2808" s="4"/>
      <c r="AL2808" s="4"/>
      <c r="AM2808" s="4"/>
      <c r="AN2808" s="4"/>
      <c r="AO2808" s="4"/>
      <c r="AP2808" s="4"/>
      <c r="AQ2808" s="4"/>
      <c r="AR2808" s="4"/>
      <c r="AS2808" s="4"/>
      <c r="AT2808" s="4"/>
      <c r="AU2808" s="4"/>
      <c r="AV2808" s="4"/>
      <c r="AW2808" s="4"/>
      <c r="AX2808" s="4"/>
      <c r="AY2808" s="4"/>
      <c r="AZ2808" s="4"/>
      <c r="BA2808" s="4"/>
      <c r="BB2808" s="4"/>
      <c r="BC2808" s="4"/>
      <c r="BD2808" s="4"/>
      <c r="BE2808" s="4"/>
      <c r="BF2808" s="4"/>
      <c r="BG2808" s="4"/>
      <c r="BH2808" s="4"/>
      <c r="BI2808" s="4"/>
      <c r="BJ2808" s="4"/>
      <c r="BK2808" s="4"/>
      <c r="BL2808" s="4"/>
      <c r="BM2808" s="4"/>
      <c r="BN2808" s="4"/>
      <c r="BO2808" s="4"/>
      <c r="BP2808" s="4"/>
      <c r="BQ2808" s="4"/>
      <c r="BR2808" s="4"/>
      <c r="BS2808" s="4"/>
      <c r="BT2808" s="4"/>
      <c r="BU2808" s="4"/>
    </row>
    <row r="2809" spans="29:73" s="1" customFormat="1" x14ac:dyDescent="0.25">
      <c r="AC2809" s="4"/>
      <c r="AD2809" s="4"/>
      <c r="AE2809" s="4"/>
      <c r="AF2809" s="4"/>
      <c r="AG2809" s="4"/>
      <c r="AH2809" s="4"/>
      <c r="AI2809" s="4"/>
      <c r="AJ2809" s="4"/>
      <c r="AK2809" s="4"/>
      <c r="AL2809" s="4"/>
      <c r="AM2809" s="4"/>
      <c r="AN2809" s="4"/>
      <c r="AO2809" s="4"/>
      <c r="AP2809" s="4"/>
      <c r="AQ2809" s="4"/>
      <c r="AR2809" s="4"/>
      <c r="AS2809" s="4"/>
      <c r="AT2809" s="4"/>
      <c r="AU2809" s="4"/>
      <c r="AV2809" s="4"/>
      <c r="AW2809" s="4"/>
      <c r="AX2809" s="4"/>
      <c r="AY2809" s="4"/>
      <c r="AZ2809" s="4"/>
      <c r="BA2809" s="4"/>
      <c r="BB2809" s="4"/>
      <c r="BC2809" s="4"/>
      <c r="BD2809" s="4"/>
      <c r="BE2809" s="4"/>
      <c r="BF2809" s="4"/>
      <c r="BG2809" s="4"/>
      <c r="BH2809" s="4"/>
      <c r="BI2809" s="4"/>
      <c r="BJ2809" s="4"/>
      <c r="BK2809" s="4"/>
      <c r="BL2809" s="4"/>
      <c r="BM2809" s="4"/>
      <c r="BN2809" s="4"/>
      <c r="BO2809" s="4"/>
      <c r="BP2809" s="4"/>
      <c r="BQ2809" s="4"/>
      <c r="BR2809" s="4"/>
      <c r="BS2809" s="4"/>
      <c r="BT2809" s="4"/>
      <c r="BU2809" s="4"/>
    </row>
    <row r="2810" spans="29:73" s="1" customFormat="1" x14ac:dyDescent="0.25">
      <c r="AC2810" s="4"/>
      <c r="AD2810" s="4"/>
      <c r="AE2810" s="4"/>
      <c r="AF2810" s="4"/>
      <c r="AG2810" s="4"/>
      <c r="AH2810" s="4"/>
      <c r="AI2810" s="4"/>
      <c r="AJ2810" s="4"/>
      <c r="AK2810" s="4"/>
      <c r="AL2810" s="4"/>
      <c r="AM2810" s="4"/>
      <c r="AN2810" s="4"/>
      <c r="AO2810" s="4"/>
      <c r="AP2810" s="4"/>
      <c r="AQ2810" s="4"/>
      <c r="AR2810" s="4"/>
      <c r="AS2810" s="4"/>
      <c r="AT2810" s="4"/>
      <c r="AU2810" s="4"/>
      <c r="AV2810" s="4"/>
      <c r="AW2810" s="4"/>
      <c r="AX2810" s="4"/>
      <c r="AY2810" s="4"/>
      <c r="AZ2810" s="4"/>
      <c r="BA2810" s="4"/>
      <c r="BB2810" s="4"/>
      <c r="BC2810" s="4"/>
      <c r="BD2810" s="4"/>
      <c r="BE2810" s="4"/>
      <c r="BF2810" s="4"/>
      <c r="BG2810" s="4"/>
      <c r="BH2810" s="4"/>
      <c r="BI2810" s="4"/>
      <c r="BJ2810" s="4"/>
      <c r="BK2810" s="4"/>
      <c r="BL2810" s="4"/>
      <c r="BM2810" s="4"/>
      <c r="BN2810" s="4"/>
      <c r="BO2810" s="4"/>
      <c r="BP2810" s="4"/>
      <c r="BQ2810" s="4"/>
      <c r="BR2810" s="4"/>
      <c r="BS2810" s="4"/>
      <c r="BT2810" s="4"/>
      <c r="BU2810" s="4"/>
    </row>
    <row r="2811" spans="29:73" s="1" customFormat="1" x14ac:dyDescent="0.25">
      <c r="AC2811" s="4"/>
      <c r="AD2811" s="4"/>
      <c r="AE2811" s="4"/>
      <c r="AF2811" s="4"/>
      <c r="AG2811" s="4"/>
      <c r="AH2811" s="4"/>
      <c r="AI2811" s="4"/>
      <c r="AJ2811" s="4"/>
      <c r="AK2811" s="4"/>
      <c r="AL2811" s="4"/>
      <c r="AM2811" s="4"/>
      <c r="AN2811" s="4"/>
      <c r="AO2811" s="4"/>
      <c r="AP2811" s="4"/>
      <c r="AQ2811" s="4"/>
      <c r="AR2811" s="4"/>
      <c r="AS2811" s="4"/>
      <c r="AT2811" s="4"/>
      <c r="AU2811" s="4"/>
      <c r="AV2811" s="4"/>
      <c r="AW2811" s="4"/>
      <c r="AX2811" s="4"/>
      <c r="AY2811" s="4"/>
      <c r="AZ2811" s="4"/>
      <c r="BA2811" s="4"/>
      <c r="BB2811" s="4"/>
      <c r="BC2811" s="4"/>
      <c r="BD2811" s="4"/>
      <c r="BE2811" s="4"/>
      <c r="BF2811" s="4"/>
      <c r="BG2811" s="4"/>
      <c r="BH2811" s="4"/>
      <c r="BI2811" s="4"/>
      <c r="BJ2811" s="4"/>
      <c r="BK2811" s="4"/>
      <c r="BL2811" s="4"/>
      <c r="BM2811" s="4"/>
      <c r="BN2811" s="4"/>
      <c r="BO2811" s="4"/>
      <c r="BP2811" s="4"/>
      <c r="BQ2811" s="4"/>
      <c r="BR2811" s="4"/>
      <c r="BS2811" s="4"/>
      <c r="BT2811" s="4"/>
      <c r="BU2811" s="4"/>
    </row>
    <row r="2812" spans="29:73" s="1" customFormat="1" x14ac:dyDescent="0.25">
      <c r="AC2812" s="4"/>
      <c r="AD2812" s="4"/>
      <c r="AE2812" s="4"/>
      <c r="AF2812" s="4"/>
      <c r="AG2812" s="4"/>
      <c r="AH2812" s="4"/>
      <c r="AI2812" s="4"/>
      <c r="AJ2812" s="4"/>
      <c r="AK2812" s="4"/>
      <c r="AL2812" s="4"/>
      <c r="AM2812" s="4"/>
      <c r="AN2812" s="4"/>
      <c r="AO2812" s="4"/>
      <c r="AP2812" s="4"/>
      <c r="AQ2812" s="4"/>
      <c r="AR2812" s="4"/>
      <c r="AS2812" s="4"/>
      <c r="AT2812" s="4"/>
      <c r="AU2812" s="4"/>
      <c r="AV2812" s="4"/>
      <c r="AW2812" s="4"/>
      <c r="AX2812" s="4"/>
      <c r="AY2812" s="4"/>
      <c r="AZ2812" s="4"/>
      <c r="BA2812" s="4"/>
      <c r="BB2812" s="4"/>
      <c r="BC2812" s="4"/>
      <c r="BD2812" s="4"/>
      <c r="BE2812" s="4"/>
      <c r="BF2812" s="4"/>
      <c r="BG2812" s="4"/>
      <c r="BH2812" s="4"/>
      <c r="BI2812" s="4"/>
      <c r="BJ2812" s="4"/>
      <c r="BK2812" s="4"/>
      <c r="BL2812" s="4"/>
      <c r="BM2812" s="4"/>
      <c r="BN2812" s="4"/>
      <c r="BO2812" s="4"/>
      <c r="BP2812" s="4"/>
      <c r="BQ2812" s="4"/>
      <c r="BR2812" s="4"/>
      <c r="BS2812" s="4"/>
      <c r="BT2812" s="4"/>
      <c r="BU2812" s="4"/>
    </row>
    <row r="2813" spans="29:73" s="1" customFormat="1" x14ac:dyDescent="0.25">
      <c r="AC2813" s="4"/>
      <c r="AD2813" s="4"/>
      <c r="AE2813" s="4"/>
      <c r="AF2813" s="4"/>
      <c r="AG2813" s="4"/>
      <c r="AH2813" s="4"/>
      <c r="AI2813" s="4"/>
      <c r="AJ2813" s="4"/>
      <c r="AK2813" s="4"/>
      <c r="AL2813" s="4"/>
      <c r="AM2813" s="4"/>
      <c r="AN2813" s="4"/>
      <c r="AO2813" s="4"/>
      <c r="AP2813" s="4"/>
      <c r="AQ2813" s="4"/>
      <c r="AR2813" s="4"/>
      <c r="AS2813" s="4"/>
      <c r="AT2813" s="4"/>
      <c r="AU2813" s="4"/>
      <c r="AV2813" s="4"/>
      <c r="AW2813" s="4"/>
      <c r="AX2813" s="4"/>
      <c r="AY2813" s="4"/>
      <c r="AZ2813" s="4"/>
      <c r="BA2813" s="4"/>
      <c r="BB2813" s="4"/>
      <c r="BC2813" s="4"/>
      <c r="BD2813" s="4"/>
      <c r="BE2813" s="4"/>
      <c r="BF2813" s="4"/>
      <c r="BG2813" s="4"/>
      <c r="BH2813" s="4"/>
      <c r="BI2813" s="4"/>
      <c r="BJ2813" s="4"/>
      <c r="BK2813" s="4"/>
      <c r="BL2813" s="4"/>
      <c r="BM2813" s="4"/>
      <c r="BN2813" s="4"/>
      <c r="BO2813" s="4"/>
      <c r="BP2813" s="4"/>
      <c r="BQ2813" s="4"/>
      <c r="BR2813" s="4"/>
      <c r="BS2813" s="4"/>
      <c r="BT2813" s="4"/>
      <c r="BU2813" s="4"/>
    </row>
    <row r="2814" spans="29:73" s="1" customFormat="1" x14ac:dyDescent="0.25">
      <c r="AC2814" s="4"/>
      <c r="AD2814" s="4"/>
      <c r="AE2814" s="4"/>
      <c r="AF2814" s="4"/>
      <c r="AG2814" s="4"/>
      <c r="AH2814" s="4"/>
      <c r="AI2814" s="4"/>
      <c r="AJ2814" s="4"/>
      <c r="AK2814" s="4"/>
      <c r="AL2814" s="4"/>
      <c r="AM2814" s="4"/>
      <c r="AN2814" s="4"/>
      <c r="AO2814" s="4"/>
      <c r="AP2814" s="4"/>
      <c r="AQ2814" s="4"/>
      <c r="AR2814" s="4"/>
      <c r="AS2814" s="4"/>
      <c r="AT2814" s="4"/>
      <c r="AU2814" s="4"/>
      <c r="AV2814" s="4"/>
      <c r="AW2814" s="4"/>
      <c r="AX2814" s="4"/>
      <c r="AY2814" s="4"/>
      <c r="AZ2814" s="4"/>
      <c r="BA2814" s="4"/>
      <c r="BB2814" s="4"/>
      <c r="BC2814" s="4"/>
      <c r="BD2814" s="4"/>
      <c r="BE2814" s="4"/>
      <c r="BF2814" s="4"/>
      <c r="BG2814" s="4"/>
      <c r="BH2814" s="4"/>
      <c r="BI2814" s="4"/>
      <c r="BJ2814" s="4"/>
      <c r="BK2814" s="4"/>
      <c r="BL2814" s="4"/>
      <c r="BM2814" s="4"/>
      <c r="BN2814" s="4"/>
      <c r="BO2814" s="4"/>
      <c r="BP2814" s="4"/>
      <c r="BQ2814" s="4"/>
      <c r="BR2814" s="4"/>
      <c r="BS2814" s="4"/>
      <c r="BT2814" s="4"/>
      <c r="BU2814" s="4"/>
    </row>
    <row r="2815" spans="29:73" s="1" customFormat="1" x14ac:dyDescent="0.25">
      <c r="AC2815" s="4"/>
      <c r="AD2815" s="4"/>
      <c r="AE2815" s="4"/>
      <c r="AF2815" s="4"/>
      <c r="AG2815" s="4"/>
      <c r="AH2815" s="4"/>
      <c r="AI2815" s="4"/>
      <c r="AJ2815" s="4"/>
      <c r="AK2815" s="4"/>
      <c r="AL2815" s="4"/>
      <c r="AM2815" s="4"/>
      <c r="AN2815" s="4"/>
      <c r="AO2815" s="4"/>
      <c r="AP2815" s="4"/>
      <c r="AQ2815" s="4"/>
      <c r="AR2815" s="4"/>
      <c r="AS2815" s="4"/>
      <c r="AT2815" s="4"/>
      <c r="AU2815" s="4"/>
      <c r="AV2815" s="4"/>
      <c r="AW2815" s="4"/>
      <c r="AX2815" s="4"/>
      <c r="AY2815" s="4"/>
      <c r="AZ2815" s="4"/>
      <c r="BA2815" s="4"/>
      <c r="BB2815" s="4"/>
      <c r="BC2815" s="4"/>
      <c r="BD2815" s="4"/>
      <c r="BE2815" s="4"/>
      <c r="BF2815" s="4"/>
      <c r="BG2815" s="4"/>
      <c r="BH2815" s="4"/>
      <c r="BI2815" s="4"/>
      <c r="BJ2815" s="4"/>
      <c r="BK2815" s="4"/>
      <c r="BL2815" s="4"/>
      <c r="BM2815" s="4"/>
      <c r="BN2815" s="4"/>
      <c r="BO2815" s="4"/>
      <c r="BP2815" s="4"/>
      <c r="BQ2815" s="4"/>
      <c r="BR2815" s="4"/>
      <c r="BS2815" s="4"/>
      <c r="BT2815" s="4"/>
      <c r="BU2815" s="4"/>
    </row>
    <row r="2816" spans="29:73" s="1" customFormat="1" x14ac:dyDescent="0.25">
      <c r="AC2816" s="4"/>
      <c r="AD2816" s="4"/>
      <c r="AE2816" s="4"/>
      <c r="AF2816" s="4"/>
      <c r="AG2816" s="4"/>
      <c r="AH2816" s="4"/>
      <c r="AI2816" s="4"/>
      <c r="AJ2816" s="4"/>
      <c r="AK2816" s="4"/>
      <c r="AL2816" s="4"/>
      <c r="AM2816" s="4"/>
      <c r="AN2816" s="4"/>
      <c r="AO2816" s="4"/>
      <c r="AP2816" s="4"/>
      <c r="AQ2816" s="4"/>
      <c r="AR2816" s="4"/>
      <c r="AS2816" s="4"/>
      <c r="AT2816" s="4"/>
      <c r="AU2816" s="4"/>
      <c r="AV2816" s="4"/>
      <c r="AW2816" s="4"/>
      <c r="AX2816" s="4"/>
      <c r="AY2816" s="4"/>
      <c r="AZ2816" s="4"/>
      <c r="BA2816" s="4"/>
      <c r="BB2816" s="4"/>
      <c r="BC2816" s="4"/>
      <c r="BD2816" s="4"/>
      <c r="BE2816" s="4"/>
      <c r="BF2816" s="4"/>
      <c r="BG2816" s="4"/>
      <c r="BH2816" s="4"/>
      <c r="BI2816" s="4"/>
      <c r="BJ2816" s="4"/>
      <c r="BK2816" s="4"/>
      <c r="BL2816" s="4"/>
      <c r="BM2816" s="4"/>
      <c r="BN2816" s="4"/>
      <c r="BO2816" s="4"/>
      <c r="BP2816" s="4"/>
      <c r="BQ2816" s="4"/>
      <c r="BR2816" s="4"/>
      <c r="BS2816" s="4"/>
      <c r="BT2816" s="4"/>
      <c r="BU2816" s="4"/>
    </row>
    <row r="2817" spans="29:73" s="1" customFormat="1" x14ac:dyDescent="0.25">
      <c r="AC2817" s="4"/>
      <c r="AD2817" s="4"/>
      <c r="AE2817" s="4"/>
      <c r="AF2817" s="4"/>
      <c r="AG2817" s="4"/>
      <c r="AH2817" s="4"/>
      <c r="AI2817" s="4"/>
      <c r="AJ2817" s="4"/>
      <c r="AK2817" s="4"/>
      <c r="AL2817" s="4"/>
      <c r="AM2817" s="4"/>
      <c r="AN2817" s="4"/>
      <c r="AO2817" s="4"/>
      <c r="AP2817" s="4"/>
      <c r="AQ2817" s="4"/>
      <c r="AR2817" s="4"/>
      <c r="AS2817" s="4"/>
      <c r="AT2817" s="4"/>
      <c r="AU2817" s="4"/>
      <c r="AV2817" s="4"/>
      <c r="AW2817" s="4"/>
      <c r="AX2817" s="4"/>
      <c r="AY2817" s="4"/>
      <c r="AZ2817" s="4"/>
      <c r="BA2817" s="4"/>
      <c r="BB2817" s="4"/>
      <c r="BC2817" s="4"/>
      <c r="BD2817" s="4"/>
      <c r="BE2817" s="4"/>
      <c r="BF2817" s="4"/>
      <c r="BG2817" s="4"/>
      <c r="BH2817" s="4"/>
      <c r="BI2817" s="4"/>
      <c r="BJ2817" s="4"/>
      <c r="BK2817" s="4"/>
      <c r="BL2817" s="4"/>
      <c r="BM2817" s="4"/>
      <c r="BN2817" s="4"/>
      <c r="BO2817" s="4"/>
      <c r="BP2817" s="4"/>
      <c r="BQ2817" s="4"/>
      <c r="BR2817" s="4"/>
      <c r="BS2817" s="4"/>
      <c r="BT2817" s="4"/>
      <c r="BU2817" s="4"/>
    </row>
    <row r="2818" spans="29:73" s="1" customFormat="1" x14ac:dyDescent="0.25">
      <c r="AC2818" s="4"/>
      <c r="AD2818" s="4"/>
      <c r="AE2818" s="4"/>
      <c r="AF2818" s="4"/>
      <c r="AG2818" s="4"/>
      <c r="AH2818" s="4"/>
      <c r="AI2818" s="4"/>
      <c r="AJ2818" s="4"/>
      <c r="AK2818" s="4"/>
      <c r="AL2818" s="4"/>
      <c r="AM2818" s="4"/>
      <c r="AN2818" s="4"/>
      <c r="AO2818" s="4"/>
      <c r="AP2818" s="4"/>
      <c r="AQ2818" s="4"/>
      <c r="AR2818" s="4"/>
      <c r="AS2818" s="4"/>
      <c r="AT2818" s="4"/>
      <c r="AU2818" s="4"/>
      <c r="AV2818" s="4"/>
      <c r="AW2818" s="4"/>
      <c r="AX2818" s="4"/>
      <c r="AY2818" s="4"/>
      <c r="AZ2818" s="4"/>
      <c r="BA2818" s="4"/>
      <c r="BB2818" s="4"/>
      <c r="BC2818" s="4"/>
      <c r="BD2818" s="4"/>
      <c r="BE2818" s="4"/>
      <c r="BF2818" s="4"/>
      <c r="BG2818" s="4"/>
      <c r="BH2818" s="4"/>
      <c r="BI2818" s="4"/>
      <c r="BJ2818" s="4"/>
      <c r="BK2818" s="4"/>
      <c r="BL2818" s="4"/>
      <c r="BM2818" s="4"/>
      <c r="BN2818" s="4"/>
      <c r="BO2818" s="4"/>
      <c r="BP2818" s="4"/>
      <c r="BQ2818" s="4"/>
      <c r="BR2818" s="4"/>
      <c r="BS2818" s="4"/>
      <c r="BT2818" s="4"/>
      <c r="BU2818" s="4"/>
    </row>
    <row r="2819" spans="29:73" s="1" customFormat="1" x14ac:dyDescent="0.25">
      <c r="AC2819" s="4"/>
      <c r="AD2819" s="4"/>
      <c r="AE2819" s="4"/>
      <c r="AF2819" s="4"/>
      <c r="AG2819" s="4"/>
      <c r="AH2819" s="4"/>
      <c r="AI2819" s="4"/>
      <c r="AJ2819" s="4"/>
      <c r="AK2819" s="4"/>
      <c r="AL2819" s="4"/>
      <c r="AM2819" s="4"/>
      <c r="AN2819" s="4"/>
      <c r="AO2819" s="4"/>
      <c r="AP2819" s="4"/>
      <c r="AQ2819" s="4"/>
      <c r="AR2819" s="4"/>
      <c r="AS2819" s="4"/>
      <c r="AT2819" s="4"/>
      <c r="AU2819" s="4"/>
      <c r="AV2819" s="4"/>
      <c r="AW2819" s="4"/>
      <c r="AX2819" s="4"/>
      <c r="AY2819" s="4"/>
      <c r="AZ2819" s="4"/>
      <c r="BA2819" s="4"/>
      <c r="BB2819" s="4"/>
      <c r="BC2819" s="4"/>
      <c r="BD2819" s="4"/>
      <c r="BE2819" s="4"/>
      <c r="BF2819" s="4"/>
      <c r="BG2819" s="4"/>
      <c r="BH2819" s="4"/>
      <c r="BI2819" s="4"/>
      <c r="BJ2819" s="4"/>
      <c r="BK2819" s="4"/>
      <c r="BL2819" s="4"/>
      <c r="BM2819" s="4"/>
      <c r="BN2819" s="4"/>
      <c r="BO2819" s="4"/>
      <c r="BP2819" s="4"/>
      <c r="BQ2819" s="4"/>
      <c r="BR2819" s="4"/>
      <c r="BS2819" s="4"/>
      <c r="BT2819" s="4"/>
      <c r="BU2819" s="4"/>
    </row>
    <row r="2820" spans="29:73" s="1" customFormat="1" x14ac:dyDescent="0.25">
      <c r="AC2820" s="4"/>
      <c r="AD2820" s="4"/>
      <c r="AE2820" s="4"/>
      <c r="AF2820" s="4"/>
      <c r="AG2820" s="4"/>
      <c r="AH2820" s="4"/>
      <c r="AI2820" s="4"/>
      <c r="AJ2820" s="4"/>
      <c r="AK2820" s="4"/>
      <c r="AL2820" s="4"/>
      <c r="AM2820" s="4"/>
      <c r="AN2820" s="4"/>
      <c r="AO2820" s="4"/>
      <c r="AP2820" s="4"/>
      <c r="AQ2820" s="4"/>
      <c r="AR2820" s="4"/>
      <c r="AS2820" s="4"/>
      <c r="AT2820" s="4"/>
      <c r="AU2820" s="4"/>
      <c r="AV2820" s="4"/>
      <c r="AW2820" s="4"/>
      <c r="AX2820" s="4"/>
      <c r="AY2820" s="4"/>
      <c r="AZ2820" s="4"/>
      <c r="BA2820" s="4"/>
      <c r="BB2820" s="4"/>
      <c r="BC2820" s="4"/>
      <c r="BD2820" s="4"/>
      <c r="BE2820" s="4"/>
      <c r="BF2820" s="4"/>
      <c r="BG2820" s="4"/>
      <c r="BH2820" s="4"/>
      <c r="BI2820" s="4"/>
      <c r="BJ2820" s="4"/>
      <c r="BK2820" s="4"/>
      <c r="BL2820" s="4"/>
      <c r="BM2820" s="4"/>
      <c r="BN2820" s="4"/>
      <c r="BO2820" s="4"/>
      <c r="BP2820" s="4"/>
      <c r="BQ2820" s="4"/>
      <c r="BR2820" s="4"/>
      <c r="BS2820" s="4"/>
      <c r="BT2820" s="4"/>
      <c r="BU2820" s="4"/>
    </row>
    <row r="2821" spans="29:73" s="1" customFormat="1" x14ac:dyDescent="0.25">
      <c r="AC2821" s="4"/>
      <c r="AD2821" s="4"/>
      <c r="AE2821" s="4"/>
      <c r="AF2821" s="4"/>
      <c r="AG2821" s="4"/>
      <c r="AH2821" s="4"/>
      <c r="AI2821" s="4"/>
      <c r="AJ2821" s="4"/>
      <c r="AK2821" s="4"/>
      <c r="AL2821" s="4"/>
      <c r="AM2821" s="4"/>
      <c r="AN2821" s="4"/>
      <c r="AO2821" s="4"/>
      <c r="AP2821" s="4"/>
      <c r="AQ2821" s="4"/>
      <c r="AR2821" s="4"/>
      <c r="AS2821" s="4"/>
      <c r="AT2821" s="4"/>
      <c r="AU2821" s="4"/>
      <c r="AV2821" s="4"/>
      <c r="AW2821" s="4"/>
      <c r="AX2821" s="4"/>
      <c r="AY2821" s="4"/>
      <c r="AZ2821" s="4"/>
      <c r="BA2821" s="4"/>
      <c r="BB2821" s="4"/>
      <c r="BC2821" s="4"/>
      <c r="BD2821" s="4"/>
      <c r="BE2821" s="4"/>
      <c r="BF2821" s="4"/>
      <c r="BG2821" s="4"/>
      <c r="BH2821" s="4"/>
      <c r="BI2821" s="4"/>
      <c r="BJ2821" s="4"/>
      <c r="BK2821" s="4"/>
      <c r="BL2821" s="4"/>
      <c r="BM2821" s="4"/>
      <c r="BN2821" s="4"/>
      <c r="BO2821" s="4"/>
      <c r="BP2821" s="4"/>
      <c r="BQ2821" s="4"/>
      <c r="BR2821" s="4"/>
      <c r="BS2821" s="4"/>
      <c r="BT2821" s="4"/>
      <c r="BU2821" s="4"/>
    </row>
    <row r="2822" spans="29:73" s="1" customFormat="1" x14ac:dyDescent="0.25">
      <c r="AC2822" s="4"/>
      <c r="AD2822" s="4"/>
      <c r="AE2822" s="4"/>
      <c r="AF2822" s="4"/>
      <c r="AG2822" s="4"/>
      <c r="AH2822" s="4"/>
      <c r="AI2822" s="4"/>
      <c r="AJ2822" s="4"/>
      <c r="AK2822" s="4"/>
      <c r="AL2822" s="4"/>
      <c r="AM2822" s="4"/>
      <c r="AN2822" s="4"/>
      <c r="AO2822" s="4"/>
      <c r="AP2822" s="4"/>
      <c r="AQ2822" s="4"/>
      <c r="AR2822" s="4"/>
      <c r="AS2822" s="4"/>
      <c r="AT2822" s="4"/>
      <c r="AU2822" s="4"/>
      <c r="AV2822" s="4"/>
      <c r="AW2822" s="4"/>
      <c r="AX2822" s="4"/>
      <c r="AY2822" s="4"/>
      <c r="AZ2822" s="4"/>
      <c r="BA2822" s="4"/>
      <c r="BB2822" s="4"/>
      <c r="BC2822" s="4"/>
      <c r="BD2822" s="4"/>
      <c r="BE2822" s="4"/>
      <c r="BF2822" s="4"/>
      <c r="BG2822" s="4"/>
      <c r="BH2822" s="4"/>
      <c r="BI2822" s="4"/>
      <c r="BJ2822" s="4"/>
      <c r="BK2822" s="4"/>
      <c r="BL2822" s="4"/>
      <c r="BM2822" s="4"/>
      <c r="BN2822" s="4"/>
      <c r="BO2822" s="4"/>
      <c r="BP2822" s="4"/>
      <c r="BQ2822" s="4"/>
      <c r="BR2822" s="4"/>
      <c r="BS2822" s="4"/>
      <c r="BT2822" s="4"/>
      <c r="BU2822" s="4"/>
    </row>
    <row r="2823" spans="29:73" s="1" customFormat="1" x14ac:dyDescent="0.25">
      <c r="AC2823" s="4"/>
      <c r="AD2823" s="4"/>
      <c r="AE2823" s="4"/>
      <c r="AF2823" s="4"/>
      <c r="AG2823" s="4"/>
      <c r="AH2823" s="4"/>
      <c r="AI2823" s="4"/>
      <c r="AJ2823" s="4"/>
      <c r="AK2823" s="4"/>
      <c r="AL2823" s="4"/>
      <c r="AM2823" s="4"/>
      <c r="AN2823" s="4"/>
      <c r="AO2823" s="4"/>
      <c r="AP2823" s="4"/>
      <c r="AQ2823" s="4"/>
      <c r="AR2823" s="4"/>
      <c r="AS2823" s="4"/>
      <c r="AT2823" s="4"/>
      <c r="AU2823" s="4"/>
      <c r="AV2823" s="4"/>
      <c r="AW2823" s="4"/>
      <c r="AX2823" s="4"/>
      <c r="AY2823" s="4"/>
      <c r="AZ2823" s="4"/>
      <c r="BA2823" s="4"/>
      <c r="BB2823" s="4"/>
      <c r="BC2823" s="4"/>
      <c r="BD2823" s="4"/>
      <c r="BE2823" s="4"/>
      <c r="BF2823" s="4"/>
      <c r="BG2823" s="4"/>
      <c r="BH2823" s="4"/>
      <c r="BI2823" s="4"/>
      <c r="BJ2823" s="4"/>
      <c r="BK2823" s="4"/>
      <c r="BL2823" s="4"/>
      <c r="BM2823" s="4"/>
      <c r="BN2823" s="4"/>
      <c r="BO2823" s="4"/>
      <c r="BP2823" s="4"/>
      <c r="BQ2823" s="4"/>
      <c r="BR2823" s="4"/>
      <c r="BS2823" s="4"/>
      <c r="BT2823" s="4"/>
      <c r="BU2823" s="4"/>
    </row>
    <row r="2824" spans="29:73" s="1" customFormat="1" x14ac:dyDescent="0.25">
      <c r="AC2824" s="4"/>
      <c r="AD2824" s="4"/>
      <c r="AE2824" s="4"/>
      <c r="AF2824" s="4"/>
      <c r="AG2824" s="4"/>
      <c r="AH2824" s="4"/>
      <c r="AI2824" s="4"/>
      <c r="AJ2824" s="4"/>
      <c r="AK2824" s="4"/>
      <c r="AL2824" s="4"/>
      <c r="AM2824" s="4"/>
      <c r="AN2824" s="4"/>
      <c r="AO2824" s="4"/>
      <c r="AP2824" s="4"/>
      <c r="AQ2824" s="4"/>
      <c r="AR2824" s="4"/>
      <c r="AS2824" s="4"/>
      <c r="AT2824" s="4"/>
      <c r="AU2824" s="4"/>
      <c r="AV2824" s="4"/>
      <c r="AW2824" s="4"/>
      <c r="AX2824" s="4"/>
      <c r="AY2824" s="4"/>
      <c r="AZ2824" s="4"/>
      <c r="BA2824" s="4"/>
      <c r="BB2824" s="4"/>
      <c r="BC2824" s="4"/>
      <c r="BD2824" s="4"/>
      <c r="BE2824" s="4"/>
      <c r="BF2824" s="4"/>
      <c r="BG2824" s="4"/>
      <c r="BH2824" s="4"/>
      <c r="BI2824" s="4"/>
      <c r="BJ2824" s="4"/>
      <c r="BK2824" s="4"/>
      <c r="BL2824" s="4"/>
      <c r="BM2824" s="4"/>
      <c r="BN2824" s="4"/>
      <c r="BO2824" s="4"/>
      <c r="BP2824" s="4"/>
      <c r="BQ2824" s="4"/>
      <c r="BR2824" s="4"/>
      <c r="BS2824" s="4"/>
      <c r="BT2824" s="4"/>
      <c r="BU2824" s="4"/>
    </row>
    <row r="2825" spans="29:73" s="1" customFormat="1" x14ac:dyDescent="0.25">
      <c r="AC2825" s="4"/>
      <c r="AD2825" s="4"/>
      <c r="AE2825" s="4"/>
      <c r="AF2825" s="4"/>
      <c r="AG2825" s="4"/>
      <c r="AH2825" s="4"/>
      <c r="AI2825" s="4"/>
      <c r="AJ2825" s="4"/>
      <c r="AK2825" s="4"/>
      <c r="AL2825" s="4"/>
      <c r="AM2825" s="4"/>
      <c r="AN2825" s="4"/>
      <c r="AO2825" s="4"/>
      <c r="AP2825" s="4"/>
      <c r="AQ2825" s="4"/>
      <c r="AR2825" s="4"/>
      <c r="AS2825" s="4"/>
      <c r="AT2825" s="4"/>
      <c r="AU2825" s="4"/>
      <c r="AV2825" s="4"/>
      <c r="AW2825" s="4"/>
      <c r="AX2825" s="4"/>
      <c r="AY2825" s="4"/>
      <c r="AZ2825" s="4"/>
      <c r="BA2825" s="4"/>
      <c r="BB2825" s="4"/>
      <c r="BC2825" s="4"/>
      <c r="BD2825" s="4"/>
      <c r="BE2825" s="4"/>
      <c r="BF2825" s="4"/>
      <c r="BG2825" s="4"/>
      <c r="BH2825" s="4"/>
      <c r="BI2825" s="4"/>
      <c r="BJ2825" s="4"/>
      <c r="BK2825" s="4"/>
      <c r="BL2825" s="4"/>
      <c r="BM2825" s="4"/>
      <c r="BN2825" s="4"/>
      <c r="BO2825" s="4"/>
      <c r="BP2825" s="4"/>
      <c r="BQ2825" s="4"/>
      <c r="BR2825" s="4"/>
      <c r="BS2825" s="4"/>
      <c r="BT2825" s="4"/>
      <c r="BU2825" s="4"/>
    </row>
    <row r="2826" spans="29:73" s="1" customFormat="1" x14ac:dyDescent="0.25">
      <c r="AC2826" s="4"/>
      <c r="AD2826" s="4"/>
      <c r="AE2826" s="4"/>
      <c r="AF2826" s="4"/>
      <c r="AG2826" s="4"/>
      <c r="AH2826" s="4"/>
      <c r="AI2826" s="4"/>
      <c r="AJ2826" s="4"/>
      <c r="AK2826" s="4"/>
      <c r="AL2826" s="4"/>
      <c r="AM2826" s="4"/>
      <c r="AN2826" s="4"/>
      <c r="AO2826" s="4"/>
      <c r="AP2826" s="4"/>
      <c r="AQ2826" s="4"/>
      <c r="AR2826" s="4"/>
      <c r="AS2826" s="4"/>
      <c r="AT2826" s="4"/>
      <c r="AU2826" s="4"/>
      <c r="AV2826" s="4"/>
      <c r="AW2826" s="4"/>
      <c r="AX2826" s="4"/>
      <c r="AY2826" s="4"/>
      <c r="AZ2826" s="4"/>
      <c r="BA2826" s="4"/>
      <c r="BB2826" s="4"/>
      <c r="BC2826" s="4"/>
      <c r="BD2826" s="4"/>
      <c r="BE2826" s="4"/>
      <c r="BF2826" s="4"/>
      <c r="BG2826" s="4"/>
      <c r="BH2826" s="4"/>
      <c r="BI2826" s="4"/>
      <c r="BJ2826" s="4"/>
      <c r="BK2826" s="4"/>
      <c r="BL2826" s="4"/>
      <c r="BM2826" s="4"/>
      <c r="BN2826" s="4"/>
      <c r="BO2826" s="4"/>
      <c r="BP2826" s="4"/>
      <c r="BQ2826" s="4"/>
      <c r="BR2826" s="4"/>
      <c r="BS2826" s="4"/>
      <c r="BT2826" s="4"/>
      <c r="BU2826" s="4"/>
    </row>
    <row r="2827" spans="29:73" s="1" customFormat="1" x14ac:dyDescent="0.25">
      <c r="AC2827" s="4"/>
      <c r="AD2827" s="4"/>
      <c r="AE2827" s="4"/>
      <c r="AF2827" s="4"/>
      <c r="AG2827" s="4"/>
      <c r="AH2827" s="4"/>
      <c r="AI2827" s="4"/>
      <c r="AJ2827" s="4"/>
      <c r="AK2827" s="4"/>
      <c r="AL2827" s="4"/>
      <c r="AM2827" s="4"/>
      <c r="AN2827" s="4"/>
      <c r="AO2827" s="4"/>
      <c r="AP2827" s="4"/>
      <c r="AQ2827" s="4"/>
      <c r="AR2827" s="4"/>
      <c r="AS2827" s="4"/>
      <c r="AT2827" s="4"/>
      <c r="AU2827" s="4"/>
      <c r="AV2827" s="4"/>
      <c r="AW2827" s="4"/>
      <c r="AX2827" s="4"/>
      <c r="AY2827" s="4"/>
      <c r="AZ2827" s="4"/>
      <c r="BA2827" s="4"/>
      <c r="BB2827" s="4"/>
      <c r="BC2827" s="4"/>
      <c r="BD2827" s="4"/>
      <c r="BE2827" s="4"/>
      <c r="BF2827" s="4"/>
      <c r="BG2827" s="4"/>
      <c r="BH2827" s="4"/>
      <c r="BI2827" s="4"/>
      <c r="BJ2827" s="4"/>
      <c r="BK2827" s="4"/>
      <c r="BL2827" s="4"/>
      <c r="BM2827" s="4"/>
      <c r="BN2827" s="4"/>
      <c r="BO2827" s="4"/>
      <c r="BP2827" s="4"/>
      <c r="BQ2827" s="4"/>
      <c r="BR2827" s="4"/>
      <c r="BS2827" s="4"/>
      <c r="BT2827" s="4"/>
      <c r="BU2827" s="4"/>
    </row>
    <row r="2828" spans="29:73" s="1" customFormat="1" x14ac:dyDescent="0.25">
      <c r="AC2828" s="4"/>
      <c r="AD2828" s="4"/>
      <c r="AE2828" s="4"/>
      <c r="AF2828" s="4"/>
      <c r="AG2828" s="4"/>
      <c r="AH2828" s="4"/>
      <c r="AI2828" s="4"/>
      <c r="AJ2828" s="4"/>
      <c r="AK2828" s="4"/>
      <c r="AL2828" s="4"/>
      <c r="AM2828" s="4"/>
      <c r="AN2828" s="4"/>
      <c r="AO2828" s="4"/>
      <c r="AP2828" s="4"/>
      <c r="AQ2828" s="4"/>
      <c r="AR2828" s="4"/>
      <c r="AS2828" s="4"/>
      <c r="AT2828" s="4"/>
      <c r="AU2828" s="4"/>
      <c r="AV2828" s="4"/>
      <c r="AW2828" s="4"/>
      <c r="AX2828" s="4"/>
      <c r="AY2828" s="4"/>
      <c r="AZ2828" s="4"/>
      <c r="BA2828" s="4"/>
      <c r="BB2828" s="4"/>
      <c r="BC2828" s="4"/>
      <c r="BD2828" s="4"/>
      <c r="BE2828" s="4"/>
      <c r="BF2828" s="4"/>
      <c r="BG2828" s="4"/>
      <c r="BH2828" s="4"/>
      <c r="BI2828" s="4"/>
      <c r="BJ2828" s="4"/>
      <c r="BK2828" s="4"/>
      <c r="BL2828" s="4"/>
      <c r="BM2828" s="4"/>
      <c r="BN2828" s="4"/>
      <c r="BO2828" s="4"/>
      <c r="BP2828" s="4"/>
      <c r="BQ2828" s="4"/>
      <c r="BR2828" s="4"/>
      <c r="BS2828" s="4"/>
      <c r="BT2828" s="4"/>
      <c r="BU2828" s="4"/>
    </row>
    <row r="2829" spans="29:73" s="1" customFormat="1" x14ac:dyDescent="0.25">
      <c r="AC2829" s="4"/>
      <c r="AD2829" s="4"/>
      <c r="AE2829" s="4"/>
      <c r="AF2829" s="4"/>
      <c r="AG2829" s="4"/>
      <c r="AH2829" s="4"/>
      <c r="AI2829" s="4"/>
      <c r="AJ2829" s="4"/>
      <c r="AK2829" s="4"/>
      <c r="AL2829" s="4"/>
      <c r="AM2829" s="4"/>
      <c r="AN2829" s="4"/>
      <c r="AO2829" s="4"/>
      <c r="AP2829" s="4"/>
      <c r="AQ2829" s="4"/>
      <c r="AR2829" s="4"/>
      <c r="AS2829" s="4"/>
      <c r="AT2829" s="4"/>
      <c r="AU2829" s="4"/>
      <c r="AV2829" s="4"/>
      <c r="AW2829" s="4"/>
      <c r="AX2829" s="4"/>
      <c r="AY2829" s="4"/>
      <c r="AZ2829" s="4"/>
      <c r="BA2829" s="4"/>
      <c r="BB2829" s="4"/>
      <c r="BC2829" s="4"/>
      <c r="BD2829" s="4"/>
      <c r="BE2829" s="4"/>
      <c r="BF2829" s="4"/>
      <c r="BG2829" s="4"/>
      <c r="BH2829" s="4"/>
      <c r="BI2829" s="4"/>
      <c r="BJ2829" s="4"/>
      <c r="BK2829" s="4"/>
      <c r="BL2829" s="4"/>
      <c r="BM2829" s="4"/>
      <c r="BN2829" s="4"/>
      <c r="BO2829" s="4"/>
      <c r="BP2829" s="4"/>
      <c r="BQ2829" s="4"/>
      <c r="BR2829" s="4"/>
      <c r="BS2829" s="4"/>
      <c r="BT2829" s="4"/>
      <c r="BU2829" s="4"/>
    </row>
    <row r="2830" spans="29:73" s="1" customFormat="1" x14ac:dyDescent="0.25">
      <c r="AC2830" s="4"/>
      <c r="AD2830" s="4"/>
      <c r="AE2830" s="4"/>
      <c r="AF2830" s="4"/>
      <c r="AG2830" s="4"/>
      <c r="AH2830" s="4"/>
      <c r="AI2830" s="4"/>
      <c r="AJ2830" s="4"/>
      <c r="AK2830" s="4"/>
      <c r="AL2830" s="4"/>
      <c r="AM2830" s="4"/>
      <c r="AN2830" s="4"/>
      <c r="AO2830" s="4"/>
      <c r="AP2830" s="4"/>
      <c r="AQ2830" s="4"/>
      <c r="AR2830" s="4"/>
      <c r="AS2830" s="4"/>
      <c r="AT2830" s="4"/>
      <c r="AU2830" s="4"/>
      <c r="AV2830" s="4"/>
      <c r="AW2830" s="4"/>
      <c r="AX2830" s="4"/>
      <c r="AY2830" s="4"/>
      <c r="AZ2830" s="4"/>
      <c r="BA2830" s="4"/>
      <c r="BB2830" s="4"/>
      <c r="BC2830" s="4"/>
      <c r="BD2830" s="4"/>
      <c r="BE2830" s="4"/>
      <c r="BF2830" s="4"/>
      <c r="BG2830" s="4"/>
      <c r="BH2830" s="4"/>
      <c r="BI2830" s="4"/>
      <c r="BJ2830" s="4"/>
      <c r="BK2830" s="4"/>
      <c r="BL2830" s="4"/>
      <c r="BM2830" s="4"/>
      <c r="BN2830" s="4"/>
      <c r="BO2830" s="4"/>
      <c r="BP2830" s="4"/>
      <c r="BQ2830" s="4"/>
      <c r="BR2830" s="4"/>
      <c r="BS2830" s="4"/>
      <c r="BT2830" s="4"/>
      <c r="BU2830" s="4"/>
    </row>
    <row r="2831" spans="29:73" s="1" customFormat="1" x14ac:dyDescent="0.25">
      <c r="AC2831" s="4"/>
      <c r="AD2831" s="4"/>
      <c r="AE2831" s="4"/>
      <c r="AF2831" s="4"/>
      <c r="AG2831" s="4"/>
      <c r="AH2831" s="4"/>
      <c r="AI2831" s="4"/>
      <c r="AJ2831" s="4"/>
      <c r="AK2831" s="4"/>
      <c r="AL2831" s="4"/>
      <c r="AM2831" s="4"/>
      <c r="AN2831" s="4"/>
      <c r="AO2831" s="4"/>
      <c r="AP2831" s="4"/>
      <c r="AQ2831" s="4"/>
      <c r="AR2831" s="4"/>
      <c r="AS2831" s="4"/>
      <c r="AT2831" s="4"/>
      <c r="AU2831" s="4"/>
      <c r="AV2831" s="4"/>
      <c r="AW2831" s="4"/>
      <c r="AX2831" s="4"/>
      <c r="AY2831" s="4"/>
      <c r="AZ2831" s="4"/>
      <c r="BA2831" s="4"/>
      <c r="BB2831" s="4"/>
      <c r="BC2831" s="4"/>
      <c r="BD2831" s="4"/>
      <c r="BE2831" s="4"/>
      <c r="BF2831" s="4"/>
      <c r="BG2831" s="4"/>
      <c r="BH2831" s="4"/>
      <c r="BI2831" s="4"/>
      <c r="BJ2831" s="4"/>
      <c r="BK2831" s="4"/>
      <c r="BL2831" s="4"/>
      <c r="BM2831" s="4"/>
      <c r="BN2831" s="4"/>
      <c r="BO2831" s="4"/>
      <c r="BP2831" s="4"/>
      <c r="BQ2831" s="4"/>
      <c r="BR2831" s="4"/>
      <c r="BS2831" s="4"/>
      <c r="BT2831" s="4"/>
      <c r="BU2831" s="4"/>
    </row>
    <row r="2832" spans="29:73" s="1" customFormat="1" x14ac:dyDescent="0.25">
      <c r="AC2832" s="4"/>
      <c r="AD2832" s="4"/>
      <c r="AE2832" s="4"/>
      <c r="AF2832" s="4"/>
      <c r="AG2832" s="4"/>
      <c r="AH2832" s="4"/>
      <c r="AI2832" s="4"/>
      <c r="AJ2832" s="4"/>
      <c r="AK2832" s="4"/>
      <c r="AL2832" s="4"/>
      <c r="AM2832" s="4"/>
      <c r="AN2832" s="4"/>
      <c r="AO2832" s="4"/>
      <c r="AP2832" s="4"/>
      <c r="AQ2832" s="4"/>
      <c r="AR2832" s="4"/>
      <c r="AS2832" s="4"/>
      <c r="AT2832" s="4"/>
      <c r="AU2832" s="4"/>
      <c r="AV2832" s="4"/>
      <c r="AW2832" s="4"/>
      <c r="AX2832" s="4"/>
      <c r="AY2832" s="4"/>
      <c r="AZ2832" s="4"/>
      <c r="BA2832" s="4"/>
      <c r="BB2832" s="4"/>
      <c r="BC2832" s="4"/>
      <c r="BD2832" s="4"/>
      <c r="BE2832" s="4"/>
      <c r="BF2832" s="4"/>
      <c r="BG2832" s="4"/>
      <c r="BH2832" s="4"/>
      <c r="BI2832" s="4"/>
      <c r="BJ2832" s="4"/>
      <c r="BK2832" s="4"/>
      <c r="BL2832" s="4"/>
      <c r="BM2832" s="4"/>
      <c r="BN2832" s="4"/>
      <c r="BO2832" s="4"/>
      <c r="BP2832" s="4"/>
      <c r="BQ2832" s="4"/>
      <c r="BR2832" s="4"/>
      <c r="BS2832" s="4"/>
      <c r="BT2832" s="4"/>
      <c r="BU2832" s="4"/>
    </row>
    <row r="2833" spans="29:73" s="1" customFormat="1" x14ac:dyDescent="0.25">
      <c r="AC2833" s="4"/>
      <c r="AD2833" s="4"/>
      <c r="AE2833" s="4"/>
      <c r="AF2833" s="4"/>
      <c r="AG2833" s="4"/>
      <c r="AH2833" s="4"/>
      <c r="AI2833" s="4"/>
      <c r="AJ2833" s="4"/>
      <c r="AK2833" s="4"/>
      <c r="AL2833" s="4"/>
      <c r="AM2833" s="4"/>
      <c r="AN2833" s="4"/>
      <c r="AO2833" s="4"/>
      <c r="AP2833" s="4"/>
      <c r="AQ2833" s="4"/>
      <c r="AR2833" s="4"/>
      <c r="AS2833" s="4"/>
      <c r="AT2833" s="4"/>
      <c r="AU2833" s="4"/>
      <c r="AV2833" s="4"/>
      <c r="AW2833" s="4"/>
      <c r="AX2833" s="4"/>
      <c r="AY2833" s="4"/>
      <c r="AZ2833" s="4"/>
      <c r="BA2833" s="4"/>
      <c r="BB2833" s="4"/>
      <c r="BC2833" s="4"/>
      <c r="BD2833" s="4"/>
      <c r="BE2833" s="4"/>
      <c r="BF2833" s="4"/>
      <c r="BG2833" s="4"/>
      <c r="BH2833" s="4"/>
      <c r="BI2833" s="4"/>
      <c r="BJ2833" s="4"/>
      <c r="BK2833" s="4"/>
      <c r="BL2833" s="4"/>
      <c r="BM2833" s="4"/>
      <c r="BN2833" s="4"/>
      <c r="BO2833" s="4"/>
      <c r="BP2833" s="4"/>
      <c r="BQ2833" s="4"/>
      <c r="BR2833" s="4"/>
      <c r="BS2833" s="4"/>
      <c r="BT2833" s="4"/>
      <c r="BU2833" s="4"/>
    </row>
    <row r="2834" spans="29:73" s="1" customFormat="1" x14ac:dyDescent="0.25">
      <c r="AC2834" s="4"/>
      <c r="AD2834" s="4"/>
      <c r="AE2834" s="4"/>
      <c r="AF2834" s="4"/>
      <c r="AG2834" s="4"/>
      <c r="AH2834" s="4"/>
      <c r="AI2834" s="4"/>
      <c r="AJ2834" s="4"/>
      <c r="AK2834" s="4"/>
      <c r="AL2834" s="4"/>
      <c r="AM2834" s="4"/>
      <c r="AN2834" s="4"/>
      <c r="AO2834" s="4"/>
      <c r="AP2834" s="4"/>
      <c r="AQ2834" s="4"/>
      <c r="AR2834" s="4"/>
      <c r="AS2834" s="4"/>
      <c r="AT2834" s="4"/>
      <c r="AU2834" s="4"/>
      <c r="AV2834" s="4"/>
      <c r="AW2834" s="4"/>
      <c r="AX2834" s="4"/>
      <c r="AY2834" s="4"/>
      <c r="AZ2834" s="4"/>
      <c r="BA2834" s="4"/>
      <c r="BB2834" s="4"/>
      <c r="BC2834" s="4"/>
      <c r="BD2834" s="4"/>
      <c r="BE2834" s="4"/>
      <c r="BF2834" s="4"/>
      <c r="BG2834" s="4"/>
      <c r="BH2834" s="4"/>
      <c r="BI2834" s="4"/>
      <c r="BJ2834" s="4"/>
      <c r="BK2834" s="4"/>
      <c r="BL2834" s="4"/>
      <c r="BM2834" s="4"/>
      <c r="BN2834" s="4"/>
      <c r="BO2834" s="4"/>
      <c r="BP2834" s="4"/>
      <c r="BQ2834" s="4"/>
      <c r="BR2834" s="4"/>
      <c r="BS2834" s="4"/>
      <c r="BT2834" s="4"/>
      <c r="BU2834" s="4"/>
    </row>
    <row r="2835" spans="29:73" s="1" customFormat="1" x14ac:dyDescent="0.25">
      <c r="AC2835" s="4"/>
      <c r="AD2835" s="4"/>
      <c r="AE2835" s="4"/>
      <c r="AF2835" s="4"/>
      <c r="AG2835" s="4"/>
      <c r="AH2835" s="4"/>
      <c r="AI2835" s="4"/>
      <c r="AJ2835" s="4"/>
      <c r="AK2835" s="4"/>
      <c r="AL2835" s="4"/>
      <c r="AM2835" s="4"/>
      <c r="AN2835" s="4"/>
      <c r="AO2835" s="4"/>
      <c r="AP2835" s="4"/>
      <c r="AQ2835" s="4"/>
      <c r="AR2835" s="4"/>
      <c r="AS2835" s="4"/>
      <c r="AT2835" s="4"/>
      <c r="AU2835" s="4"/>
      <c r="AV2835" s="4"/>
      <c r="AW2835" s="4"/>
      <c r="AX2835" s="4"/>
      <c r="AY2835" s="4"/>
      <c r="AZ2835" s="4"/>
      <c r="BA2835" s="4"/>
      <c r="BB2835" s="4"/>
      <c r="BC2835" s="4"/>
      <c r="BD2835" s="4"/>
      <c r="BE2835" s="4"/>
      <c r="BF2835" s="4"/>
      <c r="BG2835" s="4"/>
      <c r="BH2835" s="4"/>
      <c r="BI2835" s="4"/>
      <c r="BJ2835" s="4"/>
      <c r="BK2835" s="4"/>
      <c r="BL2835" s="4"/>
      <c r="BM2835" s="4"/>
      <c r="BN2835" s="4"/>
      <c r="BO2835" s="4"/>
      <c r="BP2835" s="4"/>
      <c r="BQ2835" s="4"/>
      <c r="BR2835" s="4"/>
      <c r="BS2835" s="4"/>
      <c r="BT2835" s="4"/>
      <c r="BU2835" s="4"/>
    </row>
    <row r="2836" spans="29:73" s="1" customFormat="1" x14ac:dyDescent="0.25">
      <c r="AC2836" s="4"/>
      <c r="AD2836" s="4"/>
      <c r="AE2836" s="4"/>
      <c r="AF2836" s="4"/>
      <c r="AG2836" s="4"/>
      <c r="AH2836" s="4"/>
      <c r="AI2836" s="4"/>
      <c r="AJ2836" s="4"/>
      <c r="AK2836" s="4"/>
      <c r="AL2836" s="4"/>
      <c r="AM2836" s="4"/>
      <c r="AN2836" s="4"/>
      <c r="AO2836" s="4"/>
      <c r="AP2836" s="4"/>
      <c r="AQ2836" s="4"/>
      <c r="AR2836" s="4"/>
      <c r="AS2836" s="4"/>
      <c r="AT2836" s="4"/>
      <c r="AU2836" s="4"/>
      <c r="AV2836" s="4"/>
      <c r="AW2836" s="4"/>
      <c r="AX2836" s="4"/>
      <c r="AY2836" s="4"/>
      <c r="AZ2836" s="4"/>
      <c r="BA2836" s="4"/>
      <c r="BB2836" s="4"/>
      <c r="BC2836" s="4"/>
      <c r="BD2836" s="4"/>
      <c r="BE2836" s="4"/>
      <c r="BF2836" s="4"/>
      <c r="BG2836" s="4"/>
      <c r="BH2836" s="4"/>
      <c r="BI2836" s="4"/>
      <c r="BJ2836" s="4"/>
      <c r="BK2836" s="4"/>
      <c r="BL2836" s="4"/>
      <c r="BM2836" s="4"/>
      <c r="BN2836" s="4"/>
      <c r="BO2836" s="4"/>
      <c r="BP2836" s="4"/>
      <c r="BQ2836" s="4"/>
      <c r="BR2836" s="4"/>
      <c r="BS2836" s="4"/>
      <c r="BT2836" s="4"/>
      <c r="BU2836" s="4"/>
    </row>
    <row r="2837" spans="29:73" s="1" customFormat="1" x14ac:dyDescent="0.25">
      <c r="AC2837" s="4"/>
      <c r="AD2837" s="4"/>
      <c r="AE2837" s="4"/>
      <c r="AF2837" s="4"/>
      <c r="AG2837" s="4"/>
      <c r="AH2837" s="4"/>
      <c r="AI2837" s="4"/>
      <c r="AJ2837" s="4"/>
      <c r="AK2837" s="4"/>
      <c r="AL2837" s="4"/>
      <c r="AM2837" s="4"/>
      <c r="AN2837" s="4"/>
      <c r="AO2837" s="4"/>
      <c r="AP2837" s="4"/>
      <c r="AQ2837" s="4"/>
      <c r="AR2837" s="4"/>
      <c r="AS2837" s="4"/>
      <c r="AT2837" s="4"/>
      <c r="AU2837" s="4"/>
      <c r="AV2837" s="4"/>
      <c r="AW2837" s="4"/>
      <c r="AX2837" s="4"/>
      <c r="AY2837" s="4"/>
      <c r="AZ2837" s="4"/>
      <c r="BA2837" s="4"/>
      <c r="BB2837" s="4"/>
      <c r="BC2837" s="4"/>
      <c r="BD2837" s="4"/>
      <c r="BE2837" s="4"/>
      <c r="BF2837" s="4"/>
      <c r="BG2837" s="4"/>
      <c r="BH2837" s="4"/>
      <c r="BI2837" s="4"/>
      <c r="BJ2837" s="4"/>
      <c r="BK2837" s="4"/>
      <c r="BL2837" s="4"/>
      <c r="BM2837" s="4"/>
      <c r="BN2837" s="4"/>
      <c r="BO2837" s="4"/>
      <c r="BP2837" s="4"/>
      <c r="BQ2837" s="4"/>
      <c r="BR2837" s="4"/>
      <c r="BS2837" s="4"/>
      <c r="BT2837" s="4"/>
      <c r="BU2837" s="4"/>
    </row>
    <row r="2838" spans="29:73" s="1" customFormat="1" x14ac:dyDescent="0.25">
      <c r="AC2838" s="4"/>
      <c r="AD2838" s="4"/>
      <c r="AE2838" s="4"/>
      <c r="AF2838" s="4"/>
      <c r="AG2838" s="4"/>
      <c r="AH2838" s="4"/>
      <c r="AI2838" s="4"/>
      <c r="AJ2838" s="4"/>
      <c r="AK2838" s="4"/>
      <c r="AL2838" s="4"/>
      <c r="AM2838" s="4"/>
      <c r="AN2838" s="4"/>
      <c r="AO2838" s="4"/>
      <c r="AP2838" s="4"/>
      <c r="AQ2838" s="4"/>
      <c r="AR2838" s="4"/>
      <c r="AS2838" s="4"/>
      <c r="AT2838" s="4"/>
      <c r="AU2838" s="4"/>
      <c r="AV2838" s="4"/>
      <c r="AW2838" s="4"/>
      <c r="AX2838" s="4"/>
      <c r="AY2838" s="4"/>
      <c r="AZ2838" s="4"/>
      <c r="BA2838" s="4"/>
      <c r="BB2838" s="4"/>
      <c r="BC2838" s="4"/>
      <c r="BD2838" s="4"/>
      <c r="BE2838" s="4"/>
      <c r="BF2838" s="4"/>
      <c r="BG2838" s="4"/>
      <c r="BH2838" s="4"/>
      <c r="BI2838" s="4"/>
      <c r="BJ2838" s="4"/>
      <c r="BK2838" s="4"/>
      <c r="BL2838" s="4"/>
      <c r="BM2838" s="4"/>
      <c r="BN2838" s="4"/>
      <c r="BO2838" s="4"/>
      <c r="BP2838" s="4"/>
      <c r="BQ2838" s="4"/>
      <c r="BR2838" s="4"/>
      <c r="BS2838" s="4"/>
      <c r="BT2838" s="4"/>
      <c r="BU2838" s="4"/>
    </row>
    <row r="2839" spans="29:73" s="1" customFormat="1" x14ac:dyDescent="0.25">
      <c r="AC2839" s="4"/>
      <c r="AD2839" s="4"/>
      <c r="AE2839" s="4"/>
      <c r="AF2839" s="4"/>
      <c r="AG2839" s="4"/>
      <c r="AH2839" s="4"/>
      <c r="AI2839" s="4"/>
      <c r="AJ2839" s="4"/>
      <c r="AK2839" s="4"/>
      <c r="AL2839" s="4"/>
      <c r="AM2839" s="4"/>
      <c r="AN2839" s="4"/>
      <c r="AO2839" s="4"/>
      <c r="AP2839" s="4"/>
      <c r="AQ2839" s="4"/>
      <c r="AR2839" s="4"/>
      <c r="AS2839" s="4"/>
      <c r="AT2839" s="4"/>
      <c r="AU2839" s="4"/>
      <c r="AV2839" s="4"/>
      <c r="AW2839" s="4"/>
      <c r="AX2839" s="4"/>
      <c r="AY2839" s="4"/>
      <c r="AZ2839" s="4"/>
      <c r="BA2839" s="4"/>
      <c r="BB2839" s="4"/>
      <c r="BC2839" s="4"/>
      <c r="BD2839" s="4"/>
      <c r="BE2839" s="4"/>
      <c r="BF2839" s="4"/>
      <c r="BG2839" s="4"/>
      <c r="BH2839" s="4"/>
      <c r="BI2839" s="4"/>
      <c r="BJ2839" s="4"/>
      <c r="BK2839" s="4"/>
      <c r="BL2839" s="4"/>
      <c r="BM2839" s="4"/>
      <c r="BN2839" s="4"/>
      <c r="BO2839" s="4"/>
      <c r="BP2839" s="4"/>
      <c r="BQ2839" s="4"/>
      <c r="BR2839" s="4"/>
      <c r="BS2839" s="4"/>
      <c r="BT2839" s="4"/>
      <c r="BU2839" s="4"/>
    </row>
    <row r="2840" spans="29:73" s="1" customFormat="1" x14ac:dyDescent="0.25">
      <c r="AC2840" s="4"/>
      <c r="AD2840" s="4"/>
      <c r="AE2840" s="4"/>
      <c r="AF2840" s="4"/>
      <c r="AG2840" s="4"/>
      <c r="AH2840" s="4"/>
      <c r="AI2840" s="4"/>
      <c r="AJ2840" s="4"/>
      <c r="AK2840" s="4"/>
      <c r="AL2840" s="4"/>
      <c r="AM2840" s="4"/>
      <c r="AN2840" s="4"/>
      <c r="AO2840" s="4"/>
      <c r="AP2840" s="4"/>
      <c r="AQ2840" s="4"/>
      <c r="AR2840" s="4"/>
      <c r="AS2840" s="4"/>
      <c r="AT2840" s="4"/>
      <c r="AU2840" s="4"/>
      <c r="AV2840" s="4"/>
      <c r="AW2840" s="4"/>
      <c r="AX2840" s="4"/>
      <c r="AY2840" s="4"/>
      <c r="AZ2840" s="4"/>
      <c r="BA2840" s="4"/>
      <c r="BB2840" s="4"/>
      <c r="BC2840" s="4"/>
      <c r="BD2840" s="4"/>
      <c r="BE2840" s="4"/>
      <c r="BF2840" s="4"/>
      <c r="BG2840" s="4"/>
      <c r="BH2840" s="4"/>
      <c r="BI2840" s="4"/>
      <c r="BJ2840" s="4"/>
      <c r="BK2840" s="4"/>
      <c r="BL2840" s="4"/>
      <c r="BM2840" s="4"/>
      <c r="BN2840" s="4"/>
      <c r="BO2840" s="4"/>
      <c r="BP2840" s="4"/>
      <c r="BQ2840" s="4"/>
      <c r="BR2840" s="4"/>
      <c r="BS2840" s="4"/>
      <c r="BT2840" s="4"/>
      <c r="BU2840" s="4"/>
    </row>
    <row r="2841" spans="29:73" s="1" customFormat="1" x14ac:dyDescent="0.25">
      <c r="AC2841" s="4"/>
      <c r="AD2841" s="4"/>
      <c r="AE2841" s="4"/>
      <c r="AF2841" s="4"/>
      <c r="AG2841" s="4"/>
      <c r="AH2841" s="4"/>
      <c r="AI2841" s="4"/>
      <c r="AJ2841" s="4"/>
      <c r="AK2841" s="4"/>
      <c r="AL2841" s="4"/>
      <c r="AM2841" s="4"/>
      <c r="AN2841" s="4"/>
      <c r="AO2841" s="4"/>
      <c r="AP2841" s="4"/>
      <c r="AQ2841" s="4"/>
      <c r="AR2841" s="4"/>
      <c r="AS2841" s="4"/>
      <c r="AT2841" s="4"/>
      <c r="AU2841" s="4"/>
      <c r="AV2841" s="4"/>
      <c r="AW2841" s="4"/>
      <c r="AX2841" s="4"/>
      <c r="AY2841" s="4"/>
      <c r="AZ2841" s="4"/>
      <c r="BA2841" s="4"/>
      <c r="BB2841" s="4"/>
      <c r="BC2841" s="4"/>
      <c r="BD2841" s="4"/>
      <c r="BE2841" s="4"/>
      <c r="BF2841" s="4"/>
      <c r="BG2841" s="4"/>
      <c r="BH2841" s="4"/>
      <c r="BI2841" s="4"/>
      <c r="BJ2841" s="4"/>
      <c r="BK2841" s="4"/>
      <c r="BL2841" s="4"/>
      <c r="BM2841" s="4"/>
      <c r="BN2841" s="4"/>
      <c r="BO2841" s="4"/>
      <c r="BP2841" s="4"/>
      <c r="BQ2841" s="4"/>
      <c r="BR2841" s="4"/>
      <c r="BS2841" s="4"/>
      <c r="BT2841" s="4"/>
      <c r="BU2841" s="4"/>
    </row>
    <row r="2842" spans="29:73" s="1" customFormat="1" x14ac:dyDescent="0.25">
      <c r="AC2842" s="4"/>
      <c r="AD2842" s="4"/>
      <c r="AE2842" s="4"/>
      <c r="AF2842" s="4"/>
      <c r="AG2842" s="4"/>
      <c r="AH2842" s="4"/>
      <c r="AI2842" s="4"/>
      <c r="AJ2842" s="4"/>
      <c r="AK2842" s="4"/>
      <c r="AL2842" s="4"/>
      <c r="AM2842" s="4"/>
      <c r="AN2842" s="4"/>
      <c r="AO2842" s="4"/>
      <c r="AP2842" s="4"/>
      <c r="AQ2842" s="4"/>
      <c r="AR2842" s="4"/>
      <c r="AS2842" s="4"/>
      <c r="AT2842" s="4"/>
      <c r="AU2842" s="4"/>
      <c r="AV2842" s="4"/>
      <c r="AW2842" s="4"/>
      <c r="AX2842" s="4"/>
      <c r="AY2842" s="4"/>
      <c r="AZ2842" s="4"/>
      <c r="BA2842" s="4"/>
      <c r="BB2842" s="4"/>
      <c r="BC2842" s="4"/>
      <c r="BD2842" s="4"/>
      <c r="BE2842" s="4"/>
      <c r="BF2842" s="4"/>
      <c r="BG2842" s="4"/>
      <c r="BH2842" s="4"/>
      <c r="BI2842" s="4"/>
      <c r="BJ2842" s="4"/>
      <c r="BK2842" s="4"/>
      <c r="BL2842" s="4"/>
      <c r="BM2842" s="4"/>
      <c r="BN2842" s="4"/>
      <c r="BO2842" s="4"/>
      <c r="BP2842" s="4"/>
      <c r="BQ2842" s="4"/>
      <c r="BR2842" s="4"/>
      <c r="BS2842" s="4"/>
      <c r="BT2842" s="4"/>
      <c r="BU2842" s="4"/>
    </row>
    <row r="2843" spans="29:73" s="1" customFormat="1" x14ac:dyDescent="0.25">
      <c r="AC2843" s="4"/>
      <c r="AD2843" s="4"/>
      <c r="AE2843" s="4"/>
      <c r="AF2843" s="4"/>
      <c r="AG2843" s="4"/>
      <c r="AH2843" s="4"/>
      <c r="AI2843" s="4"/>
      <c r="AJ2843" s="4"/>
      <c r="AK2843" s="4"/>
      <c r="AL2843" s="4"/>
      <c r="AM2843" s="4"/>
      <c r="AN2843" s="4"/>
      <c r="AO2843" s="4"/>
      <c r="AP2843" s="4"/>
      <c r="AQ2843" s="4"/>
      <c r="AR2843" s="4"/>
      <c r="AS2843" s="4"/>
      <c r="AT2843" s="4"/>
      <c r="AU2843" s="4"/>
      <c r="AV2843" s="4"/>
      <c r="AW2843" s="4"/>
      <c r="AX2843" s="4"/>
      <c r="AY2843" s="4"/>
      <c r="AZ2843" s="4"/>
      <c r="BA2843" s="4"/>
      <c r="BB2843" s="4"/>
      <c r="BC2843" s="4"/>
      <c r="BD2843" s="4"/>
      <c r="BE2843" s="4"/>
      <c r="BF2843" s="4"/>
      <c r="BG2843" s="4"/>
      <c r="BH2843" s="4"/>
      <c r="BI2843" s="4"/>
      <c r="BJ2843" s="4"/>
      <c r="BK2843" s="4"/>
      <c r="BL2843" s="4"/>
      <c r="BM2843" s="4"/>
      <c r="BN2843" s="4"/>
      <c r="BO2843" s="4"/>
      <c r="BP2843" s="4"/>
      <c r="BQ2843" s="4"/>
      <c r="BR2843" s="4"/>
      <c r="BS2843" s="4"/>
      <c r="BT2843" s="4"/>
      <c r="BU2843" s="4"/>
    </row>
    <row r="2844" spans="29:73" s="1" customFormat="1" x14ac:dyDescent="0.25">
      <c r="AC2844" s="4"/>
      <c r="AD2844" s="4"/>
      <c r="AE2844" s="4"/>
      <c r="AF2844" s="4"/>
      <c r="AG2844" s="4"/>
      <c r="AH2844" s="4"/>
      <c r="AI2844" s="4"/>
      <c r="AJ2844" s="4"/>
      <c r="AK2844" s="4"/>
      <c r="AL2844" s="4"/>
      <c r="AM2844" s="4"/>
      <c r="AN2844" s="4"/>
      <c r="AO2844" s="4"/>
      <c r="AP2844" s="4"/>
      <c r="AQ2844" s="4"/>
      <c r="AR2844" s="4"/>
      <c r="AS2844" s="4"/>
      <c r="AT2844" s="4"/>
      <c r="AU2844" s="4"/>
      <c r="AV2844" s="4"/>
      <c r="AW2844" s="4"/>
      <c r="AX2844" s="4"/>
      <c r="AY2844" s="4"/>
      <c r="AZ2844" s="4"/>
      <c r="BA2844" s="4"/>
      <c r="BB2844" s="4"/>
      <c r="BC2844" s="4"/>
      <c r="BD2844" s="4"/>
      <c r="BE2844" s="4"/>
      <c r="BF2844" s="4"/>
      <c r="BG2844" s="4"/>
      <c r="BH2844" s="4"/>
      <c r="BI2844" s="4"/>
      <c r="BJ2844" s="4"/>
      <c r="BK2844" s="4"/>
      <c r="BL2844" s="4"/>
      <c r="BM2844" s="4"/>
      <c r="BN2844" s="4"/>
      <c r="BO2844" s="4"/>
      <c r="BP2844" s="4"/>
      <c r="BQ2844" s="4"/>
      <c r="BR2844" s="4"/>
      <c r="BS2844" s="4"/>
      <c r="BT2844" s="4"/>
      <c r="BU2844" s="4"/>
    </row>
    <row r="2845" spans="29:73" s="1" customFormat="1" x14ac:dyDescent="0.25">
      <c r="AC2845" s="4"/>
      <c r="AD2845" s="4"/>
      <c r="AE2845" s="4"/>
      <c r="AF2845" s="4"/>
      <c r="AG2845" s="4"/>
      <c r="AH2845" s="4"/>
      <c r="AI2845" s="4"/>
      <c r="AJ2845" s="4"/>
      <c r="AK2845" s="4"/>
      <c r="AL2845" s="4"/>
      <c r="AM2845" s="4"/>
      <c r="AN2845" s="4"/>
      <c r="AO2845" s="4"/>
      <c r="AP2845" s="4"/>
      <c r="AQ2845" s="4"/>
      <c r="AR2845" s="4"/>
      <c r="AS2845" s="4"/>
      <c r="AT2845" s="4"/>
      <c r="AU2845" s="4"/>
      <c r="AV2845" s="4"/>
      <c r="AW2845" s="4"/>
      <c r="AX2845" s="4"/>
      <c r="AY2845" s="4"/>
      <c r="AZ2845" s="4"/>
      <c r="BA2845" s="4"/>
      <c r="BB2845" s="4"/>
      <c r="BC2845" s="4"/>
      <c r="BD2845" s="4"/>
      <c r="BE2845" s="4"/>
      <c r="BF2845" s="4"/>
      <c r="BG2845" s="4"/>
      <c r="BH2845" s="4"/>
      <c r="BI2845" s="4"/>
      <c r="BJ2845" s="4"/>
      <c r="BK2845" s="4"/>
      <c r="BL2845" s="4"/>
      <c r="BM2845" s="4"/>
      <c r="BN2845" s="4"/>
      <c r="BO2845" s="4"/>
      <c r="BP2845" s="4"/>
      <c r="BQ2845" s="4"/>
      <c r="BR2845" s="4"/>
      <c r="BS2845" s="4"/>
      <c r="BT2845" s="4"/>
      <c r="BU2845" s="4"/>
    </row>
    <row r="2846" spans="29:73" s="1" customFormat="1" x14ac:dyDescent="0.25">
      <c r="AC2846" s="4"/>
      <c r="AD2846" s="4"/>
      <c r="AE2846" s="4"/>
      <c r="AF2846" s="4"/>
      <c r="AG2846" s="4"/>
      <c r="AH2846" s="4"/>
      <c r="AI2846" s="4"/>
      <c r="AJ2846" s="4"/>
      <c r="AK2846" s="4"/>
      <c r="AL2846" s="4"/>
      <c r="AM2846" s="4"/>
      <c r="AN2846" s="4"/>
      <c r="AO2846" s="4"/>
      <c r="AP2846" s="4"/>
      <c r="AQ2846" s="4"/>
      <c r="AR2846" s="4"/>
      <c r="AS2846" s="4"/>
      <c r="AT2846" s="4"/>
      <c r="AU2846" s="4"/>
      <c r="AV2846" s="4"/>
      <c r="AW2846" s="4"/>
      <c r="AX2846" s="4"/>
      <c r="AY2846" s="4"/>
      <c r="AZ2846" s="4"/>
      <c r="BA2846" s="4"/>
      <c r="BB2846" s="4"/>
      <c r="BC2846" s="4"/>
      <c r="BD2846" s="4"/>
      <c r="BE2846" s="4"/>
      <c r="BF2846" s="4"/>
      <c r="BG2846" s="4"/>
      <c r="BH2846" s="4"/>
      <c r="BI2846" s="4"/>
      <c r="BJ2846" s="4"/>
      <c r="BK2846" s="4"/>
      <c r="BL2846" s="4"/>
      <c r="BM2846" s="4"/>
      <c r="BN2846" s="4"/>
      <c r="BO2846" s="4"/>
      <c r="BP2846" s="4"/>
      <c r="BQ2846" s="4"/>
      <c r="BR2846" s="4"/>
      <c r="BS2846" s="4"/>
      <c r="BT2846" s="4"/>
      <c r="BU2846" s="4"/>
    </row>
    <row r="2847" spans="29:73" s="1" customFormat="1" x14ac:dyDescent="0.25">
      <c r="AC2847" s="4"/>
      <c r="AD2847" s="4"/>
      <c r="AE2847" s="4"/>
      <c r="AF2847" s="4"/>
      <c r="AG2847" s="4"/>
      <c r="AH2847" s="4"/>
      <c r="AI2847" s="4"/>
      <c r="AJ2847" s="4"/>
      <c r="AK2847" s="4"/>
      <c r="AL2847" s="4"/>
      <c r="AM2847" s="4"/>
      <c r="AN2847" s="4"/>
      <c r="AO2847" s="4"/>
      <c r="AP2847" s="4"/>
      <c r="AQ2847" s="4"/>
      <c r="AR2847" s="4"/>
      <c r="AS2847" s="4"/>
      <c r="AT2847" s="4"/>
      <c r="AU2847" s="4"/>
      <c r="AV2847" s="4"/>
      <c r="AW2847" s="4"/>
      <c r="AX2847" s="4"/>
      <c r="AY2847" s="4"/>
      <c r="AZ2847" s="4"/>
      <c r="BA2847" s="4"/>
      <c r="BB2847" s="4"/>
      <c r="BC2847" s="4"/>
      <c r="BD2847" s="4"/>
      <c r="BE2847" s="4"/>
      <c r="BF2847" s="4"/>
      <c r="BG2847" s="4"/>
      <c r="BH2847" s="4"/>
      <c r="BI2847" s="4"/>
      <c r="BJ2847" s="4"/>
      <c r="BK2847" s="4"/>
      <c r="BL2847" s="4"/>
      <c r="BM2847" s="4"/>
      <c r="BN2847" s="4"/>
      <c r="BO2847" s="4"/>
      <c r="BP2847" s="4"/>
      <c r="BQ2847" s="4"/>
      <c r="BR2847" s="4"/>
      <c r="BS2847" s="4"/>
      <c r="BT2847" s="4"/>
      <c r="BU2847" s="4"/>
    </row>
    <row r="2848" spans="29:73" s="1" customFormat="1" x14ac:dyDescent="0.25">
      <c r="AC2848" s="4"/>
      <c r="AD2848" s="4"/>
      <c r="AE2848" s="4"/>
      <c r="AF2848" s="4"/>
      <c r="AG2848" s="4"/>
      <c r="AH2848" s="4"/>
      <c r="AI2848" s="4"/>
      <c r="AJ2848" s="4"/>
      <c r="AK2848" s="4"/>
      <c r="AL2848" s="4"/>
      <c r="AM2848" s="4"/>
      <c r="AN2848" s="4"/>
      <c r="AO2848" s="4"/>
      <c r="AP2848" s="4"/>
      <c r="AQ2848" s="4"/>
      <c r="AR2848" s="4"/>
      <c r="AS2848" s="4"/>
      <c r="AT2848" s="4"/>
      <c r="AU2848" s="4"/>
      <c r="AV2848" s="4"/>
      <c r="AW2848" s="4"/>
      <c r="AX2848" s="4"/>
      <c r="AY2848" s="4"/>
      <c r="AZ2848" s="4"/>
      <c r="BA2848" s="4"/>
      <c r="BB2848" s="4"/>
      <c r="BC2848" s="4"/>
      <c r="BD2848" s="4"/>
      <c r="BE2848" s="4"/>
      <c r="BF2848" s="4"/>
      <c r="BG2848" s="4"/>
      <c r="BH2848" s="4"/>
      <c r="BI2848" s="4"/>
      <c r="BJ2848" s="4"/>
      <c r="BK2848" s="4"/>
      <c r="BL2848" s="4"/>
      <c r="BM2848" s="4"/>
      <c r="BN2848" s="4"/>
      <c r="BO2848" s="4"/>
      <c r="BP2848" s="4"/>
      <c r="BQ2848" s="4"/>
      <c r="BR2848" s="4"/>
      <c r="BS2848" s="4"/>
      <c r="BT2848" s="4"/>
      <c r="BU2848" s="4"/>
    </row>
    <row r="2849" spans="29:73" s="1" customFormat="1" x14ac:dyDescent="0.25">
      <c r="AC2849" s="4"/>
      <c r="AD2849" s="4"/>
      <c r="AE2849" s="4"/>
      <c r="AF2849" s="4"/>
      <c r="AG2849" s="4"/>
      <c r="AH2849" s="4"/>
      <c r="AI2849" s="4"/>
      <c r="AJ2849" s="4"/>
      <c r="AK2849" s="4"/>
      <c r="AL2849" s="4"/>
      <c r="AM2849" s="4"/>
      <c r="AN2849" s="4"/>
      <c r="AO2849" s="4"/>
      <c r="AP2849" s="4"/>
      <c r="AQ2849" s="4"/>
      <c r="AR2849" s="4"/>
      <c r="AS2849" s="4"/>
      <c r="AT2849" s="4"/>
      <c r="AU2849" s="4"/>
      <c r="AV2849" s="4"/>
      <c r="AW2849" s="4"/>
      <c r="AX2849" s="4"/>
      <c r="AY2849" s="4"/>
      <c r="AZ2849" s="4"/>
      <c r="BA2849" s="4"/>
      <c r="BB2849" s="4"/>
      <c r="BC2849" s="4"/>
      <c r="BD2849" s="4"/>
      <c r="BE2849" s="4"/>
      <c r="BF2849" s="4"/>
      <c r="BG2849" s="4"/>
      <c r="BH2849" s="4"/>
      <c r="BI2849" s="4"/>
      <c r="BJ2849" s="4"/>
      <c r="BK2849" s="4"/>
      <c r="BL2849" s="4"/>
      <c r="BM2849" s="4"/>
      <c r="BN2849" s="4"/>
      <c r="BO2849" s="4"/>
      <c r="BP2849" s="4"/>
      <c r="BQ2849" s="4"/>
      <c r="BR2849" s="4"/>
      <c r="BS2849" s="4"/>
      <c r="BT2849" s="4"/>
      <c r="BU2849" s="4"/>
    </row>
    <row r="2850" spans="29:73" s="1" customFormat="1" x14ac:dyDescent="0.25">
      <c r="AC2850" s="4"/>
      <c r="AD2850" s="4"/>
      <c r="AE2850" s="4"/>
      <c r="AF2850" s="4"/>
      <c r="AG2850" s="4"/>
      <c r="AH2850" s="4"/>
      <c r="AI2850" s="4"/>
      <c r="AJ2850" s="4"/>
      <c r="AK2850" s="4"/>
      <c r="AL2850" s="4"/>
      <c r="AM2850" s="4"/>
      <c r="AN2850" s="4"/>
      <c r="AO2850" s="4"/>
      <c r="AP2850" s="4"/>
      <c r="AQ2850" s="4"/>
      <c r="AR2850" s="4"/>
      <c r="AS2850" s="4"/>
      <c r="AT2850" s="4"/>
      <c r="AU2850" s="4"/>
      <c r="AV2850" s="4"/>
      <c r="AW2850" s="4"/>
      <c r="AX2850" s="4"/>
      <c r="AY2850" s="4"/>
      <c r="AZ2850" s="4"/>
      <c r="BA2850" s="4"/>
      <c r="BB2850" s="4"/>
      <c r="BC2850" s="4"/>
      <c r="BD2850" s="4"/>
      <c r="BE2850" s="4"/>
      <c r="BF2850" s="4"/>
      <c r="BG2850" s="4"/>
      <c r="BH2850" s="4"/>
      <c r="BI2850" s="4"/>
      <c r="BJ2850" s="4"/>
      <c r="BK2850" s="4"/>
      <c r="BL2850" s="4"/>
      <c r="BM2850" s="4"/>
      <c r="BN2850" s="4"/>
      <c r="BO2850" s="4"/>
      <c r="BP2850" s="4"/>
      <c r="BQ2850" s="4"/>
      <c r="BR2850" s="4"/>
      <c r="BS2850" s="4"/>
      <c r="BT2850" s="4"/>
      <c r="BU2850" s="4"/>
    </row>
    <row r="2851" spans="29:73" s="1" customFormat="1" x14ac:dyDescent="0.25">
      <c r="AC2851" s="4"/>
      <c r="AD2851" s="4"/>
      <c r="AE2851" s="4"/>
      <c r="AF2851" s="4"/>
      <c r="AG2851" s="4"/>
      <c r="AH2851" s="4"/>
      <c r="AI2851" s="4"/>
      <c r="AJ2851" s="4"/>
      <c r="AK2851" s="4"/>
      <c r="AL2851" s="4"/>
      <c r="AM2851" s="4"/>
      <c r="AN2851" s="4"/>
      <c r="AO2851" s="4"/>
      <c r="AP2851" s="4"/>
      <c r="AQ2851" s="4"/>
      <c r="AR2851" s="4"/>
      <c r="AS2851" s="4"/>
      <c r="AT2851" s="4"/>
      <c r="AU2851" s="4"/>
      <c r="AV2851" s="4"/>
      <c r="AW2851" s="4"/>
      <c r="AX2851" s="4"/>
      <c r="AY2851" s="4"/>
      <c r="AZ2851" s="4"/>
      <c r="BA2851" s="4"/>
      <c r="BB2851" s="4"/>
      <c r="BC2851" s="4"/>
      <c r="BD2851" s="4"/>
      <c r="BE2851" s="4"/>
      <c r="BF2851" s="4"/>
      <c r="BG2851" s="4"/>
      <c r="BH2851" s="4"/>
      <c r="BI2851" s="4"/>
      <c r="BJ2851" s="4"/>
      <c r="BK2851" s="4"/>
      <c r="BL2851" s="4"/>
      <c r="BM2851" s="4"/>
      <c r="BN2851" s="4"/>
      <c r="BO2851" s="4"/>
      <c r="BP2851" s="4"/>
      <c r="BQ2851" s="4"/>
      <c r="BR2851" s="4"/>
      <c r="BS2851" s="4"/>
      <c r="BT2851" s="4"/>
      <c r="BU2851" s="4"/>
    </row>
    <row r="2852" spans="29:73" s="1" customFormat="1" x14ac:dyDescent="0.25">
      <c r="AC2852" s="4"/>
      <c r="AD2852" s="4"/>
      <c r="AE2852" s="4"/>
      <c r="AF2852" s="4"/>
      <c r="AG2852" s="4"/>
      <c r="AH2852" s="4"/>
      <c r="AI2852" s="4"/>
      <c r="AJ2852" s="4"/>
      <c r="AK2852" s="4"/>
      <c r="AL2852" s="4"/>
      <c r="AM2852" s="4"/>
      <c r="AN2852" s="4"/>
      <c r="AO2852" s="4"/>
      <c r="AP2852" s="4"/>
      <c r="AQ2852" s="4"/>
      <c r="AR2852" s="4"/>
      <c r="AS2852" s="4"/>
      <c r="AT2852" s="4"/>
      <c r="AU2852" s="4"/>
      <c r="AV2852" s="4"/>
      <c r="AW2852" s="4"/>
      <c r="AX2852" s="4"/>
      <c r="AY2852" s="4"/>
      <c r="AZ2852" s="4"/>
      <c r="BA2852" s="4"/>
      <c r="BB2852" s="4"/>
      <c r="BC2852" s="4"/>
      <c r="BD2852" s="4"/>
      <c r="BE2852" s="4"/>
      <c r="BF2852" s="4"/>
      <c r="BG2852" s="4"/>
      <c r="BH2852" s="4"/>
      <c r="BI2852" s="4"/>
      <c r="BJ2852" s="4"/>
      <c r="BK2852" s="4"/>
      <c r="BL2852" s="4"/>
      <c r="BM2852" s="4"/>
      <c r="BN2852" s="4"/>
      <c r="BO2852" s="4"/>
      <c r="BP2852" s="4"/>
      <c r="BQ2852" s="4"/>
      <c r="BR2852" s="4"/>
      <c r="BS2852" s="4"/>
      <c r="BT2852" s="4"/>
      <c r="BU2852" s="4"/>
    </row>
    <row r="2853" spans="29:73" s="1" customFormat="1" x14ac:dyDescent="0.25">
      <c r="AC2853" s="4"/>
      <c r="AD2853" s="4"/>
      <c r="AE2853" s="4"/>
      <c r="AF2853" s="4"/>
      <c r="AG2853" s="4"/>
      <c r="AH2853" s="4"/>
      <c r="AI2853" s="4"/>
      <c r="AJ2853" s="4"/>
      <c r="AK2853" s="4"/>
      <c r="AL2853" s="4"/>
      <c r="AM2853" s="4"/>
      <c r="AN2853" s="4"/>
      <c r="AO2853" s="4"/>
      <c r="AP2853" s="4"/>
      <c r="AQ2853" s="4"/>
      <c r="AR2853" s="4"/>
      <c r="AS2853" s="4"/>
      <c r="AT2853" s="4"/>
      <c r="AU2853" s="4"/>
      <c r="AV2853" s="4"/>
      <c r="AW2853" s="4"/>
      <c r="AX2853" s="4"/>
      <c r="AY2853" s="4"/>
      <c r="AZ2853" s="4"/>
      <c r="BA2853" s="4"/>
      <c r="BB2853" s="4"/>
      <c r="BC2853" s="4"/>
      <c r="BD2853" s="4"/>
      <c r="BE2853" s="4"/>
      <c r="BF2853" s="4"/>
      <c r="BG2853" s="4"/>
      <c r="BH2853" s="4"/>
      <c r="BI2853" s="4"/>
      <c r="BJ2853" s="4"/>
      <c r="BK2853" s="4"/>
      <c r="BL2853" s="4"/>
      <c r="BM2853" s="4"/>
      <c r="BN2853" s="4"/>
      <c r="BO2853" s="4"/>
      <c r="BP2853" s="4"/>
      <c r="BQ2853" s="4"/>
      <c r="BR2853" s="4"/>
      <c r="BS2853" s="4"/>
      <c r="BT2853" s="4"/>
      <c r="BU2853" s="4"/>
    </row>
    <row r="2854" spans="29:73" s="1" customFormat="1" x14ac:dyDescent="0.25">
      <c r="AC2854" s="4"/>
      <c r="AD2854" s="4"/>
      <c r="AE2854" s="4"/>
      <c r="AF2854" s="4"/>
      <c r="AG2854" s="4"/>
      <c r="AH2854" s="4"/>
      <c r="AI2854" s="4"/>
      <c r="AJ2854" s="4"/>
      <c r="AK2854" s="4"/>
      <c r="AL2854" s="4"/>
      <c r="AM2854" s="4"/>
      <c r="AN2854" s="4"/>
      <c r="AO2854" s="4"/>
      <c r="AP2854" s="4"/>
      <c r="AQ2854" s="4"/>
      <c r="AR2854" s="4"/>
      <c r="AS2854" s="4"/>
      <c r="AT2854" s="4"/>
      <c r="AU2854" s="4"/>
      <c r="AV2854" s="4"/>
      <c r="AW2854" s="4"/>
      <c r="AX2854" s="4"/>
      <c r="AY2854" s="4"/>
      <c r="AZ2854" s="4"/>
      <c r="BA2854" s="4"/>
      <c r="BB2854" s="4"/>
      <c r="BC2854" s="4"/>
      <c r="BD2854" s="4"/>
      <c r="BE2854" s="4"/>
      <c r="BF2854" s="4"/>
      <c r="BG2854" s="4"/>
      <c r="BH2854" s="4"/>
      <c r="BI2854" s="4"/>
      <c r="BJ2854" s="4"/>
      <c r="BK2854" s="4"/>
      <c r="BL2854" s="4"/>
      <c r="BM2854" s="4"/>
      <c r="BN2854" s="4"/>
      <c r="BO2854" s="4"/>
      <c r="BP2854" s="4"/>
      <c r="BQ2854" s="4"/>
      <c r="BR2854" s="4"/>
      <c r="BS2854" s="4"/>
      <c r="BT2854" s="4"/>
      <c r="BU2854" s="4"/>
    </row>
    <row r="2855" spans="29:73" s="1" customFormat="1" x14ac:dyDescent="0.25">
      <c r="AC2855" s="4"/>
      <c r="AD2855" s="4"/>
      <c r="AE2855" s="4"/>
      <c r="AF2855" s="4"/>
      <c r="AG2855" s="4"/>
      <c r="AH2855" s="4"/>
      <c r="AI2855" s="4"/>
      <c r="AJ2855" s="4"/>
      <c r="AK2855" s="4"/>
      <c r="AL2855" s="4"/>
      <c r="AM2855" s="4"/>
      <c r="AN2855" s="4"/>
      <c r="AO2855" s="4"/>
      <c r="AP2855" s="4"/>
      <c r="AQ2855" s="4"/>
      <c r="AR2855" s="4"/>
      <c r="AS2855" s="4"/>
      <c r="AT2855" s="4"/>
      <c r="AU2855" s="4"/>
      <c r="AV2855" s="4"/>
      <c r="AW2855" s="4"/>
      <c r="AX2855" s="4"/>
      <c r="AY2855" s="4"/>
      <c r="AZ2855" s="4"/>
      <c r="BA2855" s="4"/>
      <c r="BB2855" s="4"/>
      <c r="BC2855" s="4"/>
      <c r="BD2855" s="4"/>
      <c r="BE2855" s="4"/>
      <c r="BF2855" s="4"/>
      <c r="BG2855" s="4"/>
      <c r="BH2855" s="4"/>
      <c r="BI2855" s="4"/>
      <c r="BJ2855" s="4"/>
      <c r="BK2855" s="4"/>
      <c r="BL2855" s="4"/>
      <c r="BM2855" s="4"/>
      <c r="BN2855" s="4"/>
      <c r="BO2855" s="4"/>
      <c r="BP2855" s="4"/>
      <c r="BQ2855" s="4"/>
      <c r="BR2855" s="4"/>
      <c r="BS2855" s="4"/>
      <c r="BT2855" s="4"/>
      <c r="BU2855" s="4"/>
    </row>
    <row r="2856" spans="29:73" s="1" customFormat="1" x14ac:dyDescent="0.25">
      <c r="AC2856" s="4"/>
      <c r="AD2856" s="4"/>
      <c r="AE2856" s="4"/>
      <c r="AF2856" s="4"/>
      <c r="AG2856" s="4"/>
      <c r="AH2856" s="4"/>
      <c r="AI2856" s="4"/>
      <c r="AJ2856" s="4"/>
      <c r="AK2856" s="4"/>
      <c r="AL2856" s="4"/>
      <c r="AM2856" s="4"/>
      <c r="AN2856" s="4"/>
      <c r="AO2856" s="4"/>
      <c r="AP2856" s="4"/>
      <c r="AQ2856" s="4"/>
      <c r="AR2856" s="4"/>
      <c r="AS2856" s="4"/>
      <c r="AT2856" s="4"/>
      <c r="AU2856" s="4"/>
      <c r="AV2856" s="4"/>
      <c r="AW2856" s="4"/>
      <c r="AX2856" s="4"/>
      <c r="AY2856" s="4"/>
      <c r="AZ2856" s="4"/>
      <c r="BA2856" s="4"/>
      <c r="BB2856" s="4"/>
      <c r="BC2856" s="4"/>
      <c r="BD2856" s="4"/>
      <c r="BE2856" s="4"/>
      <c r="BF2856" s="4"/>
      <c r="BG2856" s="4"/>
      <c r="BH2856" s="4"/>
      <c r="BI2856" s="4"/>
      <c r="BJ2856" s="4"/>
      <c r="BK2856" s="4"/>
      <c r="BL2856" s="4"/>
      <c r="BM2856" s="4"/>
      <c r="BN2856" s="4"/>
      <c r="BO2856" s="4"/>
      <c r="BP2856" s="4"/>
      <c r="BQ2856" s="4"/>
      <c r="BR2856" s="4"/>
      <c r="BS2856" s="4"/>
      <c r="BT2856" s="4"/>
      <c r="BU2856" s="4"/>
    </row>
    <row r="2857" spans="29:73" s="1" customFormat="1" x14ac:dyDescent="0.25">
      <c r="AC2857" s="4"/>
      <c r="AD2857" s="4"/>
      <c r="AE2857" s="4"/>
      <c r="AF2857" s="4"/>
      <c r="AG2857" s="4"/>
      <c r="AH2857" s="4"/>
      <c r="AI2857" s="4"/>
      <c r="AJ2857" s="4"/>
      <c r="AK2857" s="4"/>
      <c r="AL2857" s="4"/>
      <c r="AM2857" s="4"/>
      <c r="AN2857" s="4"/>
      <c r="AO2857" s="4"/>
      <c r="AP2857" s="4"/>
      <c r="AQ2857" s="4"/>
      <c r="AR2857" s="4"/>
      <c r="AS2857" s="4"/>
      <c r="AT2857" s="4"/>
      <c r="AU2857" s="4"/>
      <c r="AV2857" s="4"/>
      <c r="AW2857" s="4"/>
      <c r="AX2857" s="4"/>
      <c r="AY2857" s="4"/>
      <c r="AZ2857" s="4"/>
      <c r="BA2857" s="4"/>
      <c r="BB2857" s="4"/>
      <c r="BC2857" s="4"/>
      <c r="BD2857" s="4"/>
      <c r="BE2857" s="4"/>
      <c r="BF2857" s="4"/>
      <c r="BG2857" s="4"/>
      <c r="BH2857" s="4"/>
      <c r="BI2857" s="4"/>
      <c r="BJ2857" s="4"/>
      <c r="BK2857" s="4"/>
      <c r="BL2857" s="4"/>
      <c r="BM2857" s="4"/>
      <c r="BN2857" s="4"/>
      <c r="BO2857" s="4"/>
      <c r="BP2857" s="4"/>
      <c r="BQ2857" s="4"/>
      <c r="BR2857" s="4"/>
      <c r="BS2857" s="4"/>
      <c r="BT2857" s="4"/>
      <c r="BU2857" s="4"/>
    </row>
    <row r="2858" spans="29:73" s="1" customFormat="1" x14ac:dyDescent="0.25">
      <c r="AC2858" s="4"/>
      <c r="AD2858" s="4"/>
      <c r="AE2858" s="4"/>
      <c r="AF2858" s="4"/>
      <c r="AG2858" s="4"/>
      <c r="AH2858" s="4"/>
      <c r="AI2858" s="4"/>
      <c r="AJ2858" s="4"/>
      <c r="AK2858" s="4"/>
      <c r="AL2858" s="4"/>
      <c r="AM2858" s="4"/>
      <c r="AN2858" s="4"/>
      <c r="AO2858" s="4"/>
      <c r="AP2858" s="4"/>
      <c r="AQ2858" s="4"/>
      <c r="AR2858" s="4"/>
      <c r="AS2858" s="4"/>
      <c r="AT2858" s="4"/>
      <c r="AU2858" s="4"/>
      <c r="AV2858" s="4"/>
      <c r="AW2858" s="4"/>
      <c r="AX2858" s="4"/>
      <c r="AY2858" s="4"/>
      <c r="AZ2858" s="4"/>
      <c r="BA2858" s="4"/>
      <c r="BB2858" s="4"/>
      <c r="BC2858" s="4"/>
      <c r="BD2858" s="4"/>
      <c r="BE2858" s="4"/>
      <c r="BF2858" s="4"/>
      <c r="BG2858" s="4"/>
      <c r="BH2858" s="4"/>
      <c r="BI2858" s="4"/>
      <c r="BJ2858" s="4"/>
      <c r="BK2858" s="4"/>
      <c r="BL2858" s="4"/>
      <c r="BM2858" s="4"/>
      <c r="BN2858" s="4"/>
      <c r="BO2858" s="4"/>
      <c r="BP2858" s="4"/>
      <c r="BQ2858" s="4"/>
      <c r="BR2858" s="4"/>
      <c r="BS2858" s="4"/>
      <c r="BT2858" s="4"/>
      <c r="BU2858" s="4"/>
    </row>
    <row r="2859" spans="29:73" s="1" customFormat="1" x14ac:dyDescent="0.25">
      <c r="AC2859" s="4"/>
      <c r="AD2859" s="4"/>
      <c r="AE2859" s="4"/>
      <c r="AF2859" s="4"/>
      <c r="AG2859" s="4"/>
      <c r="AH2859" s="4"/>
      <c r="AI2859" s="4"/>
      <c r="AJ2859" s="4"/>
      <c r="AK2859" s="4"/>
      <c r="AL2859" s="4"/>
      <c r="AM2859" s="4"/>
      <c r="AN2859" s="4"/>
      <c r="AO2859" s="4"/>
      <c r="AP2859" s="4"/>
      <c r="AQ2859" s="4"/>
      <c r="AR2859" s="4"/>
      <c r="AS2859" s="4"/>
      <c r="AT2859" s="4"/>
      <c r="AU2859" s="4"/>
      <c r="AV2859" s="4"/>
      <c r="AW2859" s="4"/>
      <c r="AX2859" s="4"/>
      <c r="AY2859" s="4"/>
      <c r="AZ2859" s="4"/>
      <c r="BA2859" s="4"/>
      <c r="BB2859" s="4"/>
      <c r="BC2859" s="4"/>
      <c r="BD2859" s="4"/>
      <c r="BE2859" s="4"/>
      <c r="BF2859" s="4"/>
      <c r="BG2859" s="4"/>
      <c r="BH2859" s="4"/>
      <c r="BI2859" s="4"/>
      <c r="BJ2859" s="4"/>
      <c r="BK2859" s="4"/>
      <c r="BL2859" s="4"/>
      <c r="BM2859" s="4"/>
      <c r="BN2859" s="4"/>
      <c r="BO2859" s="4"/>
      <c r="BP2859" s="4"/>
      <c r="BQ2859" s="4"/>
      <c r="BR2859" s="4"/>
      <c r="BS2859" s="4"/>
      <c r="BT2859" s="4"/>
      <c r="BU2859" s="4"/>
    </row>
    <row r="2860" spans="29:73" s="1" customFormat="1" x14ac:dyDescent="0.25">
      <c r="AC2860" s="4"/>
      <c r="AD2860" s="4"/>
      <c r="AE2860" s="4"/>
      <c r="AF2860" s="4"/>
      <c r="AG2860" s="4"/>
      <c r="AH2860" s="4"/>
      <c r="AI2860" s="4"/>
      <c r="AJ2860" s="4"/>
      <c r="AK2860" s="4"/>
      <c r="AL2860" s="4"/>
      <c r="AM2860" s="4"/>
      <c r="AN2860" s="4"/>
      <c r="AO2860" s="4"/>
      <c r="AP2860" s="4"/>
      <c r="AQ2860" s="4"/>
      <c r="AR2860" s="4"/>
      <c r="AS2860" s="4"/>
      <c r="AT2860" s="4"/>
      <c r="AU2860" s="4"/>
      <c r="AV2860" s="4"/>
      <c r="AW2860" s="4"/>
      <c r="AX2860" s="4"/>
      <c r="AY2860" s="4"/>
      <c r="AZ2860" s="4"/>
      <c r="BA2860" s="4"/>
      <c r="BB2860" s="4"/>
      <c r="BC2860" s="4"/>
      <c r="BD2860" s="4"/>
      <c r="BE2860" s="4"/>
      <c r="BF2860" s="4"/>
      <c r="BG2860" s="4"/>
      <c r="BH2860" s="4"/>
      <c r="BI2860" s="4"/>
      <c r="BJ2860" s="4"/>
      <c r="BK2860" s="4"/>
      <c r="BL2860" s="4"/>
      <c r="BM2860" s="4"/>
      <c r="BN2860" s="4"/>
      <c r="BO2860" s="4"/>
      <c r="BP2860" s="4"/>
      <c r="BQ2860" s="4"/>
      <c r="BR2860" s="4"/>
      <c r="BS2860" s="4"/>
      <c r="BT2860" s="4"/>
      <c r="BU2860" s="4"/>
    </row>
    <row r="2861" spans="29:73" s="1" customFormat="1" x14ac:dyDescent="0.25">
      <c r="AC2861" s="4"/>
      <c r="AD2861" s="4"/>
      <c r="AE2861" s="4"/>
      <c r="AF2861" s="4"/>
      <c r="AG2861" s="4"/>
      <c r="AH2861" s="4"/>
      <c r="AI2861" s="4"/>
      <c r="AJ2861" s="4"/>
      <c r="AK2861" s="4"/>
      <c r="AL2861" s="4"/>
      <c r="AM2861" s="4"/>
      <c r="AN2861" s="4"/>
      <c r="AO2861" s="4"/>
      <c r="AP2861" s="4"/>
      <c r="AQ2861" s="4"/>
      <c r="AR2861" s="4"/>
      <c r="AS2861" s="4"/>
      <c r="AT2861" s="4"/>
      <c r="AU2861" s="4"/>
      <c r="AV2861" s="4"/>
      <c r="AW2861" s="4"/>
      <c r="AX2861" s="4"/>
      <c r="AY2861" s="4"/>
      <c r="AZ2861" s="4"/>
      <c r="BA2861" s="4"/>
      <c r="BB2861" s="4"/>
      <c r="BC2861" s="4"/>
      <c r="BD2861" s="4"/>
      <c r="BE2861" s="4"/>
      <c r="BF2861" s="4"/>
      <c r="BG2861" s="4"/>
      <c r="BH2861" s="4"/>
      <c r="BI2861" s="4"/>
      <c r="BJ2861" s="4"/>
      <c r="BK2861" s="4"/>
      <c r="BL2861" s="4"/>
      <c r="BM2861" s="4"/>
      <c r="BN2861" s="4"/>
      <c r="BO2861" s="4"/>
      <c r="BP2861" s="4"/>
      <c r="BQ2861" s="4"/>
      <c r="BR2861" s="4"/>
      <c r="BS2861" s="4"/>
      <c r="BT2861" s="4"/>
      <c r="BU2861" s="4"/>
    </row>
    <row r="2862" spans="29:73" s="1" customFormat="1" x14ac:dyDescent="0.25">
      <c r="AC2862" s="4"/>
      <c r="AD2862" s="4"/>
      <c r="AE2862" s="4"/>
      <c r="AF2862" s="4"/>
      <c r="AG2862" s="4"/>
      <c r="AH2862" s="4"/>
      <c r="AI2862" s="4"/>
      <c r="AJ2862" s="4"/>
      <c r="AK2862" s="4"/>
      <c r="AL2862" s="4"/>
      <c r="AM2862" s="4"/>
      <c r="AN2862" s="4"/>
      <c r="AO2862" s="4"/>
      <c r="AP2862" s="4"/>
      <c r="AQ2862" s="4"/>
      <c r="AR2862" s="4"/>
      <c r="AS2862" s="4"/>
      <c r="AT2862" s="4"/>
      <c r="AU2862" s="4"/>
      <c r="AV2862" s="4"/>
      <c r="AW2862" s="4"/>
      <c r="AX2862" s="4"/>
      <c r="AY2862" s="4"/>
      <c r="AZ2862" s="4"/>
      <c r="BA2862" s="4"/>
      <c r="BB2862" s="4"/>
      <c r="BC2862" s="4"/>
      <c r="BD2862" s="4"/>
      <c r="BE2862" s="4"/>
      <c r="BF2862" s="4"/>
      <c r="BG2862" s="4"/>
      <c r="BH2862" s="4"/>
      <c r="BI2862" s="4"/>
      <c r="BJ2862" s="4"/>
      <c r="BK2862" s="4"/>
      <c r="BL2862" s="4"/>
      <c r="BM2862" s="4"/>
      <c r="BN2862" s="4"/>
      <c r="BO2862" s="4"/>
      <c r="BP2862" s="4"/>
      <c r="BQ2862" s="4"/>
      <c r="BR2862" s="4"/>
      <c r="BS2862" s="4"/>
      <c r="BT2862" s="4"/>
      <c r="BU2862" s="4"/>
    </row>
    <row r="2863" spans="29:73" s="1" customFormat="1" x14ac:dyDescent="0.25">
      <c r="AC2863" s="4"/>
      <c r="AD2863" s="4"/>
      <c r="AE2863" s="4"/>
      <c r="AF2863" s="4"/>
      <c r="AG2863" s="4"/>
      <c r="AH2863" s="4"/>
      <c r="AI2863" s="4"/>
      <c r="AJ2863" s="4"/>
      <c r="AK2863" s="4"/>
      <c r="AL2863" s="4"/>
      <c r="AM2863" s="4"/>
      <c r="AN2863" s="4"/>
      <c r="AO2863" s="4"/>
      <c r="AP2863" s="4"/>
      <c r="AQ2863" s="4"/>
      <c r="AR2863" s="4"/>
      <c r="AS2863" s="4"/>
      <c r="AT2863" s="4"/>
      <c r="AU2863" s="4"/>
      <c r="AV2863" s="4"/>
      <c r="AW2863" s="4"/>
      <c r="AX2863" s="4"/>
      <c r="AY2863" s="4"/>
      <c r="AZ2863" s="4"/>
      <c r="BA2863" s="4"/>
      <c r="BB2863" s="4"/>
      <c r="BC2863" s="4"/>
      <c r="BD2863" s="4"/>
      <c r="BE2863" s="4"/>
      <c r="BF2863" s="4"/>
      <c r="BG2863" s="4"/>
      <c r="BH2863" s="4"/>
      <c r="BI2863" s="4"/>
      <c r="BJ2863" s="4"/>
      <c r="BK2863" s="4"/>
      <c r="BL2863" s="4"/>
      <c r="BM2863" s="4"/>
      <c r="BN2863" s="4"/>
      <c r="BO2863" s="4"/>
      <c r="BP2863" s="4"/>
      <c r="BQ2863" s="4"/>
      <c r="BR2863" s="4"/>
      <c r="BS2863" s="4"/>
      <c r="BT2863" s="4"/>
      <c r="BU2863" s="4"/>
    </row>
    <row r="2864" spans="29:73" s="1" customFormat="1" x14ac:dyDescent="0.25">
      <c r="AC2864" s="4"/>
      <c r="AD2864" s="4"/>
      <c r="AE2864" s="4"/>
      <c r="AF2864" s="4"/>
      <c r="AG2864" s="4"/>
      <c r="AH2864" s="4"/>
      <c r="AI2864" s="4"/>
      <c r="AJ2864" s="4"/>
      <c r="AK2864" s="4"/>
      <c r="AL2864" s="4"/>
      <c r="AM2864" s="4"/>
      <c r="AN2864" s="4"/>
      <c r="AO2864" s="4"/>
      <c r="AP2864" s="4"/>
      <c r="AQ2864" s="4"/>
      <c r="AR2864" s="4"/>
      <c r="AS2864" s="4"/>
      <c r="AT2864" s="4"/>
      <c r="AU2864" s="4"/>
      <c r="AV2864" s="4"/>
      <c r="AW2864" s="4"/>
      <c r="AX2864" s="4"/>
      <c r="AY2864" s="4"/>
      <c r="AZ2864" s="4"/>
      <c r="BA2864" s="4"/>
      <c r="BB2864" s="4"/>
      <c r="BC2864" s="4"/>
      <c r="BD2864" s="4"/>
      <c r="BE2864" s="4"/>
      <c r="BF2864" s="4"/>
      <c r="BG2864" s="4"/>
      <c r="BH2864" s="4"/>
      <c r="BI2864" s="4"/>
      <c r="BJ2864" s="4"/>
      <c r="BK2864" s="4"/>
      <c r="BL2864" s="4"/>
      <c r="BM2864" s="4"/>
      <c r="BN2864" s="4"/>
      <c r="BO2864" s="4"/>
      <c r="BP2864" s="4"/>
      <c r="BQ2864" s="4"/>
      <c r="BR2864" s="4"/>
      <c r="BS2864" s="4"/>
      <c r="BT2864" s="4"/>
      <c r="BU2864" s="4"/>
    </row>
    <row r="2865" spans="29:73" s="1" customFormat="1" x14ac:dyDescent="0.25">
      <c r="AC2865" s="4"/>
      <c r="AD2865" s="4"/>
      <c r="AE2865" s="4"/>
      <c r="AF2865" s="4"/>
      <c r="AG2865" s="4"/>
      <c r="AH2865" s="4"/>
      <c r="AI2865" s="4"/>
      <c r="AJ2865" s="4"/>
      <c r="AK2865" s="4"/>
      <c r="AL2865" s="4"/>
      <c r="AM2865" s="4"/>
      <c r="AN2865" s="4"/>
      <c r="AO2865" s="4"/>
      <c r="AP2865" s="4"/>
      <c r="AQ2865" s="4"/>
      <c r="AR2865" s="4"/>
      <c r="AS2865" s="4"/>
      <c r="AT2865" s="4"/>
      <c r="AU2865" s="4"/>
      <c r="AV2865" s="4"/>
      <c r="AW2865" s="4"/>
      <c r="AX2865" s="4"/>
      <c r="AY2865" s="4"/>
      <c r="AZ2865" s="4"/>
      <c r="BA2865" s="4"/>
      <c r="BB2865" s="4"/>
      <c r="BC2865" s="4"/>
      <c r="BD2865" s="4"/>
      <c r="BE2865" s="4"/>
      <c r="BF2865" s="4"/>
      <c r="BG2865" s="4"/>
      <c r="BH2865" s="4"/>
      <c r="BI2865" s="4"/>
      <c r="BJ2865" s="4"/>
      <c r="BK2865" s="4"/>
      <c r="BL2865" s="4"/>
      <c r="BM2865" s="4"/>
      <c r="BN2865" s="4"/>
      <c r="BO2865" s="4"/>
      <c r="BP2865" s="4"/>
      <c r="BQ2865" s="4"/>
      <c r="BR2865" s="4"/>
      <c r="BS2865" s="4"/>
      <c r="BT2865" s="4"/>
      <c r="BU2865" s="4"/>
    </row>
    <row r="2866" spans="29:73" s="1" customFormat="1" x14ac:dyDescent="0.25">
      <c r="AC2866" s="4"/>
      <c r="AD2866" s="4"/>
      <c r="AE2866" s="4"/>
      <c r="AF2866" s="4"/>
      <c r="AG2866" s="4"/>
      <c r="AH2866" s="4"/>
      <c r="AI2866" s="4"/>
      <c r="AJ2866" s="4"/>
      <c r="AK2866" s="4"/>
      <c r="AL2866" s="4"/>
      <c r="AM2866" s="4"/>
      <c r="AN2866" s="4"/>
      <c r="AO2866" s="4"/>
      <c r="AP2866" s="4"/>
      <c r="AQ2866" s="4"/>
      <c r="AR2866" s="4"/>
      <c r="AS2866" s="4"/>
      <c r="AT2866" s="4"/>
      <c r="AU2866" s="4"/>
      <c r="AV2866" s="4"/>
      <c r="AW2866" s="4"/>
      <c r="AX2866" s="4"/>
      <c r="AY2866" s="4"/>
      <c r="AZ2866" s="4"/>
      <c r="BA2866" s="4"/>
      <c r="BB2866" s="4"/>
      <c r="BC2866" s="4"/>
      <c r="BD2866" s="4"/>
      <c r="BE2866" s="4"/>
      <c r="BF2866" s="4"/>
      <c r="BG2866" s="4"/>
      <c r="BH2866" s="4"/>
      <c r="BI2866" s="4"/>
      <c r="BJ2866" s="4"/>
      <c r="BK2866" s="4"/>
      <c r="BL2866" s="4"/>
      <c r="BM2866" s="4"/>
      <c r="BN2866" s="4"/>
      <c r="BO2866" s="4"/>
      <c r="BP2866" s="4"/>
      <c r="BQ2866" s="4"/>
      <c r="BR2866" s="4"/>
      <c r="BS2866" s="4"/>
      <c r="BT2866" s="4"/>
      <c r="BU2866" s="4"/>
    </row>
    <row r="2867" spans="29:73" s="1" customFormat="1" x14ac:dyDescent="0.25">
      <c r="AC2867" s="4"/>
      <c r="AD2867" s="4"/>
      <c r="AE2867" s="4"/>
      <c r="AF2867" s="4"/>
      <c r="AG2867" s="4"/>
      <c r="AH2867" s="4"/>
      <c r="AI2867" s="4"/>
      <c r="AJ2867" s="4"/>
      <c r="AK2867" s="4"/>
      <c r="AL2867" s="4"/>
      <c r="AM2867" s="4"/>
      <c r="AN2867" s="4"/>
      <c r="AO2867" s="4"/>
      <c r="AP2867" s="4"/>
      <c r="AQ2867" s="4"/>
      <c r="AR2867" s="4"/>
      <c r="AS2867" s="4"/>
      <c r="AT2867" s="4"/>
      <c r="AU2867" s="4"/>
      <c r="AV2867" s="4"/>
      <c r="AW2867" s="4"/>
      <c r="AX2867" s="4"/>
      <c r="AY2867" s="4"/>
      <c r="AZ2867" s="4"/>
      <c r="BA2867" s="4"/>
      <c r="BB2867" s="4"/>
      <c r="BC2867" s="4"/>
      <c r="BD2867" s="4"/>
      <c r="BE2867" s="4"/>
      <c r="BF2867" s="4"/>
      <c r="BG2867" s="4"/>
      <c r="BH2867" s="4"/>
      <c r="BI2867" s="4"/>
      <c r="BJ2867" s="4"/>
      <c r="BK2867" s="4"/>
      <c r="BL2867" s="4"/>
      <c r="BM2867" s="4"/>
      <c r="BN2867" s="4"/>
      <c r="BO2867" s="4"/>
      <c r="BP2867" s="4"/>
      <c r="BQ2867" s="4"/>
      <c r="BR2867" s="4"/>
      <c r="BS2867" s="4"/>
      <c r="BT2867" s="4"/>
      <c r="BU2867" s="4"/>
    </row>
    <row r="2868" spans="29:73" s="1" customFormat="1" x14ac:dyDescent="0.25">
      <c r="AC2868" s="4"/>
      <c r="AD2868" s="4"/>
      <c r="AE2868" s="4"/>
      <c r="AF2868" s="4"/>
      <c r="AG2868" s="4"/>
      <c r="AH2868" s="4"/>
      <c r="AI2868" s="4"/>
      <c r="AJ2868" s="4"/>
      <c r="AK2868" s="4"/>
      <c r="AL2868" s="4"/>
      <c r="AM2868" s="4"/>
      <c r="AN2868" s="4"/>
      <c r="AO2868" s="4"/>
      <c r="AP2868" s="4"/>
      <c r="AQ2868" s="4"/>
      <c r="AR2868" s="4"/>
      <c r="AS2868" s="4"/>
      <c r="AT2868" s="4"/>
      <c r="AU2868" s="4"/>
      <c r="AV2868" s="4"/>
      <c r="AW2868" s="4"/>
      <c r="AX2868" s="4"/>
      <c r="AY2868" s="4"/>
      <c r="AZ2868" s="4"/>
      <c r="BA2868" s="4"/>
      <c r="BB2868" s="4"/>
      <c r="BC2868" s="4"/>
      <c r="BD2868" s="4"/>
      <c r="BE2868" s="4"/>
      <c r="BF2868" s="4"/>
      <c r="BG2868" s="4"/>
      <c r="BH2868" s="4"/>
      <c r="BI2868" s="4"/>
      <c r="BJ2868" s="4"/>
      <c r="BK2868" s="4"/>
      <c r="BL2868" s="4"/>
      <c r="BM2868" s="4"/>
      <c r="BN2868" s="4"/>
      <c r="BO2868" s="4"/>
      <c r="BP2868" s="4"/>
      <c r="BQ2868" s="4"/>
      <c r="BR2868" s="4"/>
      <c r="BS2868" s="4"/>
      <c r="BT2868" s="4"/>
      <c r="BU2868" s="4"/>
    </row>
    <row r="2869" spans="29:73" s="1" customFormat="1" x14ac:dyDescent="0.25">
      <c r="AC2869" s="4"/>
      <c r="AD2869" s="4"/>
      <c r="AE2869" s="4"/>
      <c r="AF2869" s="4"/>
      <c r="AG2869" s="4"/>
      <c r="AH2869" s="4"/>
      <c r="AI2869" s="4"/>
      <c r="AJ2869" s="4"/>
      <c r="AK2869" s="4"/>
      <c r="AL2869" s="4"/>
      <c r="AM2869" s="4"/>
      <c r="AN2869" s="4"/>
      <c r="AO2869" s="4"/>
      <c r="AP2869" s="4"/>
      <c r="AQ2869" s="4"/>
      <c r="AR2869" s="4"/>
      <c r="AS2869" s="4"/>
      <c r="AT2869" s="4"/>
      <c r="AU2869" s="4"/>
      <c r="AV2869" s="4"/>
      <c r="AW2869" s="4"/>
      <c r="AX2869" s="4"/>
      <c r="AY2869" s="4"/>
      <c r="AZ2869" s="4"/>
      <c r="BA2869" s="4"/>
      <c r="BB2869" s="4"/>
      <c r="BC2869" s="4"/>
      <c r="BD2869" s="4"/>
      <c r="BE2869" s="4"/>
      <c r="BF2869" s="4"/>
      <c r="BG2869" s="4"/>
      <c r="BH2869" s="4"/>
      <c r="BI2869" s="4"/>
      <c r="BJ2869" s="4"/>
      <c r="BK2869" s="4"/>
      <c r="BL2869" s="4"/>
      <c r="BM2869" s="4"/>
      <c r="BN2869" s="4"/>
      <c r="BO2869" s="4"/>
      <c r="BP2869" s="4"/>
      <c r="BQ2869" s="4"/>
      <c r="BR2869" s="4"/>
      <c r="BS2869" s="4"/>
      <c r="BT2869" s="4"/>
      <c r="BU2869" s="4"/>
    </row>
    <row r="2870" spans="29:73" s="1" customFormat="1" x14ac:dyDescent="0.25">
      <c r="AC2870" s="4"/>
      <c r="AD2870" s="4"/>
      <c r="AE2870" s="4"/>
      <c r="AF2870" s="4"/>
      <c r="AG2870" s="4"/>
      <c r="AH2870" s="4"/>
      <c r="AI2870" s="4"/>
      <c r="AJ2870" s="4"/>
      <c r="AK2870" s="4"/>
      <c r="AL2870" s="4"/>
      <c r="AM2870" s="4"/>
      <c r="AN2870" s="4"/>
      <c r="AO2870" s="4"/>
      <c r="AP2870" s="4"/>
      <c r="AQ2870" s="4"/>
      <c r="AR2870" s="4"/>
      <c r="AS2870" s="4"/>
      <c r="AT2870" s="4"/>
      <c r="AU2870" s="4"/>
      <c r="AV2870" s="4"/>
      <c r="AW2870" s="4"/>
      <c r="AX2870" s="4"/>
      <c r="AY2870" s="4"/>
      <c r="AZ2870" s="4"/>
      <c r="BA2870" s="4"/>
      <c r="BB2870" s="4"/>
      <c r="BC2870" s="4"/>
      <c r="BD2870" s="4"/>
      <c r="BE2870" s="4"/>
      <c r="BF2870" s="4"/>
      <c r="BG2870" s="4"/>
      <c r="BH2870" s="4"/>
      <c r="BI2870" s="4"/>
      <c r="BJ2870" s="4"/>
      <c r="BK2870" s="4"/>
      <c r="BL2870" s="4"/>
      <c r="BM2870" s="4"/>
      <c r="BN2870" s="4"/>
      <c r="BO2870" s="4"/>
      <c r="BP2870" s="4"/>
      <c r="BQ2870" s="4"/>
      <c r="BR2870" s="4"/>
      <c r="BS2870" s="4"/>
      <c r="BT2870" s="4"/>
      <c r="BU2870" s="4"/>
    </row>
    <row r="2871" spans="29:73" s="1" customFormat="1" x14ac:dyDescent="0.25">
      <c r="AC2871" s="4"/>
      <c r="AD2871" s="4"/>
      <c r="AE2871" s="4"/>
      <c r="AF2871" s="4"/>
      <c r="AG2871" s="4"/>
      <c r="AH2871" s="4"/>
      <c r="AI2871" s="4"/>
      <c r="AJ2871" s="4"/>
      <c r="AK2871" s="4"/>
      <c r="AL2871" s="4"/>
      <c r="AM2871" s="4"/>
      <c r="AN2871" s="4"/>
      <c r="AO2871" s="4"/>
      <c r="AP2871" s="4"/>
      <c r="AQ2871" s="4"/>
      <c r="AR2871" s="4"/>
      <c r="AS2871" s="4"/>
      <c r="AT2871" s="4"/>
      <c r="AU2871" s="4"/>
      <c r="AV2871" s="4"/>
      <c r="AW2871" s="4"/>
      <c r="AX2871" s="4"/>
      <c r="AY2871" s="4"/>
      <c r="AZ2871" s="4"/>
      <c r="BA2871" s="4"/>
      <c r="BB2871" s="4"/>
      <c r="BC2871" s="4"/>
      <c r="BD2871" s="4"/>
      <c r="BE2871" s="4"/>
      <c r="BF2871" s="4"/>
      <c r="BG2871" s="4"/>
      <c r="BH2871" s="4"/>
      <c r="BI2871" s="4"/>
      <c r="BJ2871" s="4"/>
      <c r="BK2871" s="4"/>
      <c r="BL2871" s="4"/>
      <c r="BM2871" s="4"/>
      <c r="BN2871" s="4"/>
      <c r="BO2871" s="4"/>
      <c r="BP2871" s="4"/>
      <c r="BQ2871" s="4"/>
      <c r="BR2871" s="4"/>
      <c r="BS2871" s="4"/>
      <c r="BT2871" s="4"/>
      <c r="BU2871" s="4"/>
    </row>
    <row r="2872" spans="29:73" s="1" customFormat="1" x14ac:dyDescent="0.25">
      <c r="AC2872" s="4"/>
      <c r="AD2872" s="4"/>
      <c r="AE2872" s="4"/>
      <c r="AF2872" s="4"/>
      <c r="AG2872" s="4"/>
      <c r="AH2872" s="4"/>
      <c r="AI2872" s="4"/>
      <c r="AJ2872" s="4"/>
      <c r="AK2872" s="4"/>
      <c r="AL2872" s="4"/>
      <c r="AM2872" s="4"/>
      <c r="AN2872" s="4"/>
      <c r="AO2872" s="4"/>
      <c r="AP2872" s="4"/>
      <c r="AQ2872" s="4"/>
      <c r="AR2872" s="4"/>
      <c r="AS2872" s="4"/>
      <c r="AT2872" s="4"/>
      <c r="AU2872" s="4"/>
      <c r="AV2872" s="4"/>
      <c r="AW2872" s="4"/>
      <c r="AX2872" s="4"/>
      <c r="AY2872" s="4"/>
      <c r="AZ2872" s="4"/>
      <c r="BA2872" s="4"/>
      <c r="BB2872" s="4"/>
      <c r="BC2872" s="4"/>
      <c r="BD2872" s="4"/>
      <c r="BE2872" s="4"/>
      <c r="BF2872" s="4"/>
      <c r="BG2872" s="4"/>
      <c r="BH2872" s="4"/>
      <c r="BI2872" s="4"/>
      <c r="BJ2872" s="4"/>
      <c r="BK2872" s="4"/>
      <c r="BL2872" s="4"/>
      <c r="BM2872" s="4"/>
      <c r="BN2872" s="4"/>
      <c r="BO2872" s="4"/>
      <c r="BP2872" s="4"/>
      <c r="BQ2872" s="4"/>
      <c r="BR2872" s="4"/>
      <c r="BS2872" s="4"/>
      <c r="BT2872" s="4"/>
      <c r="BU2872" s="4"/>
    </row>
    <row r="2873" spans="29:73" s="1" customFormat="1" x14ac:dyDescent="0.25">
      <c r="AC2873" s="4"/>
      <c r="AD2873" s="4"/>
      <c r="AE2873" s="4"/>
      <c r="AF2873" s="4"/>
      <c r="AG2873" s="4"/>
      <c r="AH2873" s="4"/>
      <c r="AI2873" s="4"/>
      <c r="AJ2873" s="4"/>
      <c r="AK2873" s="4"/>
      <c r="AL2873" s="4"/>
      <c r="AM2873" s="4"/>
      <c r="AN2873" s="4"/>
      <c r="AO2873" s="4"/>
      <c r="AP2873" s="4"/>
      <c r="AQ2873" s="4"/>
      <c r="AR2873" s="4"/>
      <c r="AS2873" s="4"/>
      <c r="AT2873" s="4"/>
      <c r="AU2873" s="4"/>
      <c r="AV2873" s="4"/>
      <c r="AW2873" s="4"/>
      <c r="AX2873" s="4"/>
      <c r="AY2873" s="4"/>
      <c r="AZ2873" s="4"/>
      <c r="BA2873" s="4"/>
      <c r="BB2873" s="4"/>
      <c r="BC2873" s="4"/>
      <c r="BD2873" s="4"/>
      <c r="BE2873" s="4"/>
      <c r="BF2873" s="4"/>
      <c r="BG2873" s="4"/>
      <c r="BH2873" s="4"/>
      <c r="BI2873" s="4"/>
      <c r="BJ2873" s="4"/>
      <c r="BK2873" s="4"/>
      <c r="BL2873" s="4"/>
      <c r="BM2873" s="4"/>
      <c r="BN2873" s="4"/>
      <c r="BO2873" s="4"/>
      <c r="BP2873" s="4"/>
      <c r="BQ2873" s="4"/>
      <c r="BR2873" s="4"/>
      <c r="BS2873" s="4"/>
      <c r="BT2873" s="4"/>
      <c r="BU2873" s="4"/>
    </row>
    <row r="2874" spans="29:73" s="1" customFormat="1" x14ac:dyDescent="0.25">
      <c r="AC2874" s="4"/>
      <c r="AD2874" s="4"/>
      <c r="AE2874" s="4"/>
      <c r="AF2874" s="4"/>
      <c r="AG2874" s="4"/>
      <c r="AH2874" s="4"/>
      <c r="AI2874" s="4"/>
      <c r="AJ2874" s="4"/>
      <c r="AK2874" s="4"/>
      <c r="AL2874" s="4"/>
      <c r="AM2874" s="4"/>
      <c r="AN2874" s="4"/>
      <c r="AO2874" s="4"/>
      <c r="AP2874" s="4"/>
      <c r="AQ2874" s="4"/>
      <c r="AR2874" s="4"/>
      <c r="AS2874" s="4"/>
      <c r="AT2874" s="4"/>
      <c r="AU2874" s="4"/>
      <c r="AV2874" s="4"/>
      <c r="AW2874" s="4"/>
      <c r="AX2874" s="4"/>
      <c r="AY2874" s="4"/>
      <c r="AZ2874" s="4"/>
      <c r="BA2874" s="4"/>
      <c r="BB2874" s="4"/>
      <c r="BC2874" s="4"/>
      <c r="BD2874" s="4"/>
      <c r="BE2874" s="4"/>
      <c r="BF2874" s="4"/>
      <c r="BG2874" s="4"/>
      <c r="BH2874" s="4"/>
      <c r="BI2874" s="4"/>
      <c r="BJ2874" s="4"/>
      <c r="BK2874" s="4"/>
      <c r="BL2874" s="4"/>
      <c r="BM2874" s="4"/>
      <c r="BN2874" s="4"/>
      <c r="BO2874" s="4"/>
      <c r="BP2874" s="4"/>
      <c r="BQ2874" s="4"/>
      <c r="BR2874" s="4"/>
      <c r="BS2874" s="4"/>
      <c r="BT2874" s="4"/>
      <c r="BU2874" s="4"/>
    </row>
    <row r="2875" spans="29:73" s="1" customFormat="1" x14ac:dyDescent="0.25">
      <c r="AC2875" s="4"/>
      <c r="AD2875" s="4"/>
      <c r="AE2875" s="4"/>
      <c r="AF2875" s="4"/>
      <c r="AG2875" s="4"/>
      <c r="AH2875" s="4"/>
      <c r="AI2875" s="4"/>
      <c r="AJ2875" s="4"/>
      <c r="AK2875" s="4"/>
      <c r="AL2875" s="4"/>
      <c r="AM2875" s="4"/>
      <c r="AN2875" s="4"/>
      <c r="AO2875" s="4"/>
      <c r="AP2875" s="4"/>
      <c r="AQ2875" s="4"/>
      <c r="AR2875" s="4"/>
      <c r="AS2875" s="4"/>
      <c r="AT2875" s="4"/>
      <c r="AU2875" s="4"/>
      <c r="AV2875" s="4"/>
      <c r="AW2875" s="4"/>
      <c r="AX2875" s="4"/>
      <c r="AY2875" s="4"/>
      <c r="AZ2875" s="4"/>
      <c r="BA2875" s="4"/>
      <c r="BB2875" s="4"/>
      <c r="BC2875" s="4"/>
      <c r="BD2875" s="4"/>
      <c r="BE2875" s="4"/>
      <c r="BF2875" s="4"/>
      <c r="BG2875" s="4"/>
      <c r="BH2875" s="4"/>
      <c r="BI2875" s="4"/>
      <c r="BJ2875" s="4"/>
      <c r="BK2875" s="4"/>
      <c r="BL2875" s="4"/>
      <c r="BM2875" s="4"/>
      <c r="BN2875" s="4"/>
      <c r="BO2875" s="4"/>
      <c r="BP2875" s="4"/>
      <c r="BQ2875" s="4"/>
      <c r="BR2875" s="4"/>
      <c r="BS2875" s="4"/>
      <c r="BT2875" s="4"/>
      <c r="BU2875" s="4"/>
    </row>
    <row r="2876" spans="29:73" s="1" customFormat="1" x14ac:dyDescent="0.25">
      <c r="AC2876" s="4"/>
      <c r="AD2876" s="4"/>
      <c r="AE2876" s="4"/>
      <c r="AF2876" s="4"/>
      <c r="AG2876" s="4"/>
      <c r="AH2876" s="4"/>
      <c r="AI2876" s="4"/>
      <c r="AJ2876" s="4"/>
      <c r="AK2876" s="4"/>
      <c r="AL2876" s="4"/>
      <c r="AM2876" s="4"/>
      <c r="AN2876" s="4"/>
      <c r="AO2876" s="4"/>
      <c r="AP2876" s="4"/>
      <c r="AQ2876" s="4"/>
      <c r="AR2876" s="4"/>
      <c r="AS2876" s="4"/>
      <c r="AT2876" s="4"/>
      <c r="AU2876" s="4"/>
      <c r="AV2876" s="4"/>
      <c r="AW2876" s="4"/>
      <c r="AX2876" s="4"/>
      <c r="AY2876" s="4"/>
      <c r="AZ2876" s="4"/>
      <c r="BA2876" s="4"/>
      <c r="BB2876" s="4"/>
      <c r="BC2876" s="4"/>
      <c r="BD2876" s="4"/>
      <c r="BE2876" s="4"/>
      <c r="BF2876" s="4"/>
      <c r="BG2876" s="4"/>
      <c r="BH2876" s="4"/>
      <c r="BI2876" s="4"/>
      <c r="BJ2876" s="4"/>
      <c r="BK2876" s="4"/>
      <c r="BL2876" s="4"/>
      <c r="BM2876" s="4"/>
      <c r="BN2876" s="4"/>
      <c r="BO2876" s="4"/>
      <c r="BP2876" s="4"/>
      <c r="BQ2876" s="4"/>
      <c r="BR2876" s="4"/>
      <c r="BS2876" s="4"/>
      <c r="BT2876" s="4"/>
      <c r="BU2876" s="4"/>
    </row>
    <row r="2877" spans="29:73" s="1" customFormat="1" x14ac:dyDescent="0.25">
      <c r="AC2877" s="4"/>
      <c r="AD2877" s="4"/>
      <c r="AE2877" s="4"/>
      <c r="AF2877" s="4"/>
      <c r="AG2877" s="4"/>
      <c r="AH2877" s="4"/>
      <c r="AI2877" s="4"/>
      <c r="AJ2877" s="4"/>
      <c r="AK2877" s="4"/>
      <c r="AL2877" s="4"/>
      <c r="AM2877" s="4"/>
      <c r="AN2877" s="4"/>
      <c r="AO2877" s="4"/>
      <c r="AP2877" s="4"/>
      <c r="AQ2877" s="4"/>
      <c r="AR2877" s="4"/>
      <c r="AS2877" s="4"/>
      <c r="AT2877" s="4"/>
      <c r="AU2877" s="4"/>
      <c r="AV2877" s="4"/>
      <c r="AW2877" s="4"/>
      <c r="AX2877" s="4"/>
      <c r="AY2877" s="4"/>
      <c r="AZ2877" s="4"/>
      <c r="BA2877" s="4"/>
      <c r="BB2877" s="4"/>
      <c r="BC2877" s="4"/>
      <c r="BD2877" s="4"/>
      <c r="BE2877" s="4"/>
      <c r="BF2877" s="4"/>
      <c r="BG2877" s="4"/>
      <c r="BH2877" s="4"/>
      <c r="BI2877" s="4"/>
      <c r="BJ2877" s="4"/>
      <c r="BK2877" s="4"/>
      <c r="BL2877" s="4"/>
      <c r="BM2877" s="4"/>
      <c r="BN2877" s="4"/>
      <c r="BO2877" s="4"/>
      <c r="BP2877" s="4"/>
      <c r="BQ2877" s="4"/>
      <c r="BR2877" s="4"/>
      <c r="BS2877" s="4"/>
      <c r="BT2877" s="4"/>
      <c r="BU2877" s="4"/>
    </row>
    <row r="2878" spans="29:73" s="1" customFormat="1" x14ac:dyDescent="0.25">
      <c r="AC2878" s="4"/>
      <c r="AD2878" s="4"/>
      <c r="AE2878" s="4"/>
      <c r="AF2878" s="4"/>
      <c r="AG2878" s="4"/>
      <c r="AH2878" s="4"/>
      <c r="AI2878" s="4"/>
      <c r="AJ2878" s="4"/>
      <c r="AK2878" s="4"/>
      <c r="AL2878" s="4"/>
      <c r="AM2878" s="4"/>
      <c r="AN2878" s="4"/>
      <c r="AO2878" s="4"/>
      <c r="AP2878" s="4"/>
      <c r="AQ2878" s="4"/>
      <c r="AR2878" s="4"/>
      <c r="AS2878" s="4"/>
      <c r="AT2878" s="4"/>
      <c r="AU2878" s="4"/>
      <c r="AV2878" s="4"/>
      <c r="AW2878" s="4"/>
      <c r="AX2878" s="4"/>
      <c r="AY2878" s="4"/>
      <c r="AZ2878" s="4"/>
      <c r="BA2878" s="4"/>
      <c r="BB2878" s="4"/>
      <c r="BC2878" s="4"/>
      <c r="BD2878" s="4"/>
      <c r="BE2878" s="4"/>
      <c r="BF2878" s="4"/>
      <c r="BG2878" s="4"/>
      <c r="BH2878" s="4"/>
      <c r="BI2878" s="4"/>
      <c r="BJ2878" s="4"/>
      <c r="BK2878" s="4"/>
      <c r="BL2878" s="4"/>
      <c r="BM2878" s="4"/>
      <c r="BN2878" s="4"/>
      <c r="BO2878" s="4"/>
      <c r="BP2878" s="4"/>
      <c r="BQ2878" s="4"/>
      <c r="BR2878" s="4"/>
      <c r="BS2878" s="4"/>
      <c r="BT2878" s="4"/>
      <c r="BU2878" s="4"/>
    </row>
    <row r="2879" spans="29:73" s="1" customFormat="1" x14ac:dyDescent="0.25">
      <c r="AC2879" s="4"/>
      <c r="AD2879" s="4"/>
      <c r="AE2879" s="4"/>
      <c r="AF2879" s="4"/>
      <c r="AG2879" s="4"/>
      <c r="AH2879" s="4"/>
      <c r="AI2879" s="4"/>
      <c r="AJ2879" s="4"/>
      <c r="AK2879" s="4"/>
      <c r="AL2879" s="4"/>
      <c r="AM2879" s="4"/>
      <c r="AN2879" s="4"/>
      <c r="AO2879" s="4"/>
      <c r="AP2879" s="4"/>
      <c r="AQ2879" s="4"/>
      <c r="AR2879" s="4"/>
      <c r="AS2879" s="4"/>
      <c r="AT2879" s="4"/>
      <c r="AU2879" s="4"/>
      <c r="AV2879" s="4"/>
      <c r="AW2879" s="4"/>
      <c r="AX2879" s="4"/>
      <c r="AY2879" s="4"/>
      <c r="AZ2879" s="4"/>
      <c r="BA2879" s="4"/>
      <c r="BB2879" s="4"/>
      <c r="BC2879" s="4"/>
      <c r="BD2879" s="4"/>
      <c r="BE2879" s="4"/>
      <c r="BF2879" s="4"/>
      <c r="BG2879" s="4"/>
      <c r="BH2879" s="4"/>
      <c r="BI2879" s="4"/>
      <c r="BJ2879" s="4"/>
      <c r="BK2879" s="4"/>
      <c r="BL2879" s="4"/>
      <c r="BM2879" s="4"/>
      <c r="BN2879" s="4"/>
      <c r="BO2879" s="4"/>
      <c r="BP2879" s="4"/>
      <c r="BQ2879" s="4"/>
      <c r="BR2879" s="4"/>
      <c r="BS2879" s="4"/>
      <c r="BT2879" s="4"/>
      <c r="BU2879" s="4"/>
    </row>
    <row r="2880" spans="29:73" s="1" customFormat="1" x14ac:dyDescent="0.25">
      <c r="AC2880" s="4"/>
      <c r="AD2880" s="4"/>
      <c r="AE2880" s="4"/>
      <c r="AF2880" s="4"/>
      <c r="AG2880" s="4"/>
      <c r="AH2880" s="4"/>
      <c r="AI2880" s="4"/>
      <c r="AJ2880" s="4"/>
      <c r="AK2880" s="4"/>
      <c r="AL2880" s="4"/>
      <c r="AM2880" s="4"/>
      <c r="AN2880" s="4"/>
      <c r="AO2880" s="4"/>
      <c r="AP2880" s="4"/>
      <c r="AQ2880" s="4"/>
      <c r="AR2880" s="4"/>
      <c r="AS2880" s="4"/>
      <c r="AT2880" s="4"/>
      <c r="AU2880" s="4"/>
      <c r="AV2880" s="4"/>
      <c r="AW2880" s="4"/>
      <c r="AX2880" s="4"/>
      <c r="AY2880" s="4"/>
      <c r="AZ2880" s="4"/>
      <c r="BA2880" s="4"/>
      <c r="BB2880" s="4"/>
      <c r="BC2880" s="4"/>
      <c r="BD2880" s="4"/>
      <c r="BE2880" s="4"/>
      <c r="BF2880" s="4"/>
      <c r="BG2880" s="4"/>
      <c r="BH2880" s="4"/>
      <c r="BI2880" s="4"/>
      <c r="BJ2880" s="4"/>
      <c r="BK2880" s="4"/>
      <c r="BL2880" s="4"/>
      <c r="BM2880" s="4"/>
      <c r="BN2880" s="4"/>
      <c r="BO2880" s="4"/>
      <c r="BP2880" s="4"/>
      <c r="BQ2880" s="4"/>
      <c r="BR2880" s="4"/>
      <c r="BS2880" s="4"/>
      <c r="BT2880" s="4"/>
      <c r="BU2880" s="4"/>
    </row>
    <row r="2881" spans="29:73" s="1" customFormat="1" x14ac:dyDescent="0.25">
      <c r="AC2881" s="4"/>
      <c r="AD2881" s="4"/>
      <c r="AE2881" s="4"/>
      <c r="AF2881" s="4"/>
      <c r="AG2881" s="4"/>
      <c r="AH2881" s="4"/>
      <c r="AI2881" s="4"/>
      <c r="AJ2881" s="4"/>
      <c r="AK2881" s="4"/>
      <c r="AL2881" s="4"/>
      <c r="AM2881" s="4"/>
      <c r="AN2881" s="4"/>
      <c r="AO2881" s="4"/>
      <c r="AP2881" s="4"/>
      <c r="AQ2881" s="4"/>
      <c r="AR2881" s="4"/>
      <c r="AS2881" s="4"/>
      <c r="AT2881" s="4"/>
      <c r="AU2881" s="4"/>
      <c r="AV2881" s="4"/>
      <c r="AW2881" s="4"/>
      <c r="AX2881" s="4"/>
      <c r="AY2881" s="4"/>
      <c r="AZ2881" s="4"/>
      <c r="BA2881" s="4"/>
      <c r="BB2881" s="4"/>
      <c r="BC2881" s="4"/>
      <c r="BD2881" s="4"/>
      <c r="BE2881" s="4"/>
      <c r="BF2881" s="4"/>
      <c r="BG2881" s="4"/>
      <c r="BH2881" s="4"/>
      <c r="BI2881" s="4"/>
      <c r="BJ2881" s="4"/>
      <c r="BK2881" s="4"/>
      <c r="BL2881" s="4"/>
      <c r="BM2881" s="4"/>
      <c r="BN2881" s="4"/>
      <c r="BO2881" s="4"/>
      <c r="BP2881" s="4"/>
      <c r="BQ2881" s="4"/>
      <c r="BR2881" s="4"/>
      <c r="BS2881" s="4"/>
      <c r="BT2881" s="4"/>
      <c r="BU2881" s="4"/>
    </row>
    <row r="2882" spans="29:73" s="1" customFormat="1" x14ac:dyDescent="0.25">
      <c r="AC2882" s="4"/>
      <c r="AD2882" s="4"/>
      <c r="AE2882" s="4"/>
      <c r="AF2882" s="4"/>
      <c r="AG2882" s="4"/>
      <c r="AH2882" s="4"/>
      <c r="AI2882" s="4"/>
      <c r="AJ2882" s="4"/>
      <c r="AK2882" s="4"/>
      <c r="AL2882" s="4"/>
      <c r="AM2882" s="4"/>
      <c r="AN2882" s="4"/>
      <c r="AO2882" s="4"/>
      <c r="AP2882" s="4"/>
      <c r="AQ2882" s="4"/>
      <c r="AR2882" s="4"/>
      <c r="AS2882" s="4"/>
      <c r="AT2882" s="4"/>
      <c r="AU2882" s="4"/>
      <c r="AV2882" s="4"/>
      <c r="AW2882" s="4"/>
      <c r="AX2882" s="4"/>
      <c r="AY2882" s="4"/>
      <c r="AZ2882" s="4"/>
      <c r="BA2882" s="4"/>
      <c r="BB2882" s="4"/>
      <c r="BC2882" s="4"/>
      <c r="BD2882" s="4"/>
      <c r="BE2882" s="4"/>
      <c r="BF2882" s="4"/>
      <c r="BG2882" s="4"/>
      <c r="BH2882" s="4"/>
      <c r="BI2882" s="4"/>
      <c r="BJ2882" s="4"/>
      <c r="BK2882" s="4"/>
      <c r="BL2882" s="4"/>
      <c r="BM2882" s="4"/>
      <c r="BN2882" s="4"/>
      <c r="BO2882" s="4"/>
      <c r="BP2882" s="4"/>
      <c r="BQ2882" s="4"/>
      <c r="BR2882" s="4"/>
      <c r="BS2882" s="4"/>
      <c r="BT2882" s="4"/>
      <c r="BU2882" s="4"/>
    </row>
    <row r="2883" spans="29:73" s="1" customFormat="1" x14ac:dyDescent="0.25">
      <c r="AC2883" s="4"/>
      <c r="AD2883" s="4"/>
      <c r="AE2883" s="4"/>
      <c r="AF2883" s="4"/>
      <c r="AG2883" s="4"/>
      <c r="AH2883" s="4"/>
      <c r="AI2883" s="4"/>
      <c r="AJ2883" s="4"/>
      <c r="AK2883" s="4"/>
      <c r="AL2883" s="4"/>
      <c r="AM2883" s="4"/>
      <c r="AN2883" s="4"/>
      <c r="AO2883" s="4"/>
      <c r="AP2883" s="4"/>
      <c r="AQ2883" s="4"/>
      <c r="AR2883" s="4"/>
      <c r="AS2883" s="4"/>
      <c r="AT2883" s="4"/>
      <c r="AU2883" s="4"/>
      <c r="AV2883" s="4"/>
      <c r="AW2883" s="4"/>
      <c r="AX2883" s="4"/>
      <c r="AY2883" s="4"/>
      <c r="AZ2883" s="4"/>
      <c r="BA2883" s="4"/>
      <c r="BB2883" s="4"/>
      <c r="BC2883" s="4"/>
      <c r="BD2883" s="4"/>
      <c r="BE2883" s="4"/>
      <c r="BF2883" s="4"/>
      <c r="BG2883" s="4"/>
      <c r="BH2883" s="4"/>
      <c r="BI2883" s="4"/>
      <c r="BJ2883" s="4"/>
      <c r="BK2883" s="4"/>
      <c r="BL2883" s="4"/>
      <c r="BM2883" s="4"/>
      <c r="BN2883" s="4"/>
      <c r="BO2883" s="4"/>
      <c r="BP2883" s="4"/>
      <c r="BQ2883" s="4"/>
      <c r="BR2883" s="4"/>
      <c r="BS2883" s="4"/>
      <c r="BT2883" s="4"/>
      <c r="BU2883" s="4"/>
    </row>
    <row r="2884" spans="29:73" s="1" customFormat="1" x14ac:dyDescent="0.25">
      <c r="AC2884" s="4"/>
      <c r="AD2884" s="4"/>
      <c r="AE2884" s="4"/>
      <c r="AF2884" s="4"/>
      <c r="AG2884" s="4"/>
      <c r="AH2884" s="4"/>
      <c r="AI2884" s="4"/>
      <c r="AJ2884" s="4"/>
      <c r="AK2884" s="4"/>
      <c r="AL2884" s="4"/>
      <c r="AM2884" s="4"/>
      <c r="AN2884" s="4"/>
      <c r="AO2884" s="4"/>
      <c r="AP2884" s="4"/>
      <c r="AQ2884" s="4"/>
      <c r="AR2884" s="4"/>
      <c r="AS2884" s="4"/>
      <c r="AT2884" s="4"/>
      <c r="AU2884" s="4"/>
      <c r="AV2884" s="4"/>
      <c r="AW2884" s="4"/>
      <c r="AX2884" s="4"/>
      <c r="AY2884" s="4"/>
      <c r="AZ2884" s="4"/>
      <c r="BA2884" s="4"/>
      <c r="BB2884" s="4"/>
      <c r="BC2884" s="4"/>
      <c r="BD2884" s="4"/>
      <c r="BE2884" s="4"/>
      <c r="BF2884" s="4"/>
      <c r="BG2884" s="4"/>
      <c r="BH2884" s="4"/>
      <c r="BI2884" s="4"/>
      <c r="BJ2884" s="4"/>
      <c r="BK2884" s="4"/>
      <c r="BL2884" s="4"/>
      <c r="BM2884" s="4"/>
      <c r="BN2884" s="4"/>
      <c r="BO2884" s="4"/>
      <c r="BP2884" s="4"/>
      <c r="BQ2884" s="4"/>
      <c r="BR2884" s="4"/>
      <c r="BS2884" s="4"/>
      <c r="BT2884" s="4"/>
      <c r="BU2884" s="4"/>
    </row>
    <row r="2885" spans="29:73" s="1" customFormat="1" x14ac:dyDescent="0.25">
      <c r="AC2885" s="4"/>
      <c r="AD2885" s="4"/>
      <c r="AE2885" s="4"/>
      <c r="AF2885" s="4"/>
      <c r="AG2885" s="4"/>
      <c r="AH2885" s="4"/>
      <c r="AI2885" s="4"/>
      <c r="AJ2885" s="4"/>
      <c r="AK2885" s="4"/>
      <c r="AL2885" s="4"/>
      <c r="AM2885" s="4"/>
      <c r="AN2885" s="4"/>
      <c r="AO2885" s="4"/>
      <c r="AP2885" s="4"/>
      <c r="AQ2885" s="4"/>
      <c r="AR2885" s="4"/>
      <c r="AS2885" s="4"/>
      <c r="AT2885" s="4"/>
      <c r="AU2885" s="4"/>
      <c r="AV2885" s="4"/>
      <c r="AW2885" s="4"/>
      <c r="AX2885" s="4"/>
      <c r="AY2885" s="4"/>
      <c r="AZ2885" s="4"/>
      <c r="BA2885" s="4"/>
      <c r="BB2885" s="4"/>
      <c r="BC2885" s="4"/>
      <c r="BD2885" s="4"/>
      <c r="BE2885" s="4"/>
      <c r="BF2885" s="4"/>
      <c r="BG2885" s="4"/>
      <c r="BH2885" s="4"/>
      <c r="BI2885" s="4"/>
      <c r="BJ2885" s="4"/>
      <c r="BK2885" s="4"/>
      <c r="BL2885" s="4"/>
      <c r="BM2885" s="4"/>
      <c r="BN2885" s="4"/>
      <c r="BO2885" s="4"/>
      <c r="BP2885" s="4"/>
      <c r="BQ2885" s="4"/>
      <c r="BR2885" s="4"/>
      <c r="BS2885" s="4"/>
      <c r="BT2885" s="4"/>
      <c r="BU2885" s="4"/>
    </row>
    <row r="2886" spans="29:73" s="1" customFormat="1" x14ac:dyDescent="0.25">
      <c r="AC2886" s="4"/>
      <c r="AD2886" s="4"/>
      <c r="AE2886" s="4"/>
      <c r="AF2886" s="4"/>
      <c r="AG2886" s="4"/>
      <c r="AH2886" s="4"/>
      <c r="AI2886" s="4"/>
      <c r="AJ2886" s="4"/>
      <c r="AK2886" s="4"/>
      <c r="AL2886" s="4"/>
      <c r="AM2886" s="4"/>
      <c r="AN2886" s="4"/>
      <c r="AO2886" s="4"/>
      <c r="AP2886" s="4"/>
      <c r="AQ2886" s="4"/>
      <c r="AR2886" s="4"/>
      <c r="AS2886" s="4"/>
      <c r="AT2886" s="4"/>
      <c r="AU2886" s="4"/>
      <c r="AV2886" s="4"/>
      <c r="AW2886" s="4"/>
      <c r="AX2886" s="4"/>
      <c r="AY2886" s="4"/>
      <c r="AZ2886" s="4"/>
      <c r="BA2886" s="4"/>
      <c r="BB2886" s="4"/>
      <c r="BC2886" s="4"/>
      <c r="BD2886" s="4"/>
      <c r="BE2886" s="4"/>
      <c r="BF2886" s="4"/>
      <c r="BG2886" s="4"/>
      <c r="BH2886" s="4"/>
      <c r="BI2886" s="4"/>
      <c r="BJ2886" s="4"/>
      <c r="BK2886" s="4"/>
      <c r="BL2886" s="4"/>
      <c r="BM2886" s="4"/>
      <c r="BN2886" s="4"/>
      <c r="BO2886" s="4"/>
      <c r="BP2886" s="4"/>
      <c r="BQ2886" s="4"/>
      <c r="BR2886" s="4"/>
      <c r="BS2886" s="4"/>
      <c r="BT2886" s="4"/>
      <c r="BU2886" s="4"/>
    </row>
    <row r="2887" spans="29:73" s="1" customFormat="1" x14ac:dyDescent="0.25">
      <c r="AC2887" s="4"/>
      <c r="AD2887" s="4"/>
      <c r="AE2887" s="4"/>
      <c r="AF2887" s="4"/>
      <c r="AG2887" s="4"/>
      <c r="AH2887" s="4"/>
      <c r="AI2887" s="4"/>
      <c r="AJ2887" s="4"/>
      <c r="AK2887" s="4"/>
      <c r="AL2887" s="4"/>
      <c r="AM2887" s="4"/>
      <c r="AN2887" s="4"/>
      <c r="AO2887" s="4"/>
      <c r="AP2887" s="4"/>
      <c r="AQ2887" s="4"/>
      <c r="AR2887" s="4"/>
      <c r="AS2887" s="4"/>
      <c r="AT2887" s="4"/>
      <c r="AU2887" s="4"/>
      <c r="AV2887" s="4"/>
      <c r="AW2887" s="4"/>
      <c r="AX2887" s="4"/>
      <c r="AY2887" s="4"/>
      <c r="AZ2887" s="4"/>
      <c r="BA2887" s="4"/>
      <c r="BB2887" s="4"/>
      <c r="BC2887" s="4"/>
      <c r="BD2887" s="4"/>
      <c r="BE2887" s="4"/>
      <c r="BF2887" s="4"/>
      <c r="BG2887" s="4"/>
      <c r="BH2887" s="4"/>
      <c r="BI2887" s="4"/>
      <c r="BJ2887" s="4"/>
      <c r="BK2887" s="4"/>
      <c r="BL2887" s="4"/>
      <c r="BM2887" s="4"/>
      <c r="BN2887" s="4"/>
      <c r="BO2887" s="4"/>
      <c r="BP2887" s="4"/>
      <c r="BQ2887" s="4"/>
      <c r="BR2887" s="4"/>
      <c r="BS2887" s="4"/>
      <c r="BT2887" s="4"/>
      <c r="BU2887" s="4"/>
    </row>
    <row r="2888" spans="29:73" s="1" customFormat="1" x14ac:dyDescent="0.25">
      <c r="AC2888" s="4"/>
      <c r="AD2888" s="4"/>
      <c r="AE2888" s="4"/>
      <c r="AF2888" s="4"/>
      <c r="AG2888" s="4"/>
      <c r="AH2888" s="4"/>
      <c r="AI2888" s="4"/>
      <c r="AJ2888" s="4"/>
      <c r="AK2888" s="4"/>
      <c r="AL2888" s="4"/>
      <c r="AM2888" s="4"/>
      <c r="AN2888" s="4"/>
      <c r="AO2888" s="4"/>
      <c r="AP2888" s="4"/>
      <c r="AQ2888" s="4"/>
      <c r="AR2888" s="4"/>
      <c r="AS2888" s="4"/>
      <c r="AT2888" s="4"/>
      <c r="AU2888" s="4"/>
      <c r="AV2888" s="4"/>
      <c r="AW2888" s="4"/>
      <c r="AX2888" s="4"/>
      <c r="AY2888" s="4"/>
      <c r="AZ2888" s="4"/>
      <c r="BA2888" s="4"/>
      <c r="BB2888" s="4"/>
      <c r="BC2888" s="4"/>
      <c r="BD2888" s="4"/>
      <c r="BE2888" s="4"/>
      <c r="BF2888" s="4"/>
      <c r="BG2888" s="4"/>
      <c r="BH2888" s="4"/>
      <c r="BI2888" s="4"/>
      <c r="BJ2888" s="4"/>
      <c r="BK2888" s="4"/>
      <c r="BL2888" s="4"/>
      <c r="BM2888" s="4"/>
      <c r="BN2888" s="4"/>
      <c r="BO2888" s="4"/>
      <c r="BP2888" s="4"/>
      <c r="BQ2888" s="4"/>
      <c r="BR2888" s="4"/>
      <c r="BS2888" s="4"/>
      <c r="BT2888" s="4"/>
      <c r="BU2888" s="4"/>
    </row>
    <row r="2889" spans="29:73" s="1" customFormat="1" x14ac:dyDescent="0.25">
      <c r="AC2889" s="4"/>
      <c r="AD2889" s="4"/>
      <c r="AE2889" s="4"/>
      <c r="AF2889" s="4"/>
      <c r="AG2889" s="4"/>
      <c r="AH2889" s="4"/>
      <c r="AI2889" s="4"/>
      <c r="AJ2889" s="4"/>
      <c r="AK2889" s="4"/>
      <c r="AL2889" s="4"/>
      <c r="AM2889" s="4"/>
      <c r="AN2889" s="4"/>
      <c r="AO2889" s="4"/>
      <c r="AP2889" s="4"/>
      <c r="AQ2889" s="4"/>
      <c r="AR2889" s="4"/>
      <c r="AS2889" s="4"/>
      <c r="AT2889" s="4"/>
      <c r="AU2889" s="4"/>
      <c r="AV2889" s="4"/>
      <c r="AW2889" s="4"/>
      <c r="AX2889" s="4"/>
      <c r="AY2889" s="4"/>
      <c r="AZ2889" s="4"/>
      <c r="BA2889" s="4"/>
      <c r="BB2889" s="4"/>
      <c r="BC2889" s="4"/>
      <c r="BD2889" s="4"/>
      <c r="BE2889" s="4"/>
      <c r="BF2889" s="4"/>
      <c r="BG2889" s="4"/>
      <c r="BH2889" s="4"/>
      <c r="BI2889" s="4"/>
      <c r="BJ2889" s="4"/>
      <c r="BK2889" s="4"/>
      <c r="BL2889" s="4"/>
      <c r="BM2889" s="4"/>
      <c r="BN2889" s="4"/>
      <c r="BO2889" s="4"/>
      <c r="BP2889" s="4"/>
      <c r="BQ2889" s="4"/>
      <c r="BR2889" s="4"/>
      <c r="BS2889" s="4"/>
      <c r="BT2889" s="4"/>
      <c r="BU2889" s="4"/>
    </row>
    <row r="2890" spans="29:73" s="1" customFormat="1" x14ac:dyDescent="0.25">
      <c r="AC2890" s="4"/>
      <c r="AD2890" s="4"/>
      <c r="AE2890" s="4"/>
      <c r="AF2890" s="4"/>
      <c r="AG2890" s="4"/>
      <c r="AH2890" s="4"/>
      <c r="AI2890" s="4"/>
      <c r="AJ2890" s="4"/>
      <c r="AK2890" s="4"/>
      <c r="AL2890" s="4"/>
      <c r="AM2890" s="4"/>
      <c r="AN2890" s="4"/>
      <c r="AO2890" s="4"/>
      <c r="AP2890" s="4"/>
      <c r="AQ2890" s="4"/>
      <c r="AR2890" s="4"/>
      <c r="AS2890" s="4"/>
      <c r="AT2890" s="4"/>
      <c r="AU2890" s="4"/>
      <c r="AV2890" s="4"/>
      <c r="AW2890" s="4"/>
      <c r="AX2890" s="4"/>
      <c r="AY2890" s="4"/>
      <c r="AZ2890" s="4"/>
      <c r="BA2890" s="4"/>
      <c r="BB2890" s="4"/>
      <c r="BC2890" s="4"/>
      <c r="BD2890" s="4"/>
      <c r="BE2890" s="4"/>
      <c r="BF2890" s="4"/>
      <c r="BG2890" s="4"/>
      <c r="BH2890" s="4"/>
      <c r="BI2890" s="4"/>
      <c r="BJ2890" s="4"/>
      <c r="BK2890" s="4"/>
      <c r="BL2890" s="4"/>
      <c r="BM2890" s="4"/>
      <c r="BN2890" s="4"/>
      <c r="BO2890" s="4"/>
      <c r="BP2890" s="4"/>
      <c r="BQ2890" s="4"/>
      <c r="BR2890" s="4"/>
      <c r="BS2890" s="4"/>
      <c r="BT2890" s="4"/>
      <c r="BU2890" s="4"/>
    </row>
    <row r="2891" spans="29:73" s="1" customFormat="1" x14ac:dyDescent="0.25">
      <c r="AC2891" s="4"/>
      <c r="AD2891" s="4"/>
      <c r="AE2891" s="4"/>
      <c r="AF2891" s="4"/>
      <c r="AG2891" s="4"/>
      <c r="AH2891" s="4"/>
      <c r="AI2891" s="4"/>
      <c r="AJ2891" s="4"/>
      <c r="AK2891" s="4"/>
      <c r="AL2891" s="4"/>
      <c r="AM2891" s="4"/>
      <c r="AN2891" s="4"/>
      <c r="AO2891" s="4"/>
      <c r="AP2891" s="4"/>
      <c r="AQ2891" s="4"/>
      <c r="AR2891" s="4"/>
      <c r="AS2891" s="4"/>
      <c r="AT2891" s="4"/>
      <c r="AU2891" s="4"/>
      <c r="AV2891" s="4"/>
      <c r="AW2891" s="4"/>
      <c r="AX2891" s="4"/>
      <c r="AY2891" s="4"/>
      <c r="AZ2891" s="4"/>
      <c r="BA2891" s="4"/>
      <c r="BB2891" s="4"/>
      <c r="BC2891" s="4"/>
      <c r="BD2891" s="4"/>
      <c r="BE2891" s="4"/>
      <c r="BF2891" s="4"/>
      <c r="BG2891" s="4"/>
      <c r="BH2891" s="4"/>
      <c r="BI2891" s="4"/>
      <c r="BJ2891" s="4"/>
      <c r="BK2891" s="4"/>
      <c r="BL2891" s="4"/>
      <c r="BM2891" s="4"/>
      <c r="BN2891" s="4"/>
      <c r="BO2891" s="4"/>
      <c r="BP2891" s="4"/>
      <c r="BQ2891" s="4"/>
      <c r="BR2891" s="4"/>
      <c r="BS2891" s="4"/>
      <c r="BT2891" s="4"/>
      <c r="BU2891" s="4"/>
    </row>
    <row r="2892" spans="29:73" s="1" customFormat="1" x14ac:dyDescent="0.25">
      <c r="AC2892" s="4"/>
      <c r="AD2892" s="4"/>
      <c r="AE2892" s="4"/>
      <c r="AF2892" s="4"/>
      <c r="AG2892" s="4"/>
      <c r="AH2892" s="4"/>
      <c r="AI2892" s="4"/>
      <c r="AJ2892" s="4"/>
      <c r="AK2892" s="4"/>
      <c r="AL2892" s="4"/>
      <c r="AM2892" s="4"/>
      <c r="AN2892" s="4"/>
      <c r="AO2892" s="4"/>
      <c r="AP2892" s="4"/>
      <c r="AQ2892" s="4"/>
      <c r="AR2892" s="4"/>
      <c r="AS2892" s="4"/>
      <c r="AT2892" s="4"/>
      <c r="AU2892" s="4"/>
      <c r="AV2892" s="4"/>
      <c r="AW2892" s="4"/>
      <c r="AX2892" s="4"/>
      <c r="AY2892" s="4"/>
      <c r="AZ2892" s="4"/>
      <c r="BA2892" s="4"/>
      <c r="BB2892" s="4"/>
      <c r="BC2892" s="4"/>
      <c r="BD2892" s="4"/>
      <c r="BE2892" s="4"/>
      <c r="BF2892" s="4"/>
      <c r="BG2892" s="4"/>
      <c r="BH2892" s="4"/>
      <c r="BI2892" s="4"/>
      <c r="BJ2892" s="4"/>
      <c r="BK2892" s="4"/>
      <c r="BL2892" s="4"/>
      <c r="BM2892" s="4"/>
      <c r="BN2892" s="4"/>
      <c r="BO2892" s="4"/>
      <c r="BP2892" s="4"/>
      <c r="BQ2892" s="4"/>
      <c r="BR2892" s="4"/>
      <c r="BS2892" s="4"/>
      <c r="BT2892" s="4"/>
      <c r="BU2892" s="4"/>
    </row>
    <row r="2893" spans="29:73" s="1" customFormat="1" x14ac:dyDescent="0.25">
      <c r="AC2893" s="4"/>
      <c r="AD2893" s="4"/>
      <c r="AE2893" s="4"/>
      <c r="AF2893" s="4"/>
      <c r="AG2893" s="4"/>
      <c r="AH2893" s="4"/>
      <c r="AI2893" s="4"/>
      <c r="AJ2893" s="4"/>
      <c r="AK2893" s="4"/>
      <c r="AL2893" s="4"/>
      <c r="AM2893" s="4"/>
      <c r="AN2893" s="4"/>
      <c r="AO2893" s="4"/>
      <c r="AP2893" s="4"/>
      <c r="AQ2893" s="4"/>
      <c r="AR2893" s="4"/>
      <c r="AS2893" s="4"/>
      <c r="AT2893" s="4"/>
      <c r="AU2893" s="4"/>
      <c r="AV2893" s="4"/>
      <c r="AW2893" s="4"/>
      <c r="AX2893" s="4"/>
      <c r="AY2893" s="4"/>
      <c r="AZ2893" s="4"/>
      <c r="BA2893" s="4"/>
      <c r="BB2893" s="4"/>
      <c r="BC2893" s="4"/>
      <c r="BD2893" s="4"/>
      <c r="BE2893" s="4"/>
      <c r="BF2893" s="4"/>
      <c r="BG2893" s="4"/>
      <c r="BH2893" s="4"/>
      <c r="BI2893" s="4"/>
      <c r="BJ2893" s="4"/>
      <c r="BK2893" s="4"/>
      <c r="BL2893" s="4"/>
      <c r="BM2893" s="4"/>
      <c r="BN2893" s="4"/>
      <c r="BO2893" s="4"/>
      <c r="BP2893" s="4"/>
      <c r="BQ2893" s="4"/>
      <c r="BR2893" s="4"/>
      <c r="BS2893" s="4"/>
      <c r="BT2893" s="4"/>
      <c r="BU2893" s="4"/>
    </row>
    <row r="2894" spans="29:73" s="1" customFormat="1" x14ac:dyDescent="0.25">
      <c r="AC2894" s="4"/>
      <c r="AD2894" s="4"/>
      <c r="AE2894" s="4"/>
      <c r="AF2894" s="4"/>
      <c r="AG2894" s="4"/>
      <c r="AH2894" s="4"/>
      <c r="AI2894" s="4"/>
      <c r="AJ2894" s="4"/>
      <c r="AK2894" s="4"/>
      <c r="AL2894" s="4"/>
      <c r="AM2894" s="4"/>
      <c r="AN2894" s="4"/>
      <c r="AO2894" s="4"/>
      <c r="AP2894" s="4"/>
      <c r="AQ2894" s="4"/>
      <c r="AR2894" s="4"/>
      <c r="AS2894" s="4"/>
      <c r="AT2894" s="4"/>
      <c r="AU2894" s="4"/>
      <c r="AV2894" s="4"/>
      <c r="AW2894" s="4"/>
      <c r="AX2894" s="4"/>
      <c r="AY2894" s="4"/>
      <c r="AZ2894" s="4"/>
      <c r="BA2894" s="4"/>
      <c r="BB2894" s="4"/>
      <c r="BC2894" s="4"/>
      <c r="BD2894" s="4"/>
      <c r="BE2894" s="4"/>
      <c r="BF2894" s="4"/>
      <c r="BG2894" s="4"/>
      <c r="BH2894" s="4"/>
      <c r="BI2894" s="4"/>
      <c r="BJ2894" s="4"/>
      <c r="BK2894" s="4"/>
      <c r="BL2894" s="4"/>
      <c r="BM2894" s="4"/>
      <c r="BN2894" s="4"/>
      <c r="BO2894" s="4"/>
      <c r="BP2894" s="4"/>
      <c r="BQ2894" s="4"/>
      <c r="BR2894" s="4"/>
      <c r="BS2894" s="4"/>
      <c r="BT2894" s="4"/>
      <c r="BU2894" s="4"/>
    </row>
    <row r="2895" spans="29:73" s="1" customFormat="1" x14ac:dyDescent="0.25">
      <c r="AC2895" s="4"/>
      <c r="AD2895" s="4"/>
      <c r="AE2895" s="4"/>
      <c r="AF2895" s="4"/>
      <c r="AG2895" s="4"/>
      <c r="AH2895" s="4"/>
      <c r="AI2895" s="4"/>
      <c r="AJ2895" s="4"/>
      <c r="AK2895" s="4"/>
      <c r="AL2895" s="4"/>
      <c r="AM2895" s="4"/>
      <c r="AN2895" s="4"/>
      <c r="AO2895" s="4"/>
      <c r="AP2895" s="4"/>
      <c r="AQ2895" s="4"/>
      <c r="AR2895" s="4"/>
      <c r="AS2895" s="4"/>
      <c r="AT2895" s="4"/>
      <c r="AU2895" s="4"/>
      <c r="AV2895" s="4"/>
      <c r="AW2895" s="4"/>
      <c r="AX2895" s="4"/>
      <c r="AY2895" s="4"/>
      <c r="AZ2895" s="4"/>
      <c r="BA2895" s="4"/>
      <c r="BB2895" s="4"/>
      <c r="BC2895" s="4"/>
      <c r="BD2895" s="4"/>
      <c r="BE2895" s="4"/>
      <c r="BF2895" s="4"/>
      <c r="BG2895" s="4"/>
      <c r="BH2895" s="4"/>
      <c r="BI2895" s="4"/>
      <c r="BJ2895" s="4"/>
      <c r="BK2895" s="4"/>
      <c r="BL2895" s="4"/>
      <c r="BM2895" s="4"/>
      <c r="BN2895" s="4"/>
      <c r="BO2895" s="4"/>
      <c r="BP2895" s="4"/>
      <c r="BQ2895" s="4"/>
      <c r="BR2895" s="4"/>
      <c r="BS2895" s="4"/>
      <c r="BT2895" s="4"/>
      <c r="BU2895" s="4"/>
    </row>
    <row r="2896" spans="29:73" s="1" customFormat="1" x14ac:dyDescent="0.25">
      <c r="AC2896" s="4"/>
      <c r="AD2896" s="4"/>
      <c r="AE2896" s="4"/>
      <c r="AF2896" s="4"/>
      <c r="AG2896" s="4"/>
      <c r="AH2896" s="4"/>
      <c r="AI2896" s="4"/>
      <c r="AJ2896" s="4"/>
      <c r="AK2896" s="4"/>
      <c r="AL2896" s="4"/>
      <c r="AM2896" s="4"/>
      <c r="AN2896" s="4"/>
      <c r="AO2896" s="4"/>
      <c r="AP2896" s="4"/>
      <c r="AQ2896" s="4"/>
      <c r="AR2896" s="4"/>
      <c r="AS2896" s="4"/>
      <c r="AT2896" s="4"/>
      <c r="AU2896" s="4"/>
      <c r="AV2896" s="4"/>
      <c r="AW2896" s="4"/>
      <c r="AX2896" s="4"/>
      <c r="AY2896" s="4"/>
      <c r="AZ2896" s="4"/>
      <c r="BA2896" s="4"/>
      <c r="BB2896" s="4"/>
      <c r="BC2896" s="4"/>
      <c r="BD2896" s="4"/>
      <c r="BE2896" s="4"/>
      <c r="BF2896" s="4"/>
      <c r="BG2896" s="4"/>
      <c r="BH2896" s="4"/>
      <c r="BI2896" s="4"/>
      <c r="BJ2896" s="4"/>
      <c r="BK2896" s="4"/>
      <c r="BL2896" s="4"/>
      <c r="BM2896" s="4"/>
      <c r="BN2896" s="4"/>
      <c r="BO2896" s="4"/>
      <c r="BP2896" s="4"/>
      <c r="BQ2896" s="4"/>
      <c r="BR2896" s="4"/>
      <c r="BS2896" s="4"/>
      <c r="BT2896" s="4"/>
      <c r="BU2896" s="4"/>
    </row>
    <row r="2897" spans="29:73" s="1" customFormat="1" x14ac:dyDescent="0.25">
      <c r="AC2897" s="4"/>
      <c r="AD2897" s="4"/>
      <c r="AE2897" s="4"/>
      <c r="AF2897" s="4"/>
      <c r="AG2897" s="4"/>
      <c r="AH2897" s="4"/>
      <c r="AI2897" s="4"/>
      <c r="AJ2897" s="4"/>
      <c r="AK2897" s="4"/>
      <c r="AL2897" s="4"/>
      <c r="AM2897" s="4"/>
      <c r="AN2897" s="4"/>
      <c r="AO2897" s="4"/>
      <c r="AP2897" s="4"/>
      <c r="AQ2897" s="4"/>
      <c r="AR2897" s="4"/>
      <c r="AS2897" s="4"/>
      <c r="AT2897" s="4"/>
      <c r="AU2897" s="4"/>
      <c r="AV2897" s="4"/>
      <c r="AW2897" s="4"/>
      <c r="AX2897" s="4"/>
      <c r="AY2897" s="4"/>
      <c r="AZ2897" s="4"/>
      <c r="BA2897" s="4"/>
      <c r="BB2897" s="4"/>
      <c r="BC2897" s="4"/>
      <c r="BD2897" s="4"/>
      <c r="BE2897" s="4"/>
      <c r="BF2897" s="4"/>
      <c r="BG2897" s="4"/>
      <c r="BH2897" s="4"/>
      <c r="BI2897" s="4"/>
      <c r="BJ2897" s="4"/>
      <c r="BK2897" s="4"/>
      <c r="BL2897" s="4"/>
      <c r="BM2897" s="4"/>
      <c r="BN2897" s="4"/>
      <c r="BO2897" s="4"/>
      <c r="BP2897" s="4"/>
      <c r="BQ2897" s="4"/>
      <c r="BR2897" s="4"/>
      <c r="BS2897" s="4"/>
      <c r="BT2897" s="4"/>
      <c r="BU2897" s="4"/>
    </row>
    <row r="2898" spans="29:73" s="1" customFormat="1" x14ac:dyDescent="0.25">
      <c r="AC2898" s="4"/>
      <c r="AD2898" s="4"/>
      <c r="AE2898" s="4"/>
      <c r="AF2898" s="4"/>
      <c r="AG2898" s="4"/>
      <c r="AH2898" s="4"/>
      <c r="AI2898" s="4"/>
      <c r="AJ2898" s="4"/>
      <c r="AK2898" s="4"/>
      <c r="AL2898" s="4"/>
      <c r="AM2898" s="4"/>
      <c r="AN2898" s="4"/>
      <c r="AO2898" s="4"/>
      <c r="AP2898" s="4"/>
      <c r="AQ2898" s="4"/>
      <c r="AR2898" s="4"/>
      <c r="AS2898" s="4"/>
      <c r="AT2898" s="4"/>
      <c r="AU2898" s="4"/>
      <c r="AV2898" s="4"/>
      <c r="AW2898" s="4"/>
      <c r="AX2898" s="4"/>
      <c r="AY2898" s="4"/>
      <c r="AZ2898" s="4"/>
      <c r="BA2898" s="4"/>
      <c r="BB2898" s="4"/>
      <c r="BC2898" s="4"/>
      <c r="BD2898" s="4"/>
      <c r="BE2898" s="4"/>
      <c r="BF2898" s="4"/>
      <c r="BG2898" s="4"/>
      <c r="BH2898" s="4"/>
      <c r="BI2898" s="4"/>
      <c r="BJ2898" s="4"/>
      <c r="BK2898" s="4"/>
      <c r="BL2898" s="4"/>
      <c r="BM2898" s="4"/>
      <c r="BN2898" s="4"/>
      <c r="BO2898" s="4"/>
      <c r="BP2898" s="4"/>
      <c r="BQ2898" s="4"/>
      <c r="BR2898" s="4"/>
      <c r="BS2898" s="4"/>
      <c r="BT2898" s="4"/>
      <c r="BU2898" s="4"/>
    </row>
    <row r="2899" spans="29:73" s="1" customFormat="1" x14ac:dyDescent="0.25">
      <c r="AC2899" s="4"/>
      <c r="AD2899" s="4"/>
      <c r="AE2899" s="4"/>
      <c r="AF2899" s="4"/>
      <c r="AG2899" s="4"/>
      <c r="AH2899" s="4"/>
      <c r="AI2899" s="4"/>
      <c r="AJ2899" s="4"/>
      <c r="AK2899" s="4"/>
      <c r="AL2899" s="4"/>
      <c r="AM2899" s="4"/>
      <c r="AN2899" s="4"/>
      <c r="AO2899" s="4"/>
      <c r="AP2899" s="4"/>
      <c r="AQ2899" s="4"/>
      <c r="AR2899" s="4"/>
      <c r="AS2899" s="4"/>
      <c r="AT2899" s="4"/>
      <c r="AU2899" s="4"/>
      <c r="AV2899" s="4"/>
      <c r="AW2899" s="4"/>
      <c r="AX2899" s="4"/>
      <c r="AY2899" s="4"/>
      <c r="AZ2899" s="4"/>
      <c r="BA2899" s="4"/>
      <c r="BB2899" s="4"/>
      <c r="BC2899" s="4"/>
      <c r="BD2899" s="4"/>
      <c r="BE2899" s="4"/>
      <c r="BF2899" s="4"/>
      <c r="BG2899" s="4"/>
      <c r="BH2899" s="4"/>
      <c r="BI2899" s="4"/>
      <c r="BJ2899" s="4"/>
      <c r="BK2899" s="4"/>
      <c r="BL2899" s="4"/>
      <c r="BM2899" s="4"/>
      <c r="BN2899" s="4"/>
      <c r="BO2899" s="4"/>
      <c r="BP2899" s="4"/>
      <c r="BQ2899" s="4"/>
      <c r="BR2899" s="4"/>
      <c r="BS2899" s="4"/>
      <c r="BT2899" s="4"/>
      <c r="BU2899" s="4"/>
    </row>
    <row r="2900" spans="29:73" s="1" customFormat="1" x14ac:dyDescent="0.25">
      <c r="AC2900" s="4"/>
      <c r="AD2900" s="4"/>
      <c r="AE2900" s="4"/>
      <c r="AF2900" s="4"/>
      <c r="AG2900" s="4"/>
      <c r="AH2900" s="4"/>
      <c r="AI2900" s="4"/>
      <c r="AJ2900" s="4"/>
      <c r="AK2900" s="4"/>
      <c r="AL2900" s="4"/>
      <c r="AM2900" s="4"/>
      <c r="AN2900" s="4"/>
      <c r="AO2900" s="4"/>
      <c r="AP2900" s="4"/>
      <c r="AQ2900" s="4"/>
      <c r="AR2900" s="4"/>
      <c r="AS2900" s="4"/>
      <c r="AT2900" s="4"/>
      <c r="AU2900" s="4"/>
      <c r="AV2900" s="4"/>
      <c r="AW2900" s="4"/>
      <c r="AX2900" s="4"/>
      <c r="AY2900" s="4"/>
      <c r="AZ2900" s="4"/>
      <c r="BA2900" s="4"/>
      <c r="BB2900" s="4"/>
      <c r="BC2900" s="4"/>
      <c r="BD2900" s="4"/>
      <c r="BE2900" s="4"/>
      <c r="BF2900" s="4"/>
      <c r="BG2900" s="4"/>
      <c r="BH2900" s="4"/>
      <c r="BI2900" s="4"/>
      <c r="BJ2900" s="4"/>
      <c r="BK2900" s="4"/>
      <c r="BL2900" s="4"/>
      <c r="BM2900" s="4"/>
      <c r="BN2900" s="4"/>
      <c r="BO2900" s="4"/>
      <c r="BP2900" s="4"/>
      <c r="BQ2900" s="4"/>
      <c r="BR2900" s="4"/>
      <c r="BS2900" s="4"/>
      <c r="BT2900" s="4"/>
      <c r="BU2900" s="4"/>
    </row>
    <row r="2901" spans="29:73" s="1" customFormat="1" x14ac:dyDescent="0.25">
      <c r="AC2901" s="4"/>
      <c r="AD2901" s="4"/>
      <c r="AE2901" s="4"/>
      <c r="AF2901" s="4"/>
      <c r="AG2901" s="4"/>
      <c r="AH2901" s="4"/>
      <c r="AI2901" s="4"/>
      <c r="AJ2901" s="4"/>
      <c r="AK2901" s="4"/>
      <c r="AL2901" s="4"/>
      <c r="AM2901" s="4"/>
      <c r="AN2901" s="4"/>
      <c r="AO2901" s="4"/>
      <c r="AP2901" s="4"/>
      <c r="AQ2901" s="4"/>
      <c r="AR2901" s="4"/>
      <c r="AS2901" s="4"/>
      <c r="AT2901" s="4"/>
      <c r="AU2901" s="4"/>
      <c r="AV2901" s="4"/>
      <c r="AW2901" s="4"/>
      <c r="AX2901" s="4"/>
      <c r="AY2901" s="4"/>
      <c r="AZ2901" s="4"/>
      <c r="BA2901" s="4"/>
      <c r="BB2901" s="4"/>
      <c r="BC2901" s="4"/>
      <c r="BD2901" s="4"/>
      <c r="BE2901" s="4"/>
      <c r="BF2901" s="4"/>
      <c r="BG2901" s="4"/>
      <c r="BH2901" s="4"/>
      <c r="BI2901" s="4"/>
      <c r="BJ2901" s="4"/>
      <c r="BK2901" s="4"/>
      <c r="BL2901" s="4"/>
      <c r="BM2901" s="4"/>
      <c r="BN2901" s="4"/>
      <c r="BO2901" s="4"/>
      <c r="BP2901" s="4"/>
      <c r="BQ2901" s="4"/>
      <c r="BR2901" s="4"/>
      <c r="BS2901" s="4"/>
      <c r="BT2901" s="4"/>
      <c r="BU2901" s="4"/>
    </row>
    <row r="2902" spans="29:73" s="1" customFormat="1" x14ac:dyDescent="0.25">
      <c r="AC2902" s="4"/>
      <c r="AD2902" s="4"/>
      <c r="AE2902" s="4"/>
      <c r="AF2902" s="4"/>
      <c r="AG2902" s="4"/>
      <c r="AH2902" s="4"/>
      <c r="AI2902" s="4"/>
      <c r="AJ2902" s="4"/>
      <c r="AK2902" s="4"/>
      <c r="AL2902" s="4"/>
      <c r="AM2902" s="4"/>
      <c r="AN2902" s="4"/>
      <c r="AO2902" s="4"/>
      <c r="AP2902" s="4"/>
      <c r="AQ2902" s="4"/>
      <c r="AR2902" s="4"/>
      <c r="AS2902" s="4"/>
      <c r="AT2902" s="4"/>
      <c r="AU2902" s="4"/>
      <c r="AV2902" s="4"/>
      <c r="AW2902" s="4"/>
      <c r="AX2902" s="4"/>
      <c r="AY2902" s="4"/>
      <c r="AZ2902" s="4"/>
      <c r="BA2902" s="4"/>
      <c r="BB2902" s="4"/>
      <c r="BC2902" s="4"/>
      <c r="BD2902" s="4"/>
      <c r="BE2902" s="4"/>
      <c r="BF2902" s="4"/>
      <c r="BG2902" s="4"/>
      <c r="BH2902" s="4"/>
      <c r="BI2902" s="4"/>
      <c r="BJ2902" s="4"/>
      <c r="BK2902" s="4"/>
      <c r="BL2902" s="4"/>
      <c r="BM2902" s="4"/>
      <c r="BN2902" s="4"/>
      <c r="BO2902" s="4"/>
      <c r="BP2902" s="4"/>
      <c r="BQ2902" s="4"/>
      <c r="BR2902" s="4"/>
      <c r="BS2902" s="4"/>
      <c r="BT2902" s="4"/>
      <c r="BU2902" s="4"/>
    </row>
    <row r="2903" spans="29:73" s="1" customFormat="1" x14ac:dyDescent="0.25">
      <c r="AC2903" s="4"/>
      <c r="AD2903" s="4"/>
      <c r="AE2903" s="4"/>
      <c r="AF2903" s="4"/>
      <c r="AG2903" s="4"/>
      <c r="AH2903" s="4"/>
      <c r="AI2903" s="4"/>
      <c r="AJ2903" s="4"/>
      <c r="AK2903" s="4"/>
      <c r="AL2903" s="4"/>
      <c r="AM2903" s="4"/>
      <c r="AN2903" s="4"/>
      <c r="AO2903" s="4"/>
      <c r="AP2903" s="4"/>
      <c r="AQ2903" s="4"/>
      <c r="AR2903" s="4"/>
      <c r="AS2903" s="4"/>
      <c r="AT2903" s="4"/>
      <c r="AU2903" s="4"/>
      <c r="AV2903" s="4"/>
      <c r="AW2903" s="4"/>
      <c r="AX2903" s="4"/>
      <c r="AY2903" s="4"/>
      <c r="AZ2903" s="4"/>
      <c r="BA2903" s="4"/>
      <c r="BB2903" s="4"/>
      <c r="BC2903" s="4"/>
      <c r="BD2903" s="4"/>
      <c r="BE2903" s="4"/>
      <c r="BF2903" s="4"/>
      <c r="BG2903" s="4"/>
      <c r="BH2903" s="4"/>
      <c r="BI2903" s="4"/>
      <c r="BJ2903" s="4"/>
      <c r="BK2903" s="4"/>
      <c r="BL2903" s="4"/>
      <c r="BM2903" s="4"/>
      <c r="BN2903" s="4"/>
      <c r="BO2903" s="4"/>
      <c r="BP2903" s="4"/>
      <c r="BQ2903" s="4"/>
      <c r="BR2903" s="4"/>
      <c r="BS2903" s="4"/>
      <c r="BT2903" s="4"/>
      <c r="BU2903" s="4"/>
    </row>
    <row r="2904" spans="29:73" s="1" customFormat="1" x14ac:dyDescent="0.25">
      <c r="AC2904" s="4"/>
      <c r="AD2904" s="4"/>
      <c r="AE2904" s="4"/>
      <c r="AF2904" s="4"/>
      <c r="AG2904" s="4"/>
      <c r="AH2904" s="4"/>
      <c r="AI2904" s="4"/>
      <c r="AJ2904" s="4"/>
      <c r="AK2904" s="4"/>
      <c r="AL2904" s="4"/>
      <c r="AM2904" s="4"/>
      <c r="AN2904" s="4"/>
      <c r="AO2904" s="4"/>
      <c r="AP2904" s="4"/>
      <c r="AQ2904" s="4"/>
      <c r="AR2904" s="4"/>
      <c r="AS2904" s="4"/>
      <c r="AT2904" s="4"/>
      <c r="AU2904" s="4"/>
      <c r="AV2904" s="4"/>
      <c r="AW2904" s="4"/>
      <c r="AX2904" s="4"/>
      <c r="AY2904" s="4"/>
      <c r="AZ2904" s="4"/>
      <c r="BA2904" s="4"/>
      <c r="BB2904" s="4"/>
      <c r="BC2904" s="4"/>
      <c r="BD2904" s="4"/>
      <c r="BE2904" s="4"/>
      <c r="BF2904" s="4"/>
      <c r="BG2904" s="4"/>
      <c r="BH2904" s="4"/>
      <c r="BI2904" s="4"/>
      <c r="BJ2904" s="4"/>
      <c r="BK2904" s="4"/>
      <c r="BL2904" s="4"/>
      <c r="BM2904" s="4"/>
      <c r="BN2904" s="4"/>
      <c r="BO2904" s="4"/>
      <c r="BP2904" s="4"/>
      <c r="BQ2904" s="4"/>
      <c r="BR2904" s="4"/>
      <c r="BS2904" s="4"/>
      <c r="BT2904" s="4"/>
      <c r="BU2904" s="4"/>
    </row>
    <row r="2905" spans="29:73" s="1" customFormat="1" x14ac:dyDescent="0.25">
      <c r="AC2905" s="4"/>
      <c r="AD2905" s="4"/>
      <c r="AE2905" s="4"/>
      <c r="AF2905" s="4"/>
      <c r="AG2905" s="4"/>
      <c r="AH2905" s="4"/>
      <c r="AI2905" s="4"/>
      <c r="AJ2905" s="4"/>
      <c r="AK2905" s="4"/>
      <c r="AL2905" s="4"/>
      <c r="AM2905" s="4"/>
      <c r="AN2905" s="4"/>
      <c r="AO2905" s="4"/>
      <c r="AP2905" s="4"/>
      <c r="AQ2905" s="4"/>
      <c r="AR2905" s="4"/>
      <c r="AS2905" s="4"/>
      <c r="AT2905" s="4"/>
      <c r="AU2905" s="4"/>
      <c r="AV2905" s="4"/>
      <c r="AW2905" s="4"/>
      <c r="AX2905" s="4"/>
      <c r="AY2905" s="4"/>
      <c r="AZ2905" s="4"/>
      <c r="BA2905" s="4"/>
      <c r="BB2905" s="4"/>
      <c r="BC2905" s="4"/>
      <c r="BD2905" s="4"/>
      <c r="BE2905" s="4"/>
      <c r="BF2905" s="4"/>
      <c r="BG2905" s="4"/>
      <c r="BH2905" s="4"/>
      <c r="BI2905" s="4"/>
      <c r="BJ2905" s="4"/>
      <c r="BK2905" s="4"/>
      <c r="BL2905" s="4"/>
      <c r="BM2905" s="4"/>
      <c r="BN2905" s="4"/>
      <c r="BO2905" s="4"/>
      <c r="BP2905" s="4"/>
      <c r="BQ2905" s="4"/>
      <c r="BR2905" s="4"/>
      <c r="BS2905" s="4"/>
      <c r="BT2905" s="4"/>
      <c r="BU2905" s="4"/>
    </row>
    <row r="2906" spans="29:73" s="1" customFormat="1" x14ac:dyDescent="0.25">
      <c r="AC2906" s="4"/>
      <c r="AD2906" s="4"/>
      <c r="AE2906" s="4"/>
      <c r="AF2906" s="4"/>
      <c r="AG2906" s="4"/>
      <c r="AH2906" s="4"/>
      <c r="AI2906" s="4"/>
      <c r="AJ2906" s="4"/>
      <c r="AK2906" s="4"/>
      <c r="AL2906" s="4"/>
      <c r="AM2906" s="4"/>
      <c r="AN2906" s="4"/>
      <c r="AO2906" s="4"/>
      <c r="AP2906" s="4"/>
      <c r="AQ2906" s="4"/>
      <c r="AR2906" s="4"/>
      <c r="AS2906" s="4"/>
      <c r="AT2906" s="4"/>
      <c r="AU2906" s="4"/>
      <c r="AV2906" s="4"/>
      <c r="AW2906" s="4"/>
      <c r="AX2906" s="4"/>
      <c r="AY2906" s="4"/>
      <c r="AZ2906" s="4"/>
      <c r="BA2906" s="4"/>
      <c r="BB2906" s="4"/>
      <c r="BC2906" s="4"/>
      <c r="BD2906" s="4"/>
      <c r="BE2906" s="4"/>
      <c r="BF2906" s="4"/>
      <c r="BG2906" s="4"/>
      <c r="BH2906" s="4"/>
      <c r="BI2906" s="4"/>
      <c r="BJ2906" s="4"/>
      <c r="BK2906" s="4"/>
      <c r="BL2906" s="4"/>
      <c r="BM2906" s="4"/>
      <c r="BN2906" s="4"/>
      <c r="BO2906" s="4"/>
      <c r="BP2906" s="4"/>
      <c r="BQ2906" s="4"/>
      <c r="BR2906" s="4"/>
      <c r="BS2906" s="4"/>
      <c r="BT2906" s="4"/>
      <c r="BU2906" s="4"/>
    </row>
    <row r="2907" spans="29:73" s="1" customFormat="1" x14ac:dyDescent="0.25">
      <c r="AC2907" s="4"/>
      <c r="AD2907" s="4"/>
      <c r="AE2907" s="4"/>
      <c r="AF2907" s="4"/>
      <c r="AG2907" s="4"/>
      <c r="AH2907" s="4"/>
      <c r="AI2907" s="4"/>
      <c r="AJ2907" s="4"/>
      <c r="AK2907" s="4"/>
      <c r="AL2907" s="4"/>
      <c r="AM2907" s="4"/>
      <c r="AN2907" s="4"/>
      <c r="AO2907" s="4"/>
      <c r="AP2907" s="4"/>
      <c r="AQ2907" s="4"/>
      <c r="AR2907" s="4"/>
      <c r="AS2907" s="4"/>
      <c r="AT2907" s="4"/>
      <c r="AU2907" s="4"/>
      <c r="AV2907" s="4"/>
      <c r="AW2907" s="4"/>
      <c r="AX2907" s="4"/>
      <c r="AY2907" s="4"/>
      <c r="AZ2907" s="4"/>
      <c r="BA2907" s="4"/>
      <c r="BB2907" s="4"/>
      <c r="BC2907" s="4"/>
      <c r="BD2907" s="4"/>
      <c r="BE2907" s="4"/>
      <c r="BF2907" s="4"/>
      <c r="BG2907" s="4"/>
      <c r="BH2907" s="4"/>
      <c r="BI2907" s="4"/>
      <c r="BJ2907" s="4"/>
      <c r="BK2907" s="4"/>
      <c r="BL2907" s="4"/>
      <c r="BM2907" s="4"/>
      <c r="BN2907" s="4"/>
      <c r="BO2907" s="4"/>
      <c r="BP2907" s="4"/>
      <c r="BQ2907" s="4"/>
      <c r="BR2907" s="4"/>
      <c r="BS2907" s="4"/>
      <c r="BT2907" s="4"/>
      <c r="BU2907" s="4"/>
    </row>
    <row r="2908" spans="29:73" s="1" customFormat="1" x14ac:dyDescent="0.25">
      <c r="AC2908" s="4"/>
      <c r="AD2908" s="4"/>
      <c r="AE2908" s="4"/>
      <c r="AF2908" s="4"/>
      <c r="AG2908" s="4"/>
      <c r="AH2908" s="4"/>
      <c r="AI2908" s="4"/>
      <c r="AJ2908" s="4"/>
      <c r="AK2908" s="4"/>
      <c r="AL2908" s="4"/>
      <c r="AM2908" s="4"/>
      <c r="AN2908" s="4"/>
      <c r="AO2908" s="4"/>
      <c r="AP2908" s="4"/>
      <c r="AQ2908" s="4"/>
      <c r="AR2908" s="4"/>
      <c r="AS2908" s="4"/>
      <c r="AT2908" s="4"/>
      <c r="AU2908" s="4"/>
      <c r="AV2908" s="4"/>
      <c r="AW2908" s="4"/>
      <c r="AX2908" s="4"/>
      <c r="AY2908" s="4"/>
      <c r="AZ2908" s="4"/>
      <c r="BA2908" s="4"/>
      <c r="BB2908" s="4"/>
      <c r="BC2908" s="4"/>
      <c r="BD2908" s="4"/>
      <c r="BE2908" s="4"/>
      <c r="BF2908" s="4"/>
      <c r="BG2908" s="4"/>
      <c r="BH2908" s="4"/>
      <c r="BI2908" s="4"/>
      <c r="BJ2908" s="4"/>
      <c r="BK2908" s="4"/>
      <c r="BL2908" s="4"/>
      <c r="BM2908" s="4"/>
      <c r="BN2908" s="4"/>
      <c r="BO2908" s="4"/>
      <c r="BP2908" s="4"/>
      <c r="BQ2908" s="4"/>
      <c r="BR2908" s="4"/>
      <c r="BS2908" s="4"/>
      <c r="BT2908" s="4"/>
      <c r="BU2908" s="4"/>
    </row>
    <row r="2909" spans="29:73" s="1" customFormat="1" x14ac:dyDescent="0.25">
      <c r="AC2909" s="4"/>
      <c r="AD2909" s="4"/>
      <c r="AE2909" s="4"/>
      <c r="AF2909" s="4"/>
      <c r="AG2909" s="4"/>
      <c r="AH2909" s="4"/>
      <c r="AI2909" s="4"/>
      <c r="AJ2909" s="4"/>
      <c r="AK2909" s="4"/>
      <c r="AL2909" s="4"/>
      <c r="AM2909" s="4"/>
      <c r="AN2909" s="4"/>
      <c r="AO2909" s="4"/>
      <c r="AP2909" s="4"/>
      <c r="AQ2909" s="4"/>
      <c r="AR2909" s="4"/>
      <c r="AS2909" s="4"/>
      <c r="AT2909" s="4"/>
      <c r="AU2909" s="4"/>
      <c r="AV2909" s="4"/>
      <c r="AW2909" s="4"/>
      <c r="AX2909" s="4"/>
      <c r="AY2909" s="4"/>
      <c r="AZ2909" s="4"/>
      <c r="BA2909" s="4"/>
      <c r="BB2909" s="4"/>
      <c r="BC2909" s="4"/>
      <c r="BD2909" s="4"/>
      <c r="BE2909" s="4"/>
      <c r="BF2909" s="4"/>
      <c r="BG2909" s="4"/>
      <c r="BH2909" s="4"/>
      <c r="BI2909" s="4"/>
      <c r="BJ2909" s="4"/>
      <c r="BK2909" s="4"/>
      <c r="BL2909" s="4"/>
      <c r="BM2909" s="4"/>
      <c r="BN2909" s="4"/>
      <c r="BO2909" s="4"/>
      <c r="BP2909" s="4"/>
      <c r="BQ2909" s="4"/>
      <c r="BR2909" s="4"/>
      <c r="BS2909" s="4"/>
      <c r="BT2909" s="4"/>
      <c r="BU2909" s="4"/>
    </row>
    <row r="2910" spans="29:73" s="1" customFormat="1" x14ac:dyDescent="0.25">
      <c r="AC2910" s="4"/>
      <c r="AD2910" s="4"/>
      <c r="AE2910" s="4"/>
      <c r="AF2910" s="4"/>
      <c r="AG2910" s="4"/>
      <c r="AH2910" s="4"/>
      <c r="AI2910" s="4"/>
      <c r="AJ2910" s="4"/>
      <c r="AK2910" s="4"/>
      <c r="AL2910" s="4"/>
      <c r="AM2910" s="4"/>
      <c r="AN2910" s="4"/>
      <c r="AO2910" s="4"/>
      <c r="AP2910" s="4"/>
      <c r="AQ2910" s="4"/>
      <c r="AR2910" s="4"/>
      <c r="AS2910" s="4"/>
      <c r="AT2910" s="4"/>
      <c r="AU2910" s="4"/>
      <c r="AV2910" s="4"/>
      <c r="AW2910" s="4"/>
      <c r="AX2910" s="4"/>
      <c r="AY2910" s="4"/>
      <c r="AZ2910" s="4"/>
      <c r="BA2910" s="4"/>
      <c r="BB2910" s="4"/>
      <c r="BC2910" s="4"/>
      <c r="BD2910" s="4"/>
      <c r="BE2910" s="4"/>
      <c r="BF2910" s="4"/>
      <c r="BG2910" s="4"/>
      <c r="BH2910" s="4"/>
      <c r="BI2910" s="4"/>
      <c r="BJ2910" s="4"/>
      <c r="BK2910" s="4"/>
      <c r="BL2910" s="4"/>
      <c r="BM2910" s="4"/>
      <c r="BN2910" s="4"/>
      <c r="BO2910" s="4"/>
      <c r="BP2910" s="4"/>
      <c r="BQ2910" s="4"/>
      <c r="BR2910" s="4"/>
      <c r="BS2910" s="4"/>
      <c r="BT2910" s="4"/>
      <c r="BU2910" s="4"/>
    </row>
    <row r="2911" spans="29:73" s="1" customFormat="1" x14ac:dyDescent="0.25">
      <c r="AC2911" s="4"/>
      <c r="AD2911" s="4"/>
      <c r="AE2911" s="4"/>
      <c r="AF2911" s="4"/>
      <c r="AG2911" s="4"/>
      <c r="AH2911" s="4"/>
      <c r="AI2911" s="4"/>
      <c r="AJ2911" s="4"/>
      <c r="AK2911" s="4"/>
      <c r="AL2911" s="4"/>
      <c r="AM2911" s="4"/>
      <c r="AN2911" s="4"/>
      <c r="AO2911" s="4"/>
      <c r="AP2911" s="4"/>
      <c r="AQ2911" s="4"/>
      <c r="AR2911" s="4"/>
      <c r="AS2911" s="4"/>
      <c r="AT2911" s="4"/>
      <c r="AU2911" s="4"/>
      <c r="AV2911" s="4"/>
      <c r="AW2911" s="4"/>
      <c r="AX2911" s="4"/>
      <c r="AY2911" s="4"/>
      <c r="AZ2911" s="4"/>
      <c r="BA2911" s="4"/>
      <c r="BB2911" s="4"/>
      <c r="BC2911" s="4"/>
      <c r="BD2911" s="4"/>
      <c r="BE2911" s="4"/>
      <c r="BF2911" s="4"/>
      <c r="BG2911" s="4"/>
      <c r="BH2911" s="4"/>
      <c r="BI2911" s="4"/>
      <c r="BJ2911" s="4"/>
      <c r="BK2911" s="4"/>
      <c r="BL2911" s="4"/>
      <c r="BM2911" s="4"/>
      <c r="BN2911" s="4"/>
      <c r="BO2911" s="4"/>
      <c r="BP2911" s="4"/>
      <c r="BQ2911" s="4"/>
      <c r="BR2911" s="4"/>
      <c r="BS2911" s="4"/>
      <c r="BT2911" s="4"/>
      <c r="BU2911" s="4"/>
    </row>
    <row r="2912" spans="29:73" s="1" customFormat="1" x14ac:dyDescent="0.25">
      <c r="AC2912" s="4"/>
      <c r="AD2912" s="4"/>
      <c r="AE2912" s="4"/>
      <c r="AF2912" s="4"/>
      <c r="AG2912" s="4"/>
      <c r="AH2912" s="4"/>
      <c r="AI2912" s="4"/>
      <c r="AJ2912" s="4"/>
      <c r="AK2912" s="4"/>
      <c r="AL2912" s="4"/>
      <c r="AM2912" s="4"/>
      <c r="AN2912" s="4"/>
      <c r="AO2912" s="4"/>
      <c r="AP2912" s="4"/>
      <c r="AQ2912" s="4"/>
      <c r="AR2912" s="4"/>
      <c r="AS2912" s="4"/>
      <c r="AT2912" s="4"/>
      <c r="AU2912" s="4"/>
      <c r="AV2912" s="4"/>
      <c r="AW2912" s="4"/>
      <c r="AX2912" s="4"/>
      <c r="AY2912" s="4"/>
      <c r="AZ2912" s="4"/>
      <c r="BA2912" s="4"/>
      <c r="BB2912" s="4"/>
      <c r="BC2912" s="4"/>
      <c r="BD2912" s="4"/>
      <c r="BE2912" s="4"/>
      <c r="BF2912" s="4"/>
      <c r="BG2912" s="4"/>
      <c r="BH2912" s="4"/>
      <c r="BI2912" s="4"/>
      <c r="BJ2912" s="4"/>
      <c r="BK2912" s="4"/>
      <c r="BL2912" s="4"/>
      <c r="BM2912" s="4"/>
      <c r="BN2912" s="4"/>
      <c r="BO2912" s="4"/>
      <c r="BP2912" s="4"/>
      <c r="BQ2912" s="4"/>
      <c r="BR2912" s="4"/>
      <c r="BS2912" s="4"/>
      <c r="BT2912" s="4"/>
      <c r="BU2912" s="4"/>
    </row>
    <row r="2913" spans="29:73" s="1" customFormat="1" x14ac:dyDescent="0.25">
      <c r="AC2913" s="4"/>
      <c r="AD2913" s="4"/>
      <c r="AE2913" s="4"/>
      <c r="AF2913" s="4"/>
      <c r="AG2913" s="4"/>
      <c r="AH2913" s="4"/>
      <c r="AI2913" s="4"/>
      <c r="AJ2913" s="4"/>
      <c r="AK2913" s="4"/>
      <c r="AL2913" s="4"/>
      <c r="AM2913" s="4"/>
      <c r="AN2913" s="4"/>
      <c r="AO2913" s="4"/>
      <c r="AP2913" s="4"/>
      <c r="AQ2913" s="4"/>
      <c r="AR2913" s="4"/>
      <c r="AS2913" s="4"/>
      <c r="AT2913" s="4"/>
      <c r="AU2913" s="4"/>
      <c r="AV2913" s="4"/>
      <c r="AW2913" s="4"/>
      <c r="AX2913" s="4"/>
      <c r="AY2913" s="4"/>
      <c r="AZ2913" s="4"/>
      <c r="BA2913" s="4"/>
      <c r="BB2913" s="4"/>
      <c r="BC2913" s="4"/>
      <c r="BD2913" s="4"/>
      <c r="BE2913" s="4"/>
      <c r="BF2913" s="4"/>
      <c r="BG2913" s="4"/>
      <c r="BH2913" s="4"/>
      <c r="BI2913" s="4"/>
      <c r="BJ2913" s="4"/>
      <c r="BK2913" s="4"/>
      <c r="BL2913" s="4"/>
      <c r="BM2913" s="4"/>
      <c r="BN2913" s="4"/>
      <c r="BO2913" s="4"/>
      <c r="BP2913" s="4"/>
      <c r="BQ2913" s="4"/>
      <c r="BR2913" s="4"/>
      <c r="BS2913" s="4"/>
      <c r="BT2913" s="4"/>
      <c r="BU2913" s="4"/>
    </row>
    <row r="2914" spans="29:73" s="1" customFormat="1" x14ac:dyDescent="0.25">
      <c r="AC2914" s="4"/>
      <c r="AD2914" s="4"/>
      <c r="AE2914" s="4"/>
      <c r="AF2914" s="4"/>
      <c r="AG2914" s="4"/>
      <c r="AH2914" s="4"/>
      <c r="AI2914" s="4"/>
      <c r="AJ2914" s="4"/>
      <c r="AK2914" s="4"/>
      <c r="AL2914" s="4"/>
      <c r="AM2914" s="4"/>
      <c r="AN2914" s="4"/>
      <c r="AO2914" s="4"/>
      <c r="AP2914" s="4"/>
      <c r="AQ2914" s="4"/>
      <c r="AR2914" s="4"/>
      <c r="AS2914" s="4"/>
      <c r="AT2914" s="4"/>
      <c r="AU2914" s="4"/>
      <c r="AV2914" s="4"/>
      <c r="AW2914" s="4"/>
      <c r="AX2914" s="4"/>
      <c r="AY2914" s="4"/>
      <c r="AZ2914" s="4"/>
      <c r="BA2914" s="4"/>
      <c r="BB2914" s="4"/>
      <c r="BC2914" s="4"/>
      <c r="BD2914" s="4"/>
      <c r="BE2914" s="4"/>
      <c r="BF2914" s="4"/>
      <c r="BG2914" s="4"/>
      <c r="BH2914" s="4"/>
      <c r="BI2914" s="4"/>
      <c r="BJ2914" s="4"/>
      <c r="BK2914" s="4"/>
      <c r="BL2914" s="4"/>
      <c r="BM2914" s="4"/>
      <c r="BN2914" s="4"/>
      <c r="BO2914" s="4"/>
      <c r="BP2914" s="4"/>
      <c r="BQ2914" s="4"/>
      <c r="BR2914" s="4"/>
      <c r="BS2914" s="4"/>
      <c r="BT2914" s="4"/>
      <c r="BU2914" s="4"/>
    </row>
    <row r="2915" spans="29:73" s="1" customFormat="1" x14ac:dyDescent="0.25">
      <c r="AC2915" s="4"/>
      <c r="AD2915" s="4"/>
      <c r="AE2915" s="4"/>
      <c r="AF2915" s="4"/>
      <c r="AG2915" s="4"/>
      <c r="AH2915" s="4"/>
      <c r="AI2915" s="4"/>
      <c r="AJ2915" s="4"/>
      <c r="AK2915" s="4"/>
      <c r="AL2915" s="4"/>
      <c r="AM2915" s="4"/>
      <c r="AN2915" s="4"/>
      <c r="AO2915" s="4"/>
      <c r="AP2915" s="4"/>
      <c r="AQ2915" s="4"/>
      <c r="AR2915" s="4"/>
      <c r="AS2915" s="4"/>
      <c r="AT2915" s="4"/>
      <c r="AU2915" s="4"/>
      <c r="AV2915" s="4"/>
      <c r="AW2915" s="4"/>
      <c r="AX2915" s="4"/>
      <c r="AY2915" s="4"/>
      <c r="AZ2915" s="4"/>
      <c r="BA2915" s="4"/>
      <c r="BB2915" s="4"/>
      <c r="BC2915" s="4"/>
      <c r="BD2915" s="4"/>
      <c r="BE2915" s="4"/>
      <c r="BF2915" s="4"/>
      <c r="BG2915" s="4"/>
      <c r="BH2915" s="4"/>
      <c r="BI2915" s="4"/>
      <c r="BJ2915" s="4"/>
      <c r="BK2915" s="4"/>
      <c r="BL2915" s="4"/>
      <c r="BM2915" s="4"/>
      <c r="BN2915" s="4"/>
      <c r="BO2915" s="4"/>
      <c r="BP2915" s="4"/>
      <c r="BQ2915" s="4"/>
      <c r="BR2915" s="4"/>
      <c r="BS2915" s="4"/>
      <c r="BT2915" s="4"/>
      <c r="BU2915" s="4"/>
    </row>
    <row r="2916" spans="29:73" s="1" customFormat="1" x14ac:dyDescent="0.25">
      <c r="AC2916" s="4"/>
      <c r="AD2916" s="4"/>
      <c r="AE2916" s="4"/>
      <c r="AF2916" s="4"/>
      <c r="AG2916" s="4"/>
      <c r="AH2916" s="4"/>
      <c r="AI2916" s="4"/>
      <c r="AJ2916" s="4"/>
      <c r="AK2916" s="4"/>
      <c r="AL2916" s="4"/>
      <c r="AM2916" s="4"/>
      <c r="AN2916" s="4"/>
      <c r="AO2916" s="4"/>
      <c r="AP2916" s="4"/>
      <c r="AQ2916" s="4"/>
      <c r="AR2916" s="4"/>
      <c r="AS2916" s="4"/>
      <c r="AT2916" s="4"/>
      <c r="AU2916" s="4"/>
      <c r="AV2916" s="4"/>
      <c r="AW2916" s="4"/>
      <c r="AX2916" s="4"/>
      <c r="AY2916" s="4"/>
      <c r="AZ2916" s="4"/>
      <c r="BA2916" s="4"/>
      <c r="BB2916" s="4"/>
      <c r="BC2916" s="4"/>
      <c r="BD2916" s="4"/>
      <c r="BE2916" s="4"/>
      <c r="BF2916" s="4"/>
      <c r="BG2916" s="4"/>
      <c r="BH2916" s="4"/>
      <c r="BI2916" s="4"/>
      <c r="BJ2916" s="4"/>
      <c r="BK2916" s="4"/>
      <c r="BL2916" s="4"/>
      <c r="BM2916" s="4"/>
      <c r="BN2916" s="4"/>
      <c r="BO2916" s="4"/>
      <c r="BP2916" s="4"/>
      <c r="BQ2916" s="4"/>
      <c r="BR2916" s="4"/>
      <c r="BS2916" s="4"/>
      <c r="BT2916" s="4"/>
      <c r="BU2916" s="4"/>
    </row>
    <row r="2917" spans="29:73" s="1" customFormat="1" x14ac:dyDescent="0.25">
      <c r="AC2917" s="4"/>
      <c r="AD2917" s="4"/>
      <c r="AE2917" s="4"/>
      <c r="AF2917" s="4"/>
      <c r="AG2917" s="4"/>
      <c r="AH2917" s="4"/>
      <c r="AI2917" s="4"/>
      <c r="AJ2917" s="4"/>
      <c r="AK2917" s="4"/>
      <c r="AL2917" s="4"/>
      <c r="AM2917" s="4"/>
      <c r="AN2917" s="4"/>
      <c r="AO2917" s="4"/>
      <c r="AP2917" s="4"/>
      <c r="AQ2917" s="4"/>
      <c r="AR2917" s="4"/>
      <c r="AS2917" s="4"/>
      <c r="AT2917" s="4"/>
      <c r="AU2917" s="4"/>
      <c r="AV2917" s="4"/>
      <c r="AW2917" s="4"/>
      <c r="AX2917" s="4"/>
      <c r="AY2917" s="4"/>
      <c r="AZ2917" s="4"/>
      <c r="BA2917" s="4"/>
      <c r="BB2917" s="4"/>
      <c r="BC2917" s="4"/>
      <c r="BD2917" s="4"/>
      <c r="BE2917" s="4"/>
      <c r="BF2917" s="4"/>
      <c r="BG2917" s="4"/>
      <c r="BH2917" s="4"/>
      <c r="BI2917" s="4"/>
      <c r="BJ2917" s="4"/>
      <c r="BK2917" s="4"/>
      <c r="BL2917" s="4"/>
      <c r="BM2917" s="4"/>
      <c r="BN2917" s="4"/>
      <c r="BO2917" s="4"/>
      <c r="BP2917" s="4"/>
      <c r="BQ2917" s="4"/>
      <c r="BR2917" s="4"/>
      <c r="BS2917" s="4"/>
      <c r="BT2917" s="4"/>
      <c r="BU2917" s="4"/>
    </row>
    <row r="2918" spans="29:73" s="1" customFormat="1" x14ac:dyDescent="0.25">
      <c r="AC2918" s="4"/>
      <c r="AD2918" s="4"/>
      <c r="AE2918" s="4"/>
      <c r="AF2918" s="4"/>
      <c r="AG2918" s="4"/>
      <c r="AH2918" s="4"/>
      <c r="AI2918" s="4"/>
      <c r="AJ2918" s="4"/>
      <c r="AK2918" s="4"/>
      <c r="AL2918" s="4"/>
      <c r="AM2918" s="4"/>
      <c r="AN2918" s="4"/>
      <c r="AO2918" s="4"/>
      <c r="AP2918" s="4"/>
      <c r="AQ2918" s="4"/>
      <c r="AR2918" s="4"/>
      <c r="AS2918" s="4"/>
      <c r="AT2918" s="4"/>
      <c r="AU2918" s="4"/>
      <c r="AV2918" s="4"/>
      <c r="AW2918" s="4"/>
      <c r="AX2918" s="4"/>
      <c r="AY2918" s="4"/>
      <c r="AZ2918" s="4"/>
      <c r="BA2918" s="4"/>
      <c r="BB2918" s="4"/>
      <c r="BC2918" s="4"/>
      <c r="BD2918" s="4"/>
      <c r="BE2918" s="4"/>
      <c r="BF2918" s="4"/>
      <c r="BG2918" s="4"/>
      <c r="BH2918" s="4"/>
      <c r="BI2918" s="4"/>
      <c r="BJ2918" s="4"/>
      <c r="BK2918" s="4"/>
      <c r="BL2918" s="4"/>
      <c r="BM2918" s="4"/>
      <c r="BN2918" s="4"/>
      <c r="BO2918" s="4"/>
      <c r="BP2918" s="4"/>
      <c r="BQ2918" s="4"/>
      <c r="BR2918" s="4"/>
      <c r="BS2918" s="4"/>
      <c r="BT2918" s="4"/>
      <c r="BU2918" s="4"/>
    </row>
    <row r="2919" spans="29:73" s="1" customFormat="1" x14ac:dyDescent="0.25">
      <c r="AC2919" s="4"/>
      <c r="AD2919" s="4"/>
      <c r="AE2919" s="4"/>
      <c r="AF2919" s="4"/>
      <c r="AG2919" s="4"/>
      <c r="AH2919" s="4"/>
      <c r="AI2919" s="4"/>
      <c r="AJ2919" s="4"/>
      <c r="AK2919" s="4"/>
      <c r="AL2919" s="4"/>
      <c r="AM2919" s="4"/>
      <c r="AN2919" s="4"/>
      <c r="AO2919" s="4"/>
      <c r="AP2919" s="4"/>
      <c r="AQ2919" s="4"/>
      <c r="AR2919" s="4"/>
      <c r="AS2919" s="4"/>
      <c r="AT2919" s="4"/>
      <c r="AU2919" s="4"/>
      <c r="AV2919" s="4"/>
      <c r="AW2919" s="4"/>
      <c r="AX2919" s="4"/>
      <c r="AY2919" s="4"/>
      <c r="AZ2919" s="4"/>
      <c r="BA2919" s="4"/>
      <c r="BB2919" s="4"/>
      <c r="BC2919" s="4"/>
      <c r="BD2919" s="4"/>
      <c r="BE2919" s="4"/>
      <c r="BF2919" s="4"/>
      <c r="BG2919" s="4"/>
      <c r="BH2919" s="4"/>
      <c r="BI2919" s="4"/>
      <c r="BJ2919" s="4"/>
      <c r="BK2919" s="4"/>
      <c r="BL2919" s="4"/>
      <c r="BM2919" s="4"/>
      <c r="BN2919" s="4"/>
      <c r="BO2919" s="4"/>
      <c r="BP2919" s="4"/>
      <c r="BQ2919" s="4"/>
      <c r="BR2919" s="4"/>
      <c r="BS2919" s="4"/>
      <c r="BT2919" s="4"/>
      <c r="BU2919" s="4"/>
    </row>
    <row r="2920" spans="29:73" s="1" customFormat="1" x14ac:dyDescent="0.25">
      <c r="AC2920" s="4"/>
      <c r="AD2920" s="4"/>
      <c r="AE2920" s="4"/>
      <c r="AF2920" s="4"/>
      <c r="AG2920" s="4"/>
      <c r="AH2920" s="4"/>
      <c r="AI2920" s="4"/>
      <c r="AJ2920" s="4"/>
      <c r="AK2920" s="4"/>
      <c r="AL2920" s="4"/>
      <c r="AM2920" s="4"/>
      <c r="AN2920" s="4"/>
      <c r="AO2920" s="4"/>
      <c r="AP2920" s="4"/>
      <c r="AQ2920" s="4"/>
      <c r="AR2920" s="4"/>
      <c r="AS2920" s="4"/>
      <c r="AT2920" s="4"/>
      <c r="AU2920" s="4"/>
      <c r="AV2920" s="4"/>
      <c r="AW2920" s="4"/>
      <c r="AX2920" s="4"/>
      <c r="AY2920" s="4"/>
      <c r="AZ2920" s="4"/>
      <c r="BA2920" s="4"/>
      <c r="BB2920" s="4"/>
      <c r="BC2920" s="4"/>
      <c r="BD2920" s="4"/>
      <c r="BE2920" s="4"/>
      <c r="BF2920" s="4"/>
      <c r="BG2920" s="4"/>
      <c r="BH2920" s="4"/>
      <c r="BI2920" s="4"/>
      <c r="BJ2920" s="4"/>
      <c r="BK2920" s="4"/>
      <c r="BL2920" s="4"/>
      <c r="BM2920" s="4"/>
      <c r="BN2920" s="4"/>
      <c r="BO2920" s="4"/>
      <c r="BP2920" s="4"/>
      <c r="BQ2920" s="4"/>
      <c r="BR2920" s="4"/>
      <c r="BS2920" s="4"/>
      <c r="BT2920" s="4"/>
      <c r="BU2920" s="4"/>
    </row>
    <row r="2921" spans="29:73" s="1" customFormat="1" x14ac:dyDescent="0.25">
      <c r="AC2921" s="4"/>
      <c r="AD2921" s="4"/>
      <c r="AE2921" s="4"/>
      <c r="AF2921" s="4"/>
      <c r="AG2921" s="4"/>
      <c r="AH2921" s="4"/>
      <c r="AI2921" s="4"/>
      <c r="AJ2921" s="4"/>
      <c r="AK2921" s="4"/>
      <c r="AL2921" s="4"/>
      <c r="AM2921" s="4"/>
      <c r="AN2921" s="4"/>
      <c r="AO2921" s="4"/>
      <c r="AP2921" s="4"/>
      <c r="AQ2921" s="4"/>
      <c r="AR2921" s="4"/>
      <c r="AS2921" s="4"/>
      <c r="AT2921" s="4"/>
      <c r="AU2921" s="4"/>
      <c r="AV2921" s="4"/>
      <c r="AW2921" s="4"/>
      <c r="AX2921" s="4"/>
      <c r="AY2921" s="4"/>
      <c r="AZ2921" s="4"/>
      <c r="BA2921" s="4"/>
      <c r="BB2921" s="4"/>
      <c r="BC2921" s="4"/>
      <c r="BD2921" s="4"/>
      <c r="BE2921" s="4"/>
      <c r="BF2921" s="4"/>
      <c r="BG2921" s="4"/>
      <c r="BH2921" s="4"/>
      <c r="BI2921" s="4"/>
      <c r="BJ2921" s="4"/>
      <c r="BK2921" s="4"/>
      <c r="BL2921" s="4"/>
      <c r="BM2921" s="4"/>
      <c r="BN2921" s="4"/>
      <c r="BO2921" s="4"/>
      <c r="BP2921" s="4"/>
      <c r="BQ2921" s="4"/>
      <c r="BR2921" s="4"/>
      <c r="BS2921" s="4"/>
      <c r="BT2921" s="4"/>
      <c r="BU2921" s="4"/>
    </row>
    <row r="2922" spans="29:73" s="1" customFormat="1" x14ac:dyDescent="0.25">
      <c r="AC2922" s="4"/>
      <c r="AD2922" s="4"/>
      <c r="AE2922" s="4"/>
      <c r="AF2922" s="4"/>
      <c r="AG2922" s="4"/>
      <c r="AH2922" s="4"/>
      <c r="AI2922" s="4"/>
      <c r="AJ2922" s="4"/>
      <c r="AK2922" s="4"/>
      <c r="AL2922" s="4"/>
      <c r="AM2922" s="4"/>
      <c r="AN2922" s="4"/>
      <c r="AO2922" s="4"/>
      <c r="AP2922" s="4"/>
      <c r="AQ2922" s="4"/>
      <c r="AR2922" s="4"/>
      <c r="AS2922" s="4"/>
      <c r="AT2922" s="4"/>
      <c r="AU2922" s="4"/>
      <c r="AV2922" s="4"/>
      <c r="AW2922" s="4"/>
      <c r="AX2922" s="4"/>
      <c r="AY2922" s="4"/>
      <c r="AZ2922" s="4"/>
      <c r="BA2922" s="4"/>
      <c r="BB2922" s="4"/>
      <c r="BC2922" s="4"/>
      <c r="BD2922" s="4"/>
      <c r="BE2922" s="4"/>
      <c r="BF2922" s="4"/>
      <c r="BG2922" s="4"/>
      <c r="BH2922" s="4"/>
      <c r="BI2922" s="4"/>
      <c r="BJ2922" s="4"/>
      <c r="BK2922" s="4"/>
      <c r="BL2922" s="4"/>
      <c r="BM2922" s="4"/>
      <c r="BN2922" s="4"/>
      <c r="BO2922" s="4"/>
      <c r="BP2922" s="4"/>
      <c r="BQ2922" s="4"/>
      <c r="BR2922" s="4"/>
      <c r="BS2922" s="4"/>
      <c r="BT2922" s="4"/>
      <c r="BU2922" s="4"/>
    </row>
    <row r="2923" spans="29:73" s="1" customFormat="1" x14ac:dyDescent="0.25">
      <c r="AC2923" s="4"/>
      <c r="AD2923" s="4"/>
      <c r="AE2923" s="4"/>
      <c r="AF2923" s="4"/>
      <c r="AG2923" s="4"/>
      <c r="AH2923" s="4"/>
      <c r="AI2923" s="4"/>
      <c r="AJ2923" s="4"/>
      <c r="AK2923" s="4"/>
      <c r="AL2923" s="4"/>
      <c r="AM2923" s="4"/>
      <c r="AN2923" s="4"/>
      <c r="AO2923" s="4"/>
      <c r="AP2923" s="4"/>
      <c r="AQ2923" s="4"/>
      <c r="AR2923" s="4"/>
      <c r="AS2923" s="4"/>
      <c r="AT2923" s="4"/>
      <c r="AU2923" s="4"/>
      <c r="AV2923" s="4"/>
      <c r="AW2923" s="4"/>
      <c r="AX2923" s="4"/>
      <c r="AY2923" s="4"/>
      <c r="AZ2923" s="4"/>
      <c r="BA2923" s="4"/>
      <c r="BB2923" s="4"/>
      <c r="BC2923" s="4"/>
      <c r="BD2923" s="4"/>
      <c r="BE2923" s="4"/>
      <c r="BF2923" s="4"/>
      <c r="BG2923" s="4"/>
      <c r="BH2923" s="4"/>
      <c r="BI2923" s="4"/>
      <c r="BJ2923" s="4"/>
      <c r="BK2923" s="4"/>
      <c r="BL2923" s="4"/>
      <c r="BM2923" s="4"/>
      <c r="BN2923" s="4"/>
      <c r="BO2923" s="4"/>
      <c r="BP2923" s="4"/>
      <c r="BQ2923" s="4"/>
      <c r="BR2923" s="4"/>
      <c r="BS2923" s="4"/>
      <c r="BT2923" s="4"/>
      <c r="BU2923" s="4"/>
    </row>
    <row r="2924" spans="29:73" s="1" customFormat="1" x14ac:dyDescent="0.25">
      <c r="AC2924" s="4"/>
      <c r="AD2924" s="4"/>
      <c r="AE2924" s="4"/>
      <c r="AF2924" s="4"/>
      <c r="AG2924" s="4"/>
      <c r="AH2924" s="4"/>
      <c r="AI2924" s="4"/>
      <c r="AJ2924" s="4"/>
      <c r="AK2924" s="4"/>
      <c r="AL2924" s="4"/>
      <c r="AM2924" s="4"/>
      <c r="AN2924" s="4"/>
      <c r="AO2924" s="4"/>
      <c r="AP2924" s="4"/>
      <c r="AQ2924" s="4"/>
      <c r="AR2924" s="4"/>
      <c r="AS2924" s="4"/>
      <c r="AT2924" s="4"/>
      <c r="AU2924" s="4"/>
      <c r="AV2924" s="4"/>
      <c r="AW2924" s="4"/>
      <c r="AX2924" s="4"/>
      <c r="AY2924" s="4"/>
      <c r="AZ2924" s="4"/>
      <c r="BA2924" s="4"/>
      <c r="BB2924" s="4"/>
      <c r="BC2924" s="4"/>
      <c r="BD2924" s="4"/>
      <c r="BE2924" s="4"/>
      <c r="BF2924" s="4"/>
      <c r="BG2924" s="4"/>
      <c r="BH2924" s="4"/>
      <c r="BI2924" s="4"/>
      <c r="BJ2924" s="4"/>
      <c r="BK2924" s="4"/>
      <c r="BL2924" s="4"/>
      <c r="BM2924" s="4"/>
      <c r="BN2924" s="4"/>
      <c r="BO2924" s="4"/>
      <c r="BP2924" s="4"/>
      <c r="BQ2924" s="4"/>
      <c r="BR2924" s="4"/>
      <c r="BS2924" s="4"/>
      <c r="BT2924" s="4"/>
      <c r="BU2924" s="4"/>
    </row>
    <row r="2925" spans="29:73" s="1" customFormat="1" x14ac:dyDescent="0.25">
      <c r="AC2925" s="4"/>
      <c r="AD2925" s="4"/>
      <c r="AE2925" s="4"/>
      <c r="AF2925" s="4"/>
      <c r="AG2925" s="4"/>
      <c r="AH2925" s="4"/>
      <c r="AI2925" s="4"/>
      <c r="AJ2925" s="4"/>
      <c r="AK2925" s="4"/>
      <c r="AL2925" s="4"/>
      <c r="AM2925" s="4"/>
      <c r="AN2925" s="4"/>
      <c r="AO2925" s="4"/>
      <c r="AP2925" s="4"/>
      <c r="AQ2925" s="4"/>
      <c r="AR2925" s="4"/>
      <c r="AS2925" s="4"/>
      <c r="AT2925" s="4"/>
      <c r="AU2925" s="4"/>
      <c r="AV2925" s="4"/>
      <c r="AW2925" s="4"/>
      <c r="AX2925" s="4"/>
      <c r="AY2925" s="4"/>
      <c r="AZ2925" s="4"/>
      <c r="BA2925" s="4"/>
      <c r="BB2925" s="4"/>
      <c r="BC2925" s="4"/>
      <c r="BD2925" s="4"/>
      <c r="BE2925" s="4"/>
      <c r="BF2925" s="4"/>
      <c r="BG2925" s="4"/>
      <c r="BH2925" s="4"/>
      <c r="BI2925" s="4"/>
      <c r="BJ2925" s="4"/>
      <c r="BK2925" s="4"/>
      <c r="BL2925" s="4"/>
      <c r="BM2925" s="4"/>
      <c r="BN2925" s="4"/>
      <c r="BO2925" s="4"/>
      <c r="BP2925" s="4"/>
      <c r="BQ2925" s="4"/>
      <c r="BR2925" s="4"/>
      <c r="BS2925" s="4"/>
      <c r="BT2925" s="4"/>
      <c r="BU2925" s="4"/>
    </row>
    <row r="2926" spans="29:73" s="1" customFormat="1" x14ac:dyDescent="0.25">
      <c r="AC2926" s="4"/>
      <c r="AD2926" s="4"/>
      <c r="AE2926" s="4"/>
      <c r="AF2926" s="4"/>
      <c r="AG2926" s="4"/>
      <c r="AH2926" s="4"/>
      <c r="AI2926" s="4"/>
      <c r="AJ2926" s="4"/>
      <c r="AK2926" s="4"/>
      <c r="AL2926" s="4"/>
      <c r="AM2926" s="4"/>
      <c r="AN2926" s="4"/>
      <c r="AO2926" s="4"/>
      <c r="AP2926" s="4"/>
      <c r="AQ2926" s="4"/>
      <c r="AR2926" s="4"/>
      <c r="AS2926" s="4"/>
      <c r="AT2926" s="4"/>
      <c r="AU2926" s="4"/>
      <c r="AV2926" s="4"/>
      <c r="AW2926" s="4"/>
      <c r="AX2926" s="4"/>
      <c r="AY2926" s="4"/>
      <c r="AZ2926" s="4"/>
      <c r="BA2926" s="4"/>
      <c r="BB2926" s="4"/>
      <c r="BC2926" s="4"/>
      <c r="BD2926" s="4"/>
      <c r="BE2926" s="4"/>
      <c r="BF2926" s="4"/>
      <c r="BG2926" s="4"/>
      <c r="BH2926" s="4"/>
      <c r="BI2926" s="4"/>
      <c r="BJ2926" s="4"/>
      <c r="BK2926" s="4"/>
      <c r="BL2926" s="4"/>
      <c r="BM2926" s="4"/>
      <c r="BN2926" s="4"/>
      <c r="BO2926" s="4"/>
      <c r="BP2926" s="4"/>
      <c r="BQ2926" s="4"/>
      <c r="BR2926" s="4"/>
      <c r="BS2926" s="4"/>
      <c r="BT2926" s="4"/>
      <c r="BU2926" s="4"/>
    </row>
    <row r="2927" spans="29:73" s="1" customFormat="1" x14ac:dyDescent="0.25">
      <c r="AC2927" s="4"/>
      <c r="AD2927" s="4"/>
      <c r="AE2927" s="4"/>
      <c r="AF2927" s="4"/>
      <c r="AG2927" s="4"/>
      <c r="AH2927" s="4"/>
      <c r="AI2927" s="4"/>
      <c r="AJ2927" s="4"/>
      <c r="AK2927" s="4"/>
      <c r="AL2927" s="4"/>
      <c r="AM2927" s="4"/>
      <c r="AN2927" s="4"/>
      <c r="AO2927" s="4"/>
      <c r="AP2927" s="4"/>
      <c r="AQ2927" s="4"/>
      <c r="AR2927" s="4"/>
      <c r="AS2927" s="4"/>
      <c r="AT2927" s="4"/>
      <c r="AU2927" s="4"/>
      <c r="AV2927" s="4"/>
      <c r="AW2927" s="4"/>
      <c r="AX2927" s="4"/>
      <c r="AY2927" s="4"/>
      <c r="AZ2927" s="4"/>
      <c r="BA2927" s="4"/>
      <c r="BB2927" s="4"/>
      <c r="BC2927" s="4"/>
      <c r="BD2927" s="4"/>
      <c r="BE2927" s="4"/>
      <c r="BF2927" s="4"/>
      <c r="BG2927" s="4"/>
      <c r="BH2927" s="4"/>
      <c r="BI2927" s="4"/>
      <c r="BJ2927" s="4"/>
      <c r="BK2927" s="4"/>
      <c r="BL2927" s="4"/>
      <c r="BM2927" s="4"/>
      <c r="BN2927" s="4"/>
      <c r="BO2927" s="4"/>
      <c r="BP2927" s="4"/>
      <c r="BQ2927" s="4"/>
      <c r="BR2927" s="4"/>
      <c r="BS2927" s="4"/>
      <c r="BT2927" s="4"/>
      <c r="BU2927" s="4"/>
    </row>
    <row r="2928" spans="29:73" s="1" customFormat="1" x14ac:dyDescent="0.25">
      <c r="AC2928" s="4"/>
      <c r="AD2928" s="4"/>
      <c r="AE2928" s="4"/>
      <c r="AF2928" s="4"/>
      <c r="AG2928" s="4"/>
      <c r="AH2928" s="4"/>
      <c r="AI2928" s="4"/>
      <c r="AJ2928" s="4"/>
      <c r="AK2928" s="4"/>
      <c r="AL2928" s="4"/>
      <c r="AM2928" s="4"/>
      <c r="AN2928" s="4"/>
      <c r="AO2928" s="4"/>
      <c r="AP2928" s="4"/>
      <c r="AQ2928" s="4"/>
      <c r="AR2928" s="4"/>
      <c r="AS2928" s="4"/>
      <c r="AT2928" s="4"/>
      <c r="AU2928" s="4"/>
      <c r="AV2928" s="4"/>
      <c r="AW2928" s="4"/>
      <c r="AX2928" s="4"/>
      <c r="AY2928" s="4"/>
      <c r="AZ2928" s="4"/>
      <c r="BA2928" s="4"/>
      <c r="BB2928" s="4"/>
      <c r="BC2928" s="4"/>
      <c r="BD2928" s="4"/>
      <c r="BE2928" s="4"/>
      <c r="BF2928" s="4"/>
      <c r="BG2928" s="4"/>
      <c r="BH2928" s="4"/>
      <c r="BI2928" s="4"/>
      <c r="BJ2928" s="4"/>
      <c r="BK2928" s="4"/>
      <c r="BL2928" s="4"/>
      <c r="BM2928" s="4"/>
      <c r="BN2928" s="4"/>
      <c r="BO2928" s="4"/>
      <c r="BP2928" s="4"/>
      <c r="BQ2928" s="4"/>
      <c r="BR2928" s="4"/>
      <c r="BS2928" s="4"/>
      <c r="BT2928" s="4"/>
      <c r="BU2928" s="4"/>
    </row>
    <row r="2929" spans="29:73" s="1" customFormat="1" x14ac:dyDescent="0.25">
      <c r="AC2929" s="4"/>
      <c r="AD2929" s="4"/>
      <c r="AE2929" s="4"/>
      <c r="AF2929" s="4"/>
      <c r="AG2929" s="4"/>
      <c r="AH2929" s="4"/>
      <c r="AI2929" s="4"/>
      <c r="AJ2929" s="4"/>
      <c r="AK2929" s="4"/>
      <c r="AL2929" s="4"/>
      <c r="AM2929" s="4"/>
      <c r="AN2929" s="4"/>
      <c r="AO2929" s="4"/>
      <c r="AP2929" s="4"/>
      <c r="AQ2929" s="4"/>
      <c r="AR2929" s="4"/>
      <c r="AS2929" s="4"/>
      <c r="AT2929" s="4"/>
      <c r="AU2929" s="4"/>
      <c r="AV2929" s="4"/>
      <c r="AW2929" s="4"/>
      <c r="AX2929" s="4"/>
      <c r="AY2929" s="4"/>
      <c r="AZ2929" s="4"/>
      <c r="BA2929" s="4"/>
      <c r="BB2929" s="4"/>
      <c r="BC2929" s="4"/>
      <c r="BD2929" s="4"/>
      <c r="BE2929" s="4"/>
      <c r="BF2929" s="4"/>
      <c r="BG2929" s="4"/>
      <c r="BH2929" s="4"/>
      <c r="BI2929" s="4"/>
      <c r="BJ2929" s="4"/>
      <c r="BK2929" s="4"/>
      <c r="BL2929" s="4"/>
      <c r="BM2929" s="4"/>
      <c r="BN2929" s="4"/>
      <c r="BO2929" s="4"/>
      <c r="BP2929" s="4"/>
      <c r="BQ2929" s="4"/>
      <c r="BR2929" s="4"/>
      <c r="BS2929" s="4"/>
      <c r="BT2929" s="4"/>
      <c r="BU2929" s="4"/>
    </row>
    <row r="2930" spans="29:73" s="1" customFormat="1" x14ac:dyDescent="0.25">
      <c r="AC2930" s="4"/>
      <c r="AD2930" s="4"/>
      <c r="AE2930" s="4"/>
      <c r="AF2930" s="4"/>
      <c r="AG2930" s="4"/>
      <c r="AH2930" s="4"/>
      <c r="AI2930" s="4"/>
      <c r="AJ2930" s="4"/>
      <c r="AK2930" s="4"/>
      <c r="AL2930" s="4"/>
      <c r="AM2930" s="4"/>
      <c r="AN2930" s="4"/>
      <c r="AO2930" s="4"/>
      <c r="AP2930" s="4"/>
      <c r="AQ2930" s="4"/>
      <c r="AR2930" s="4"/>
      <c r="AS2930" s="4"/>
      <c r="AT2930" s="4"/>
      <c r="AU2930" s="4"/>
      <c r="AV2930" s="4"/>
      <c r="AW2930" s="4"/>
      <c r="AX2930" s="4"/>
      <c r="AY2930" s="4"/>
      <c r="AZ2930" s="4"/>
      <c r="BA2930" s="4"/>
      <c r="BB2930" s="4"/>
      <c r="BC2930" s="4"/>
      <c r="BD2930" s="4"/>
      <c r="BE2930" s="4"/>
      <c r="BF2930" s="4"/>
      <c r="BG2930" s="4"/>
      <c r="BH2930" s="4"/>
      <c r="BI2930" s="4"/>
      <c r="BJ2930" s="4"/>
      <c r="BK2930" s="4"/>
      <c r="BL2930" s="4"/>
      <c r="BM2930" s="4"/>
      <c r="BN2930" s="4"/>
      <c r="BO2930" s="4"/>
      <c r="BP2930" s="4"/>
      <c r="BQ2930" s="4"/>
      <c r="BR2930" s="4"/>
      <c r="BS2930" s="4"/>
      <c r="BT2930" s="4"/>
      <c r="BU2930" s="4"/>
    </row>
    <row r="2931" spans="29:73" s="1" customFormat="1" x14ac:dyDescent="0.25">
      <c r="AC2931" s="4"/>
      <c r="AD2931" s="4"/>
      <c r="AE2931" s="4"/>
      <c r="AF2931" s="4"/>
      <c r="AG2931" s="4"/>
      <c r="AH2931" s="4"/>
      <c r="AI2931" s="4"/>
      <c r="AJ2931" s="4"/>
      <c r="AK2931" s="4"/>
      <c r="AL2931" s="4"/>
      <c r="AM2931" s="4"/>
      <c r="AN2931" s="4"/>
      <c r="AO2931" s="4"/>
      <c r="AP2931" s="4"/>
      <c r="AQ2931" s="4"/>
      <c r="AR2931" s="4"/>
      <c r="AS2931" s="4"/>
      <c r="AT2931" s="4"/>
      <c r="AU2931" s="4"/>
      <c r="AV2931" s="4"/>
      <c r="AW2931" s="4"/>
      <c r="AX2931" s="4"/>
      <c r="AY2931" s="4"/>
      <c r="AZ2931" s="4"/>
      <c r="BA2931" s="4"/>
      <c r="BB2931" s="4"/>
      <c r="BC2931" s="4"/>
      <c r="BD2931" s="4"/>
      <c r="BE2931" s="4"/>
      <c r="BF2931" s="4"/>
      <c r="BG2931" s="4"/>
      <c r="BH2931" s="4"/>
      <c r="BI2931" s="4"/>
      <c r="BJ2931" s="4"/>
      <c r="BK2931" s="4"/>
      <c r="BL2931" s="4"/>
      <c r="BM2931" s="4"/>
      <c r="BN2931" s="4"/>
      <c r="BO2931" s="4"/>
      <c r="BP2931" s="4"/>
      <c r="BQ2931" s="4"/>
      <c r="BR2931" s="4"/>
      <c r="BS2931" s="4"/>
      <c r="BT2931" s="4"/>
      <c r="BU2931" s="4"/>
    </row>
    <row r="2932" spans="29:73" s="1" customFormat="1" x14ac:dyDescent="0.25">
      <c r="AC2932" s="4"/>
      <c r="AD2932" s="4"/>
      <c r="AE2932" s="4"/>
      <c r="AF2932" s="4"/>
      <c r="AG2932" s="4"/>
      <c r="AH2932" s="4"/>
      <c r="AI2932" s="4"/>
      <c r="AJ2932" s="4"/>
      <c r="AK2932" s="4"/>
      <c r="AL2932" s="4"/>
      <c r="AM2932" s="4"/>
      <c r="AN2932" s="4"/>
      <c r="AO2932" s="4"/>
      <c r="AP2932" s="4"/>
      <c r="AQ2932" s="4"/>
      <c r="AR2932" s="4"/>
      <c r="AS2932" s="4"/>
      <c r="AT2932" s="4"/>
      <c r="AU2932" s="4"/>
      <c r="AV2932" s="4"/>
      <c r="AW2932" s="4"/>
      <c r="AX2932" s="4"/>
      <c r="AY2932" s="4"/>
      <c r="AZ2932" s="4"/>
      <c r="BA2932" s="4"/>
      <c r="BB2932" s="4"/>
      <c r="BC2932" s="4"/>
      <c r="BD2932" s="4"/>
      <c r="BE2932" s="4"/>
      <c r="BF2932" s="4"/>
      <c r="BG2932" s="4"/>
      <c r="BH2932" s="4"/>
      <c r="BI2932" s="4"/>
      <c r="BJ2932" s="4"/>
      <c r="BK2932" s="4"/>
      <c r="BL2932" s="4"/>
      <c r="BM2932" s="4"/>
      <c r="BN2932" s="4"/>
      <c r="BO2932" s="4"/>
      <c r="BP2932" s="4"/>
      <c r="BQ2932" s="4"/>
      <c r="BR2932" s="4"/>
      <c r="BS2932" s="4"/>
      <c r="BT2932" s="4"/>
      <c r="BU2932" s="4"/>
    </row>
    <row r="2933" spans="29:73" s="1" customFormat="1" x14ac:dyDescent="0.25">
      <c r="AC2933" s="4"/>
      <c r="AD2933" s="4"/>
      <c r="AE2933" s="4"/>
      <c r="AF2933" s="4"/>
      <c r="AG2933" s="4"/>
      <c r="AH2933" s="4"/>
      <c r="AI2933" s="4"/>
      <c r="AJ2933" s="4"/>
      <c r="AK2933" s="4"/>
      <c r="AL2933" s="4"/>
      <c r="AM2933" s="4"/>
      <c r="AN2933" s="4"/>
      <c r="AO2933" s="4"/>
      <c r="AP2933" s="4"/>
      <c r="AQ2933" s="4"/>
      <c r="AR2933" s="4"/>
      <c r="AS2933" s="4"/>
      <c r="AT2933" s="4"/>
      <c r="AU2933" s="4"/>
      <c r="AV2933" s="4"/>
      <c r="AW2933" s="4"/>
      <c r="AX2933" s="4"/>
      <c r="AY2933" s="4"/>
      <c r="AZ2933" s="4"/>
      <c r="BA2933" s="4"/>
      <c r="BB2933" s="4"/>
      <c r="BC2933" s="4"/>
      <c r="BD2933" s="4"/>
      <c r="BE2933" s="4"/>
      <c r="BF2933" s="4"/>
      <c r="BG2933" s="4"/>
      <c r="BH2933" s="4"/>
      <c r="BI2933" s="4"/>
      <c r="BJ2933" s="4"/>
      <c r="BK2933" s="4"/>
      <c r="BL2933" s="4"/>
      <c r="BM2933" s="4"/>
      <c r="BN2933" s="4"/>
      <c r="BO2933" s="4"/>
      <c r="BP2933" s="4"/>
      <c r="BQ2933" s="4"/>
      <c r="BR2933" s="4"/>
      <c r="BS2933" s="4"/>
      <c r="BT2933" s="4"/>
      <c r="BU2933" s="4"/>
    </row>
    <row r="2934" spans="29:73" s="1" customFormat="1" x14ac:dyDescent="0.25">
      <c r="AC2934" s="4"/>
      <c r="AD2934" s="4"/>
      <c r="AE2934" s="4"/>
      <c r="AF2934" s="4"/>
      <c r="AG2934" s="4"/>
      <c r="AH2934" s="4"/>
      <c r="AI2934" s="4"/>
      <c r="AJ2934" s="4"/>
      <c r="AK2934" s="4"/>
      <c r="AL2934" s="4"/>
      <c r="AM2934" s="4"/>
      <c r="AN2934" s="4"/>
      <c r="AO2934" s="4"/>
      <c r="AP2934" s="4"/>
      <c r="AQ2934" s="4"/>
      <c r="AR2934" s="4"/>
      <c r="AS2934" s="4"/>
      <c r="AT2934" s="4"/>
      <c r="AU2934" s="4"/>
      <c r="AV2934" s="4"/>
      <c r="AW2934" s="4"/>
      <c r="AX2934" s="4"/>
      <c r="AY2934" s="4"/>
      <c r="AZ2934" s="4"/>
      <c r="BA2934" s="4"/>
      <c r="BB2934" s="4"/>
      <c r="BC2934" s="4"/>
      <c r="BD2934" s="4"/>
      <c r="BE2934" s="4"/>
      <c r="BF2934" s="4"/>
      <c r="BG2934" s="4"/>
      <c r="BH2934" s="4"/>
      <c r="BI2934" s="4"/>
      <c r="BJ2934" s="4"/>
      <c r="BK2934" s="4"/>
      <c r="BL2934" s="4"/>
      <c r="BM2934" s="4"/>
      <c r="BN2934" s="4"/>
      <c r="BO2934" s="4"/>
      <c r="BP2934" s="4"/>
      <c r="BQ2934" s="4"/>
      <c r="BR2934" s="4"/>
      <c r="BS2934" s="4"/>
      <c r="BT2934" s="4"/>
      <c r="BU2934" s="4"/>
    </row>
    <row r="2935" spans="29:73" s="1" customFormat="1" x14ac:dyDescent="0.25">
      <c r="AC2935" s="4"/>
      <c r="AD2935" s="4"/>
      <c r="AE2935" s="4"/>
      <c r="AF2935" s="4"/>
      <c r="AG2935" s="4"/>
      <c r="AH2935" s="4"/>
      <c r="AI2935" s="4"/>
      <c r="AJ2935" s="4"/>
      <c r="AK2935" s="4"/>
      <c r="AL2935" s="4"/>
      <c r="AM2935" s="4"/>
      <c r="AN2935" s="4"/>
      <c r="AO2935" s="4"/>
      <c r="AP2935" s="4"/>
      <c r="AQ2935" s="4"/>
      <c r="AR2935" s="4"/>
      <c r="AS2935" s="4"/>
      <c r="AT2935" s="4"/>
      <c r="AU2935" s="4"/>
      <c r="AV2935" s="4"/>
      <c r="AW2935" s="4"/>
      <c r="AX2935" s="4"/>
      <c r="AY2935" s="4"/>
      <c r="AZ2935" s="4"/>
      <c r="BA2935" s="4"/>
      <c r="BB2935" s="4"/>
      <c r="BC2935" s="4"/>
      <c r="BD2935" s="4"/>
      <c r="BE2935" s="4"/>
      <c r="BF2935" s="4"/>
      <c r="BG2935" s="4"/>
      <c r="BH2935" s="4"/>
      <c r="BI2935" s="4"/>
      <c r="BJ2935" s="4"/>
      <c r="BK2935" s="4"/>
      <c r="BL2935" s="4"/>
      <c r="BM2935" s="4"/>
      <c r="BN2935" s="4"/>
      <c r="BO2935" s="4"/>
      <c r="BP2935" s="4"/>
      <c r="BQ2935" s="4"/>
      <c r="BR2935" s="4"/>
      <c r="BS2935" s="4"/>
      <c r="BT2935" s="4"/>
      <c r="BU2935" s="4"/>
    </row>
    <row r="2936" spans="29:73" s="1" customFormat="1" x14ac:dyDescent="0.25">
      <c r="AC2936" s="4"/>
      <c r="AD2936" s="4"/>
      <c r="AE2936" s="4"/>
      <c r="AF2936" s="4"/>
      <c r="AG2936" s="4"/>
      <c r="AH2936" s="4"/>
      <c r="AI2936" s="4"/>
      <c r="AJ2936" s="4"/>
      <c r="AK2936" s="4"/>
      <c r="AL2936" s="4"/>
      <c r="AM2936" s="4"/>
      <c r="AN2936" s="4"/>
      <c r="AO2936" s="4"/>
      <c r="AP2936" s="4"/>
      <c r="AQ2936" s="4"/>
      <c r="AR2936" s="4"/>
      <c r="AS2936" s="4"/>
      <c r="AT2936" s="4"/>
      <c r="AU2936" s="4"/>
      <c r="AV2936" s="4"/>
      <c r="AW2936" s="4"/>
      <c r="AX2936" s="4"/>
      <c r="AY2936" s="4"/>
      <c r="AZ2936" s="4"/>
      <c r="BA2936" s="4"/>
      <c r="BB2936" s="4"/>
      <c r="BC2936" s="4"/>
      <c r="BD2936" s="4"/>
      <c r="BE2936" s="4"/>
      <c r="BF2936" s="4"/>
      <c r="BG2936" s="4"/>
      <c r="BH2936" s="4"/>
      <c r="BI2936" s="4"/>
      <c r="BJ2936" s="4"/>
      <c r="BK2936" s="4"/>
      <c r="BL2936" s="4"/>
      <c r="BM2936" s="4"/>
      <c r="BN2936" s="4"/>
      <c r="BO2936" s="4"/>
      <c r="BP2936" s="4"/>
      <c r="BQ2936" s="4"/>
      <c r="BR2936" s="4"/>
      <c r="BS2936" s="4"/>
      <c r="BT2936" s="4"/>
      <c r="BU2936" s="4"/>
    </row>
    <row r="2937" spans="29:73" s="1" customFormat="1" x14ac:dyDescent="0.25">
      <c r="AC2937" s="4"/>
      <c r="AD2937" s="4"/>
      <c r="AE2937" s="4"/>
      <c r="AF2937" s="4"/>
      <c r="AG2937" s="4"/>
      <c r="AH2937" s="4"/>
      <c r="AI2937" s="4"/>
      <c r="AJ2937" s="4"/>
      <c r="AK2937" s="4"/>
      <c r="AL2937" s="4"/>
      <c r="AM2937" s="4"/>
      <c r="AN2937" s="4"/>
      <c r="AO2937" s="4"/>
      <c r="AP2937" s="4"/>
      <c r="AQ2937" s="4"/>
      <c r="AR2937" s="4"/>
      <c r="AS2937" s="4"/>
      <c r="AT2937" s="4"/>
      <c r="AU2937" s="4"/>
      <c r="AV2937" s="4"/>
      <c r="AW2937" s="4"/>
      <c r="AX2937" s="4"/>
      <c r="AY2937" s="4"/>
      <c r="AZ2937" s="4"/>
      <c r="BA2937" s="4"/>
      <c r="BB2937" s="4"/>
      <c r="BC2937" s="4"/>
      <c r="BD2937" s="4"/>
      <c r="BE2937" s="4"/>
      <c r="BF2937" s="4"/>
      <c r="BG2937" s="4"/>
      <c r="BH2937" s="4"/>
      <c r="BI2937" s="4"/>
      <c r="BJ2937" s="4"/>
      <c r="BK2937" s="4"/>
      <c r="BL2937" s="4"/>
      <c r="BM2937" s="4"/>
      <c r="BN2937" s="4"/>
      <c r="BO2937" s="4"/>
      <c r="BP2937" s="4"/>
      <c r="BQ2937" s="4"/>
      <c r="BR2937" s="4"/>
      <c r="BS2937" s="4"/>
      <c r="BT2937" s="4"/>
      <c r="BU2937" s="4"/>
    </row>
    <row r="2938" spans="29:73" s="1" customFormat="1" x14ac:dyDescent="0.25">
      <c r="AC2938" s="4"/>
      <c r="AD2938" s="4"/>
      <c r="AE2938" s="4"/>
      <c r="AF2938" s="4"/>
      <c r="AG2938" s="4"/>
      <c r="AH2938" s="4"/>
      <c r="AI2938" s="4"/>
      <c r="AJ2938" s="4"/>
      <c r="AK2938" s="4"/>
      <c r="AL2938" s="4"/>
      <c r="AM2938" s="4"/>
      <c r="AN2938" s="4"/>
      <c r="AO2938" s="4"/>
      <c r="AP2938" s="4"/>
      <c r="AQ2938" s="4"/>
      <c r="AR2938" s="4"/>
      <c r="AS2938" s="4"/>
      <c r="AT2938" s="4"/>
      <c r="AU2938" s="4"/>
      <c r="AV2938" s="4"/>
      <c r="AW2938" s="4"/>
      <c r="AX2938" s="4"/>
      <c r="AY2938" s="4"/>
      <c r="AZ2938" s="4"/>
      <c r="BA2938" s="4"/>
      <c r="BB2938" s="4"/>
      <c r="BC2938" s="4"/>
      <c r="BD2938" s="4"/>
      <c r="BE2938" s="4"/>
      <c r="BF2938" s="4"/>
      <c r="BG2938" s="4"/>
      <c r="BH2938" s="4"/>
      <c r="BI2938" s="4"/>
      <c r="BJ2938" s="4"/>
      <c r="BK2938" s="4"/>
      <c r="BL2938" s="4"/>
      <c r="BM2938" s="4"/>
      <c r="BN2938" s="4"/>
      <c r="BO2938" s="4"/>
      <c r="BP2938" s="4"/>
      <c r="BQ2938" s="4"/>
      <c r="BR2938" s="4"/>
      <c r="BS2938" s="4"/>
      <c r="BT2938" s="4"/>
      <c r="BU2938" s="4"/>
    </row>
    <row r="2939" spans="29:73" s="1" customFormat="1" x14ac:dyDescent="0.25">
      <c r="AC2939" s="4"/>
      <c r="AD2939" s="4"/>
      <c r="AE2939" s="4"/>
      <c r="AF2939" s="4"/>
      <c r="AG2939" s="4"/>
      <c r="AH2939" s="4"/>
      <c r="AI2939" s="4"/>
      <c r="AJ2939" s="4"/>
      <c r="AK2939" s="4"/>
      <c r="AL2939" s="4"/>
      <c r="AM2939" s="4"/>
      <c r="AN2939" s="4"/>
      <c r="AO2939" s="4"/>
      <c r="AP2939" s="4"/>
      <c r="AQ2939" s="4"/>
      <c r="AR2939" s="4"/>
      <c r="AS2939" s="4"/>
      <c r="AT2939" s="4"/>
      <c r="AU2939" s="4"/>
      <c r="AV2939" s="4"/>
      <c r="AW2939" s="4"/>
      <c r="AX2939" s="4"/>
      <c r="AY2939" s="4"/>
      <c r="AZ2939" s="4"/>
      <c r="BA2939" s="4"/>
      <c r="BB2939" s="4"/>
      <c r="BC2939" s="4"/>
      <c r="BD2939" s="4"/>
      <c r="BE2939" s="4"/>
      <c r="BF2939" s="4"/>
      <c r="BG2939" s="4"/>
      <c r="BH2939" s="4"/>
      <c r="BI2939" s="4"/>
      <c r="BJ2939" s="4"/>
      <c r="BK2939" s="4"/>
      <c r="BL2939" s="4"/>
      <c r="BM2939" s="4"/>
      <c r="BN2939" s="4"/>
      <c r="BO2939" s="4"/>
      <c r="BP2939" s="4"/>
      <c r="BQ2939" s="4"/>
      <c r="BR2939" s="4"/>
      <c r="BS2939" s="4"/>
      <c r="BT2939" s="4"/>
      <c r="BU2939" s="4"/>
    </row>
    <row r="2940" spans="29:73" s="1" customFormat="1" x14ac:dyDescent="0.25">
      <c r="AC2940" s="4"/>
      <c r="AD2940" s="4"/>
      <c r="AE2940" s="4"/>
      <c r="AF2940" s="4"/>
      <c r="AG2940" s="4"/>
      <c r="AH2940" s="4"/>
      <c r="AI2940" s="4"/>
      <c r="AJ2940" s="4"/>
      <c r="AK2940" s="4"/>
      <c r="AL2940" s="4"/>
      <c r="AM2940" s="4"/>
      <c r="AN2940" s="4"/>
      <c r="AO2940" s="4"/>
      <c r="AP2940" s="4"/>
      <c r="AQ2940" s="4"/>
      <c r="AR2940" s="4"/>
      <c r="AS2940" s="4"/>
      <c r="AT2940" s="4"/>
      <c r="AU2940" s="4"/>
      <c r="AV2940" s="4"/>
      <c r="AW2940" s="4"/>
      <c r="AX2940" s="4"/>
      <c r="AY2940" s="4"/>
      <c r="AZ2940" s="4"/>
      <c r="BA2940" s="4"/>
      <c r="BB2940" s="4"/>
      <c r="BC2940" s="4"/>
      <c r="BD2940" s="4"/>
      <c r="BE2940" s="4"/>
      <c r="BF2940" s="4"/>
      <c r="BG2940" s="4"/>
      <c r="BH2940" s="4"/>
      <c r="BI2940" s="4"/>
      <c r="BJ2940" s="4"/>
      <c r="BK2940" s="4"/>
      <c r="BL2940" s="4"/>
      <c r="BM2940" s="4"/>
      <c r="BN2940" s="4"/>
      <c r="BO2940" s="4"/>
      <c r="BP2940" s="4"/>
      <c r="BQ2940" s="4"/>
      <c r="BR2940" s="4"/>
      <c r="BS2940" s="4"/>
      <c r="BT2940" s="4"/>
      <c r="BU2940" s="4"/>
    </row>
    <row r="2941" spans="29:73" s="1" customFormat="1" x14ac:dyDescent="0.25">
      <c r="AC2941" s="4"/>
      <c r="AD2941" s="4"/>
      <c r="AE2941" s="4"/>
      <c r="AF2941" s="4"/>
      <c r="AG2941" s="4"/>
      <c r="AH2941" s="4"/>
      <c r="AI2941" s="4"/>
      <c r="AJ2941" s="4"/>
      <c r="AK2941" s="4"/>
      <c r="AL2941" s="4"/>
      <c r="AM2941" s="4"/>
      <c r="AN2941" s="4"/>
      <c r="AO2941" s="4"/>
      <c r="AP2941" s="4"/>
      <c r="AQ2941" s="4"/>
      <c r="AR2941" s="4"/>
      <c r="AS2941" s="4"/>
      <c r="AT2941" s="4"/>
      <c r="AU2941" s="4"/>
      <c r="AV2941" s="4"/>
      <c r="AW2941" s="4"/>
      <c r="AX2941" s="4"/>
      <c r="AY2941" s="4"/>
      <c r="AZ2941" s="4"/>
      <c r="BA2941" s="4"/>
      <c r="BB2941" s="4"/>
      <c r="BC2941" s="4"/>
      <c r="BD2941" s="4"/>
      <c r="BE2941" s="4"/>
      <c r="BF2941" s="4"/>
      <c r="BG2941" s="4"/>
      <c r="BH2941" s="4"/>
      <c r="BI2941" s="4"/>
      <c r="BJ2941" s="4"/>
      <c r="BK2941" s="4"/>
      <c r="BL2941" s="4"/>
      <c r="BM2941" s="4"/>
      <c r="BN2941" s="4"/>
      <c r="BO2941" s="4"/>
      <c r="BP2941" s="4"/>
      <c r="BQ2941" s="4"/>
      <c r="BR2941" s="4"/>
      <c r="BS2941" s="4"/>
      <c r="BT2941" s="4"/>
      <c r="BU2941" s="4"/>
    </row>
    <row r="2942" spans="29:73" s="1" customFormat="1" x14ac:dyDescent="0.25">
      <c r="AC2942" s="4"/>
      <c r="AD2942" s="4"/>
      <c r="AE2942" s="4"/>
      <c r="AF2942" s="4"/>
      <c r="AG2942" s="4"/>
      <c r="AH2942" s="4"/>
      <c r="AI2942" s="4"/>
      <c r="AJ2942" s="4"/>
      <c r="AK2942" s="4"/>
      <c r="AL2942" s="4"/>
      <c r="AM2942" s="4"/>
      <c r="AN2942" s="4"/>
      <c r="AO2942" s="4"/>
      <c r="AP2942" s="4"/>
      <c r="AQ2942" s="4"/>
      <c r="AR2942" s="4"/>
      <c r="AS2942" s="4"/>
      <c r="AT2942" s="4"/>
      <c r="AU2942" s="4"/>
      <c r="AV2942" s="4"/>
      <c r="AW2942" s="4"/>
      <c r="AX2942" s="4"/>
      <c r="AY2942" s="4"/>
      <c r="AZ2942" s="4"/>
      <c r="BA2942" s="4"/>
      <c r="BB2942" s="4"/>
      <c r="BC2942" s="4"/>
      <c r="BD2942" s="4"/>
      <c r="BE2942" s="4"/>
      <c r="BF2942" s="4"/>
      <c r="BG2942" s="4"/>
      <c r="BH2942" s="4"/>
      <c r="BI2942" s="4"/>
      <c r="BJ2942" s="4"/>
      <c r="BK2942" s="4"/>
      <c r="BL2942" s="4"/>
      <c r="BM2942" s="4"/>
      <c r="BN2942" s="4"/>
      <c r="BO2942" s="4"/>
      <c r="BP2942" s="4"/>
      <c r="BQ2942" s="4"/>
      <c r="BR2942" s="4"/>
      <c r="BS2942" s="4"/>
      <c r="BT2942" s="4"/>
      <c r="BU2942" s="4"/>
    </row>
    <row r="2943" spans="29:73" s="1" customFormat="1" x14ac:dyDescent="0.25">
      <c r="AC2943" s="4"/>
      <c r="AD2943" s="4"/>
      <c r="AE2943" s="4"/>
      <c r="AF2943" s="4"/>
      <c r="AG2943" s="4"/>
      <c r="AH2943" s="4"/>
      <c r="AI2943" s="4"/>
      <c r="AJ2943" s="4"/>
      <c r="AK2943" s="4"/>
      <c r="AL2943" s="4"/>
      <c r="AM2943" s="4"/>
      <c r="AN2943" s="4"/>
      <c r="AO2943" s="4"/>
      <c r="AP2943" s="4"/>
      <c r="AQ2943" s="4"/>
      <c r="AR2943" s="4"/>
      <c r="AS2943" s="4"/>
      <c r="AT2943" s="4"/>
      <c r="AU2943" s="4"/>
      <c r="AV2943" s="4"/>
      <c r="AW2943" s="4"/>
      <c r="AX2943" s="4"/>
      <c r="AY2943" s="4"/>
      <c r="AZ2943" s="4"/>
      <c r="BA2943" s="4"/>
      <c r="BB2943" s="4"/>
      <c r="BC2943" s="4"/>
      <c r="BD2943" s="4"/>
      <c r="BE2943" s="4"/>
      <c r="BF2943" s="4"/>
      <c r="BG2943" s="4"/>
      <c r="BH2943" s="4"/>
      <c r="BI2943" s="4"/>
      <c r="BJ2943" s="4"/>
      <c r="BK2943" s="4"/>
      <c r="BL2943" s="4"/>
      <c r="BM2943" s="4"/>
      <c r="BN2943" s="4"/>
      <c r="BO2943" s="4"/>
      <c r="BP2943" s="4"/>
      <c r="BQ2943" s="4"/>
      <c r="BR2943" s="4"/>
      <c r="BS2943" s="4"/>
      <c r="BT2943" s="4"/>
      <c r="BU2943" s="4"/>
    </row>
    <row r="2944" spans="29:73" s="1" customFormat="1" x14ac:dyDescent="0.25">
      <c r="AC2944" s="4"/>
      <c r="AD2944" s="4"/>
      <c r="AE2944" s="4"/>
      <c r="AF2944" s="4"/>
      <c r="AG2944" s="4"/>
      <c r="AH2944" s="4"/>
      <c r="AI2944" s="4"/>
      <c r="AJ2944" s="4"/>
      <c r="AK2944" s="4"/>
      <c r="AL2944" s="4"/>
      <c r="AM2944" s="4"/>
      <c r="AN2944" s="4"/>
      <c r="AO2944" s="4"/>
      <c r="AP2944" s="4"/>
      <c r="AQ2944" s="4"/>
      <c r="AR2944" s="4"/>
      <c r="AS2944" s="4"/>
      <c r="AT2944" s="4"/>
      <c r="AU2944" s="4"/>
      <c r="AV2944" s="4"/>
      <c r="AW2944" s="4"/>
      <c r="AX2944" s="4"/>
      <c r="AY2944" s="4"/>
      <c r="AZ2944" s="4"/>
      <c r="BA2944" s="4"/>
      <c r="BB2944" s="4"/>
      <c r="BC2944" s="4"/>
      <c r="BD2944" s="4"/>
      <c r="BE2944" s="4"/>
      <c r="BF2944" s="4"/>
      <c r="BG2944" s="4"/>
      <c r="BH2944" s="4"/>
      <c r="BI2944" s="4"/>
      <c r="BJ2944" s="4"/>
      <c r="BK2944" s="4"/>
      <c r="BL2944" s="4"/>
      <c r="BM2944" s="4"/>
      <c r="BN2944" s="4"/>
      <c r="BO2944" s="4"/>
      <c r="BP2944" s="4"/>
      <c r="BQ2944" s="4"/>
      <c r="BR2944" s="4"/>
      <c r="BS2944" s="4"/>
      <c r="BT2944" s="4"/>
      <c r="BU2944" s="4"/>
    </row>
    <row r="2945" spans="29:73" s="1" customFormat="1" x14ac:dyDescent="0.25">
      <c r="AC2945" s="4"/>
      <c r="AD2945" s="4"/>
      <c r="AE2945" s="4"/>
      <c r="AF2945" s="4"/>
      <c r="AG2945" s="4"/>
      <c r="AH2945" s="4"/>
      <c r="AI2945" s="4"/>
      <c r="AJ2945" s="4"/>
      <c r="AK2945" s="4"/>
      <c r="AL2945" s="4"/>
      <c r="AM2945" s="4"/>
      <c r="AN2945" s="4"/>
      <c r="AO2945" s="4"/>
      <c r="AP2945" s="4"/>
      <c r="AQ2945" s="4"/>
      <c r="AR2945" s="4"/>
      <c r="AS2945" s="4"/>
      <c r="AT2945" s="4"/>
      <c r="AU2945" s="4"/>
      <c r="AV2945" s="4"/>
      <c r="AW2945" s="4"/>
      <c r="AX2945" s="4"/>
      <c r="AY2945" s="4"/>
      <c r="AZ2945" s="4"/>
      <c r="BA2945" s="4"/>
      <c r="BB2945" s="4"/>
      <c r="BC2945" s="4"/>
      <c r="BD2945" s="4"/>
      <c r="BE2945" s="4"/>
      <c r="BF2945" s="4"/>
      <c r="BG2945" s="4"/>
      <c r="BH2945" s="4"/>
      <c r="BI2945" s="4"/>
      <c r="BJ2945" s="4"/>
      <c r="BK2945" s="4"/>
      <c r="BL2945" s="4"/>
      <c r="BM2945" s="4"/>
      <c r="BN2945" s="4"/>
      <c r="BO2945" s="4"/>
      <c r="BP2945" s="4"/>
      <c r="BQ2945" s="4"/>
      <c r="BR2945" s="4"/>
      <c r="BS2945" s="4"/>
      <c r="BT2945" s="4"/>
      <c r="BU2945" s="4"/>
    </row>
    <row r="2946" spans="29:73" s="1" customFormat="1" x14ac:dyDescent="0.25">
      <c r="AC2946" s="4"/>
      <c r="AD2946" s="4"/>
      <c r="AE2946" s="4"/>
      <c r="AF2946" s="4"/>
      <c r="AG2946" s="4"/>
      <c r="AH2946" s="4"/>
      <c r="AI2946" s="4"/>
      <c r="AJ2946" s="4"/>
      <c r="AK2946" s="4"/>
      <c r="AL2946" s="4"/>
      <c r="AM2946" s="4"/>
      <c r="AN2946" s="4"/>
      <c r="AO2946" s="4"/>
      <c r="AP2946" s="4"/>
      <c r="AQ2946" s="4"/>
      <c r="AR2946" s="4"/>
      <c r="AS2946" s="4"/>
      <c r="AT2946" s="4"/>
      <c r="AU2946" s="4"/>
      <c r="AV2946" s="4"/>
      <c r="AW2946" s="4"/>
      <c r="AX2946" s="4"/>
      <c r="AY2946" s="4"/>
      <c r="AZ2946" s="4"/>
      <c r="BA2946" s="4"/>
      <c r="BB2946" s="4"/>
      <c r="BC2946" s="4"/>
      <c r="BD2946" s="4"/>
      <c r="BE2946" s="4"/>
      <c r="BF2946" s="4"/>
      <c r="BG2946" s="4"/>
      <c r="BH2946" s="4"/>
      <c r="BI2946" s="4"/>
      <c r="BJ2946" s="4"/>
      <c r="BK2946" s="4"/>
      <c r="BL2946" s="4"/>
      <c r="BM2946" s="4"/>
      <c r="BN2946" s="4"/>
      <c r="BO2946" s="4"/>
      <c r="BP2946" s="4"/>
      <c r="BQ2946" s="4"/>
      <c r="BR2946" s="4"/>
      <c r="BS2946" s="4"/>
      <c r="BT2946" s="4"/>
      <c r="BU2946" s="4"/>
    </row>
    <row r="2947" spans="29:73" s="1" customFormat="1" x14ac:dyDescent="0.25">
      <c r="AC2947" s="4"/>
      <c r="AD2947" s="4"/>
      <c r="AE2947" s="4"/>
      <c r="AF2947" s="4"/>
      <c r="AG2947" s="4"/>
      <c r="AH2947" s="4"/>
      <c r="AI2947" s="4"/>
      <c r="AJ2947" s="4"/>
      <c r="AK2947" s="4"/>
      <c r="AL2947" s="4"/>
      <c r="AM2947" s="4"/>
      <c r="AN2947" s="4"/>
      <c r="AO2947" s="4"/>
      <c r="AP2947" s="4"/>
      <c r="AQ2947" s="4"/>
      <c r="AR2947" s="4"/>
      <c r="AS2947" s="4"/>
      <c r="AT2947" s="4"/>
      <c r="AU2947" s="4"/>
      <c r="AV2947" s="4"/>
      <c r="AW2947" s="4"/>
      <c r="AX2947" s="4"/>
      <c r="AY2947" s="4"/>
      <c r="AZ2947" s="4"/>
      <c r="BA2947" s="4"/>
      <c r="BB2947" s="4"/>
      <c r="BC2947" s="4"/>
      <c r="BD2947" s="4"/>
      <c r="BE2947" s="4"/>
      <c r="BF2947" s="4"/>
      <c r="BG2947" s="4"/>
      <c r="BH2947" s="4"/>
      <c r="BI2947" s="4"/>
      <c r="BJ2947" s="4"/>
      <c r="BK2947" s="4"/>
      <c r="BL2947" s="4"/>
      <c r="BM2947" s="4"/>
      <c r="BN2947" s="4"/>
      <c r="BO2947" s="4"/>
      <c r="BP2947" s="4"/>
      <c r="BQ2947" s="4"/>
      <c r="BR2947" s="4"/>
      <c r="BS2947" s="4"/>
      <c r="BT2947" s="4"/>
      <c r="BU2947" s="4"/>
    </row>
    <row r="2948" spans="29:73" s="1" customFormat="1" x14ac:dyDescent="0.25">
      <c r="AC2948" s="4"/>
      <c r="AD2948" s="4"/>
      <c r="AE2948" s="4"/>
      <c r="AF2948" s="4"/>
      <c r="AG2948" s="4"/>
      <c r="AH2948" s="4"/>
      <c r="AI2948" s="4"/>
      <c r="AJ2948" s="4"/>
      <c r="AK2948" s="4"/>
      <c r="AL2948" s="4"/>
      <c r="AM2948" s="4"/>
      <c r="AN2948" s="4"/>
      <c r="AO2948" s="4"/>
      <c r="AP2948" s="4"/>
      <c r="AQ2948" s="4"/>
      <c r="AR2948" s="4"/>
      <c r="AS2948" s="4"/>
      <c r="AT2948" s="4"/>
      <c r="AU2948" s="4"/>
      <c r="AV2948" s="4"/>
      <c r="AW2948" s="4"/>
      <c r="AX2948" s="4"/>
      <c r="AY2948" s="4"/>
      <c r="AZ2948" s="4"/>
      <c r="BA2948" s="4"/>
      <c r="BB2948" s="4"/>
      <c r="BC2948" s="4"/>
      <c r="BD2948" s="4"/>
      <c r="BE2948" s="4"/>
      <c r="BF2948" s="4"/>
      <c r="BG2948" s="4"/>
      <c r="BH2948" s="4"/>
      <c r="BI2948" s="4"/>
      <c r="BJ2948" s="4"/>
      <c r="BK2948" s="4"/>
      <c r="BL2948" s="4"/>
      <c r="BM2948" s="4"/>
      <c r="BN2948" s="4"/>
      <c r="BO2948" s="4"/>
      <c r="BP2948" s="4"/>
      <c r="BQ2948" s="4"/>
      <c r="BR2948" s="4"/>
      <c r="BS2948" s="4"/>
      <c r="BT2948" s="4"/>
      <c r="BU2948" s="4"/>
    </row>
    <row r="2949" spans="29:73" s="1" customFormat="1" x14ac:dyDescent="0.25">
      <c r="AC2949" s="4"/>
      <c r="AD2949" s="4"/>
      <c r="AE2949" s="4"/>
      <c r="AF2949" s="4"/>
      <c r="AG2949" s="4"/>
      <c r="AH2949" s="4"/>
      <c r="AI2949" s="4"/>
      <c r="AJ2949" s="4"/>
      <c r="AK2949" s="4"/>
      <c r="AL2949" s="4"/>
      <c r="AM2949" s="4"/>
      <c r="AN2949" s="4"/>
      <c r="AO2949" s="4"/>
      <c r="AP2949" s="4"/>
      <c r="AQ2949" s="4"/>
      <c r="AR2949" s="4"/>
      <c r="AS2949" s="4"/>
      <c r="AT2949" s="4"/>
      <c r="AU2949" s="4"/>
      <c r="AV2949" s="4"/>
      <c r="AW2949" s="4"/>
      <c r="AX2949" s="4"/>
      <c r="AY2949" s="4"/>
      <c r="AZ2949" s="4"/>
      <c r="BA2949" s="4"/>
      <c r="BB2949" s="4"/>
      <c r="BC2949" s="4"/>
      <c r="BD2949" s="4"/>
      <c r="BE2949" s="4"/>
      <c r="BF2949" s="4"/>
      <c r="BG2949" s="4"/>
      <c r="BH2949" s="4"/>
      <c r="BI2949" s="4"/>
      <c r="BJ2949" s="4"/>
      <c r="BK2949" s="4"/>
      <c r="BL2949" s="4"/>
      <c r="BM2949" s="4"/>
      <c r="BN2949" s="4"/>
      <c r="BO2949" s="4"/>
      <c r="BP2949" s="4"/>
      <c r="BQ2949" s="4"/>
      <c r="BR2949" s="4"/>
      <c r="BS2949" s="4"/>
      <c r="BT2949" s="4"/>
      <c r="BU2949" s="4"/>
    </row>
    <row r="2950" spans="29:73" s="1" customFormat="1" x14ac:dyDescent="0.25">
      <c r="AC2950" s="4"/>
      <c r="AD2950" s="4"/>
      <c r="AE2950" s="4"/>
      <c r="AF2950" s="4"/>
      <c r="AG2950" s="4"/>
      <c r="AH2950" s="4"/>
      <c r="AI2950" s="4"/>
      <c r="AJ2950" s="4"/>
      <c r="AK2950" s="4"/>
      <c r="AL2950" s="4"/>
      <c r="AM2950" s="4"/>
      <c r="AN2950" s="4"/>
      <c r="AO2950" s="4"/>
      <c r="AP2950" s="4"/>
      <c r="AQ2950" s="4"/>
      <c r="AR2950" s="4"/>
      <c r="AS2950" s="4"/>
      <c r="AT2950" s="4"/>
      <c r="AU2950" s="4"/>
      <c r="AV2950" s="4"/>
      <c r="AW2950" s="4"/>
      <c r="AX2950" s="4"/>
      <c r="AY2950" s="4"/>
      <c r="AZ2950" s="4"/>
      <c r="BA2950" s="4"/>
      <c r="BB2950" s="4"/>
      <c r="BC2950" s="4"/>
      <c r="BD2950" s="4"/>
      <c r="BE2950" s="4"/>
      <c r="BF2950" s="4"/>
      <c r="BG2950" s="4"/>
      <c r="BH2950" s="4"/>
      <c r="BI2950" s="4"/>
      <c r="BJ2950" s="4"/>
      <c r="BK2950" s="4"/>
      <c r="BL2950" s="4"/>
      <c r="BM2950" s="4"/>
      <c r="BN2950" s="4"/>
      <c r="BO2950" s="4"/>
      <c r="BP2950" s="4"/>
      <c r="BQ2950" s="4"/>
      <c r="BR2950" s="4"/>
      <c r="BS2950" s="4"/>
      <c r="BT2950" s="4"/>
      <c r="BU2950" s="4"/>
    </row>
    <row r="2951" spans="29:73" s="1" customFormat="1" x14ac:dyDescent="0.25">
      <c r="AC2951" s="4"/>
      <c r="AD2951" s="4"/>
      <c r="AE2951" s="4"/>
      <c r="AF2951" s="4"/>
      <c r="AG2951" s="4"/>
      <c r="AH2951" s="4"/>
      <c r="AI2951" s="4"/>
      <c r="AJ2951" s="4"/>
      <c r="AK2951" s="4"/>
      <c r="AL2951" s="4"/>
      <c r="AM2951" s="4"/>
      <c r="AN2951" s="4"/>
      <c r="AO2951" s="4"/>
      <c r="AP2951" s="4"/>
      <c r="AQ2951" s="4"/>
      <c r="AR2951" s="4"/>
      <c r="AS2951" s="4"/>
      <c r="AT2951" s="4"/>
      <c r="AU2951" s="4"/>
      <c r="AV2951" s="4"/>
      <c r="AW2951" s="4"/>
      <c r="AX2951" s="4"/>
      <c r="AY2951" s="4"/>
      <c r="AZ2951" s="4"/>
      <c r="BA2951" s="4"/>
      <c r="BB2951" s="4"/>
      <c r="BC2951" s="4"/>
      <c r="BD2951" s="4"/>
      <c r="BE2951" s="4"/>
      <c r="BF2951" s="4"/>
      <c r="BG2951" s="4"/>
      <c r="BH2951" s="4"/>
      <c r="BI2951" s="4"/>
      <c r="BJ2951" s="4"/>
      <c r="BK2951" s="4"/>
      <c r="BL2951" s="4"/>
      <c r="BM2951" s="4"/>
      <c r="BN2951" s="4"/>
      <c r="BO2951" s="4"/>
      <c r="BP2951" s="4"/>
      <c r="BQ2951" s="4"/>
      <c r="BR2951" s="4"/>
      <c r="BS2951" s="4"/>
      <c r="BT2951" s="4"/>
      <c r="BU2951" s="4"/>
    </row>
    <row r="2952" spans="29:73" s="1" customFormat="1" x14ac:dyDescent="0.25">
      <c r="AC2952" s="4"/>
      <c r="AD2952" s="4"/>
      <c r="AE2952" s="4"/>
      <c r="AF2952" s="4"/>
      <c r="AG2952" s="4"/>
      <c r="AH2952" s="4"/>
      <c r="AI2952" s="4"/>
      <c r="AJ2952" s="4"/>
      <c r="AK2952" s="4"/>
      <c r="AL2952" s="4"/>
      <c r="AM2952" s="4"/>
      <c r="AN2952" s="4"/>
      <c r="AO2952" s="4"/>
      <c r="AP2952" s="4"/>
      <c r="AQ2952" s="4"/>
      <c r="AR2952" s="4"/>
      <c r="AS2952" s="4"/>
      <c r="AT2952" s="4"/>
      <c r="AU2952" s="4"/>
      <c r="AV2952" s="4"/>
      <c r="AW2952" s="4"/>
      <c r="AX2952" s="4"/>
      <c r="AY2952" s="4"/>
      <c r="AZ2952" s="4"/>
      <c r="BA2952" s="4"/>
      <c r="BB2952" s="4"/>
      <c r="BC2952" s="4"/>
      <c r="BD2952" s="4"/>
      <c r="BE2952" s="4"/>
      <c r="BF2952" s="4"/>
      <c r="BG2952" s="4"/>
      <c r="BH2952" s="4"/>
      <c r="BI2952" s="4"/>
      <c r="BJ2952" s="4"/>
      <c r="BK2952" s="4"/>
      <c r="BL2952" s="4"/>
      <c r="BM2952" s="4"/>
      <c r="BN2952" s="4"/>
      <c r="BO2952" s="4"/>
      <c r="BP2952" s="4"/>
      <c r="BQ2952" s="4"/>
      <c r="BR2952" s="4"/>
      <c r="BS2952" s="4"/>
      <c r="BT2952" s="4"/>
      <c r="BU2952" s="4"/>
    </row>
    <row r="2953" spans="29:73" s="1" customFormat="1" x14ac:dyDescent="0.25">
      <c r="AC2953" s="4"/>
      <c r="AD2953" s="4"/>
      <c r="AE2953" s="4"/>
      <c r="AF2953" s="4"/>
      <c r="AG2953" s="4"/>
      <c r="AH2953" s="4"/>
      <c r="AI2953" s="4"/>
      <c r="AJ2953" s="4"/>
      <c r="AK2953" s="4"/>
      <c r="AL2953" s="4"/>
      <c r="AM2953" s="4"/>
      <c r="AN2953" s="4"/>
      <c r="AO2953" s="4"/>
      <c r="AP2953" s="4"/>
      <c r="AQ2953" s="4"/>
      <c r="AR2953" s="4"/>
      <c r="AS2953" s="4"/>
      <c r="AT2953" s="4"/>
      <c r="AU2953" s="4"/>
      <c r="AV2953" s="4"/>
      <c r="AW2953" s="4"/>
      <c r="AX2953" s="4"/>
      <c r="AY2953" s="4"/>
      <c r="AZ2953" s="4"/>
      <c r="BA2953" s="4"/>
      <c r="BB2953" s="4"/>
      <c r="BC2953" s="4"/>
      <c r="BD2953" s="4"/>
      <c r="BE2953" s="4"/>
      <c r="BF2953" s="4"/>
      <c r="BG2953" s="4"/>
      <c r="BH2953" s="4"/>
      <c r="BI2953" s="4"/>
      <c r="BJ2953" s="4"/>
      <c r="BK2953" s="4"/>
      <c r="BL2953" s="4"/>
      <c r="BM2953" s="4"/>
      <c r="BN2953" s="4"/>
      <c r="BO2953" s="4"/>
      <c r="BP2953" s="4"/>
      <c r="BQ2953" s="4"/>
      <c r="BR2953" s="4"/>
      <c r="BS2953" s="4"/>
      <c r="BT2953" s="4"/>
      <c r="BU2953" s="4"/>
    </row>
    <row r="2954" spans="29:73" s="1" customFormat="1" x14ac:dyDescent="0.25">
      <c r="AC2954" s="4"/>
      <c r="AD2954" s="4"/>
      <c r="AE2954" s="4"/>
      <c r="AF2954" s="4"/>
      <c r="AG2954" s="4"/>
      <c r="AH2954" s="4"/>
      <c r="AI2954" s="4"/>
      <c r="AJ2954" s="4"/>
      <c r="AK2954" s="4"/>
      <c r="AL2954" s="4"/>
      <c r="AM2954" s="4"/>
      <c r="AN2954" s="4"/>
      <c r="AO2954" s="4"/>
      <c r="AP2954" s="4"/>
      <c r="AQ2954" s="4"/>
      <c r="AR2954" s="4"/>
      <c r="AS2954" s="4"/>
      <c r="AT2954" s="4"/>
      <c r="AU2954" s="4"/>
      <c r="AV2954" s="4"/>
      <c r="AW2954" s="4"/>
      <c r="AX2954" s="4"/>
      <c r="AY2954" s="4"/>
      <c r="AZ2954" s="4"/>
      <c r="BA2954" s="4"/>
      <c r="BB2954" s="4"/>
      <c r="BC2954" s="4"/>
      <c r="BD2954" s="4"/>
      <c r="BE2954" s="4"/>
      <c r="BF2954" s="4"/>
      <c r="BG2954" s="4"/>
      <c r="BH2954" s="4"/>
      <c r="BI2954" s="4"/>
      <c r="BJ2954" s="4"/>
      <c r="BK2954" s="4"/>
      <c r="BL2954" s="4"/>
      <c r="BM2954" s="4"/>
      <c r="BN2954" s="4"/>
      <c r="BO2954" s="4"/>
      <c r="BP2954" s="4"/>
      <c r="BQ2954" s="4"/>
      <c r="BR2954" s="4"/>
      <c r="BS2954" s="4"/>
      <c r="BT2954" s="4"/>
      <c r="BU2954" s="4"/>
    </row>
    <row r="2955" spans="29:73" s="1" customFormat="1" x14ac:dyDescent="0.25">
      <c r="AC2955" s="4"/>
      <c r="AD2955" s="4"/>
      <c r="AE2955" s="4"/>
      <c r="AF2955" s="4"/>
      <c r="AG2955" s="4"/>
      <c r="AH2955" s="4"/>
      <c r="AI2955" s="4"/>
      <c r="AJ2955" s="4"/>
      <c r="AK2955" s="4"/>
      <c r="AL2955" s="4"/>
      <c r="AM2955" s="4"/>
      <c r="AN2955" s="4"/>
      <c r="AO2955" s="4"/>
      <c r="AP2955" s="4"/>
      <c r="AQ2955" s="4"/>
      <c r="AR2955" s="4"/>
      <c r="AS2955" s="4"/>
      <c r="AT2955" s="4"/>
      <c r="AU2955" s="4"/>
      <c r="AV2955" s="4"/>
      <c r="AW2955" s="4"/>
      <c r="AX2955" s="4"/>
      <c r="AY2955" s="4"/>
      <c r="AZ2955" s="4"/>
      <c r="BA2955" s="4"/>
      <c r="BB2955" s="4"/>
      <c r="BC2955" s="4"/>
      <c r="BD2955" s="4"/>
      <c r="BE2955" s="4"/>
      <c r="BF2955" s="4"/>
      <c r="BG2955" s="4"/>
      <c r="BH2955" s="4"/>
      <c r="BI2955" s="4"/>
      <c r="BJ2955" s="4"/>
      <c r="BK2955" s="4"/>
      <c r="BL2955" s="4"/>
      <c r="BM2955" s="4"/>
      <c r="BN2955" s="4"/>
      <c r="BO2955" s="4"/>
      <c r="BP2955" s="4"/>
      <c r="BQ2955" s="4"/>
      <c r="BR2955" s="4"/>
      <c r="BS2955" s="4"/>
      <c r="BT2955" s="4"/>
      <c r="BU2955" s="4"/>
    </row>
    <row r="2956" spans="29:73" s="1" customFormat="1" x14ac:dyDescent="0.25">
      <c r="AC2956" s="4"/>
      <c r="AD2956" s="4"/>
      <c r="AE2956" s="4"/>
      <c r="AF2956" s="4"/>
      <c r="AG2956" s="4"/>
      <c r="AH2956" s="4"/>
      <c r="AI2956" s="4"/>
      <c r="AJ2956" s="4"/>
      <c r="AK2956" s="4"/>
      <c r="AL2956" s="4"/>
      <c r="AM2956" s="4"/>
      <c r="AN2956" s="4"/>
      <c r="AO2956" s="4"/>
      <c r="AP2956" s="4"/>
      <c r="AQ2956" s="4"/>
      <c r="AR2956" s="4"/>
      <c r="AS2956" s="4"/>
      <c r="AT2956" s="4"/>
      <c r="AU2956" s="4"/>
      <c r="AV2956" s="4"/>
      <c r="AW2956" s="4"/>
      <c r="AX2956" s="4"/>
      <c r="AY2956" s="4"/>
      <c r="AZ2956" s="4"/>
      <c r="BA2956" s="4"/>
      <c r="BB2956" s="4"/>
      <c r="BC2956" s="4"/>
      <c r="BD2956" s="4"/>
      <c r="BE2956" s="4"/>
      <c r="BF2956" s="4"/>
      <c r="BG2956" s="4"/>
      <c r="BH2956" s="4"/>
      <c r="BI2956" s="4"/>
      <c r="BJ2956" s="4"/>
      <c r="BK2956" s="4"/>
      <c r="BL2956" s="4"/>
      <c r="BM2956" s="4"/>
      <c r="BN2956" s="4"/>
      <c r="BO2956" s="4"/>
      <c r="BP2956" s="4"/>
      <c r="BQ2956" s="4"/>
      <c r="BR2956" s="4"/>
      <c r="BS2956" s="4"/>
      <c r="BT2956" s="4"/>
      <c r="BU2956" s="4"/>
    </row>
    <row r="2957" spans="29:73" s="1" customFormat="1" x14ac:dyDescent="0.25">
      <c r="AC2957" s="4"/>
      <c r="AD2957" s="4"/>
      <c r="AE2957" s="4"/>
      <c r="AF2957" s="4"/>
      <c r="AG2957" s="4"/>
      <c r="AH2957" s="4"/>
      <c r="AI2957" s="4"/>
      <c r="AJ2957" s="4"/>
      <c r="AK2957" s="4"/>
      <c r="AL2957" s="4"/>
      <c r="AM2957" s="4"/>
      <c r="AN2957" s="4"/>
      <c r="AO2957" s="4"/>
      <c r="AP2957" s="4"/>
      <c r="AQ2957" s="4"/>
      <c r="AR2957" s="4"/>
      <c r="AS2957" s="4"/>
      <c r="AT2957" s="4"/>
      <c r="AU2957" s="4"/>
      <c r="AV2957" s="4"/>
      <c r="AW2957" s="4"/>
      <c r="AX2957" s="4"/>
      <c r="AY2957" s="4"/>
      <c r="AZ2957" s="4"/>
      <c r="BA2957" s="4"/>
      <c r="BB2957" s="4"/>
      <c r="BC2957" s="4"/>
      <c r="BD2957" s="4"/>
      <c r="BE2957" s="4"/>
      <c r="BF2957" s="4"/>
      <c r="BG2957" s="4"/>
      <c r="BH2957" s="4"/>
      <c r="BI2957" s="4"/>
      <c r="BJ2957" s="4"/>
      <c r="BK2957" s="4"/>
      <c r="BL2957" s="4"/>
      <c r="BM2957" s="4"/>
      <c r="BN2957" s="4"/>
      <c r="BO2957" s="4"/>
      <c r="BP2957" s="4"/>
      <c r="BQ2957" s="4"/>
      <c r="BR2957" s="4"/>
      <c r="BS2957" s="4"/>
      <c r="BT2957" s="4"/>
      <c r="BU2957" s="4"/>
    </row>
    <row r="2958" spans="29:73" s="1" customFormat="1" x14ac:dyDescent="0.25">
      <c r="AC2958" s="4"/>
      <c r="AD2958" s="4"/>
      <c r="AE2958" s="4"/>
      <c r="AF2958" s="4"/>
      <c r="AG2958" s="4"/>
      <c r="AH2958" s="4"/>
      <c r="AI2958" s="4"/>
      <c r="AJ2958" s="4"/>
      <c r="AK2958" s="4"/>
      <c r="AL2958" s="4"/>
      <c r="AM2958" s="4"/>
      <c r="AN2958" s="4"/>
      <c r="AO2958" s="4"/>
      <c r="AP2958" s="4"/>
      <c r="AQ2958" s="4"/>
      <c r="AR2958" s="4"/>
      <c r="AS2958" s="4"/>
      <c r="AT2958" s="4"/>
      <c r="AU2958" s="4"/>
      <c r="AV2958" s="4"/>
      <c r="AW2958" s="4"/>
      <c r="AX2958" s="4"/>
      <c r="AY2958" s="4"/>
      <c r="AZ2958" s="4"/>
      <c r="BA2958" s="4"/>
      <c r="BB2958" s="4"/>
      <c r="BC2958" s="4"/>
      <c r="BD2958" s="4"/>
      <c r="BE2958" s="4"/>
      <c r="BF2958" s="4"/>
      <c r="BG2958" s="4"/>
      <c r="BH2958" s="4"/>
      <c r="BI2958" s="4"/>
      <c r="BJ2958" s="4"/>
      <c r="BK2958" s="4"/>
      <c r="BL2958" s="4"/>
      <c r="BM2958" s="4"/>
      <c r="BN2958" s="4"/>
      <c r="BO2958" s="4"/>
      <c r="BP2958" s="4"/>
      <c r="BQ2958" s="4"/>
      <c r="BR2958" s="4"/>
      <c r="BS2958" s="4"/>
      <c r="BT2958" s="4"/>
      <c r="BU2958" s="4"/>
    </row>
    <row r="2959" spans="29:73" s="1" customFormat="1" x14ac:dyDescent="0.25">
      <c r="AC2959" s="4"/>
      <c r="AD2959" s="4"/>
      <c r="AE2959" s="4"/>
      <c r="AF2959" s="4"/>
      <c r="AG2959" s="4"/>
      <c r="AH2959" s="4"/>
      <c r="AI2959" s="4"/>
      <c r="AJ2959" s="4"/>
      <c r="AK2959" s="4"/>
      <c r="AL2959" s="4"/>
      <c r="AM2959" s="4"/>
      <c r="AN2959" s="4"/>
      <c r="AO2959" s="4"/>
      <c r="AP2959" s="4"/>
      <c r="AQ2959" s="4"/>
      <c r="AR2959" s="4"/>
      <c r="AS2959" s="4"/>
      <c r="AT2959" s="4"/>
      <c r="AU2959" s="4"/>
      <c r="AV2959" s="4"/>
      <c r="AW2959" s="4"/>
      <c r="AX2959" s="4"/>
      <c r="AY2959" s="4"/>
      <c r="AZ2959" s="4"/>
      <c r="BA2959" s="4"/>
      <c r="BB2959" s="4"/>
      <c r="BC2959" s="4"/>
      <c r="BD2959" s="4"/>
      <c r="BE2959" s="4"/>
      <c r="BF2959" s="4"/>
      <c r="BG2959" s="4"/>
      <c r="BH2959" s="4"/>
      <c r="BI2959" s="4"/>
      <c r="BJ2959" s="4"/>
      <c r="BK2959" s="4"/>
      <c r="BL2959" s="4"/>
      <c r="BM2959" s="4"/>
      <c r="BN2959" s="4"/>
      <c r="BO2959" s="4"/>
      <c r="BP2959" s="4"/>
      <c r="BQ2959" s="4"/>
      <c r="BR2959" s="4"/>
      <c r="BS2959" s="4"/>
      <c r="BT2959" s="4"/>
      <c r="BU2959" s="4"/>
    </row>
    <row r="2960" spans="29:73" s="1" customFormat="1" x14ac:dyDescent="0.25">
      <c r="AC2960" s="4"/>
      <c r="AD2960" s="4"/>
      <c r="AE2960" s="4"/>
      <c r="AF2960" s="4"/>
      <c r="AG2960" s="4"/>
      <c r="AH2960" s="4"/>
      <c r="AI2960" s="4"/>
      <c r="AJ2960" s="4"/>
      <c r="AK2960" s="4"/>
      <c r="AL2960" s="4"/>
      <c r="AM2960" s="4"/>
      <c r="AN2960" s="4"/>
      <c r="AO2960" s="4"/>
      <c r="AP2960" s="4"/>
      <c r="AQ2960" s="4"/>
      <c r="AR2960" s="4"/>
      <c r="AS2960" s="4"/>
      <c r="AT2960" s="4"/>
      <c r="AU2960" s="4"/>
      <c r="AV2960" s="4"/>
      <c r="AW2960" s="4"/>
      <c r="AX2960" s="4"/>
      <c r="AY2960" s="4"/>
      <c r="AZ2960" s="4"/>
      <c r="BA2960" s="4"/>
      <c r="BB2960" s="4"/>
      <c r="BC2960" s="4"/>
      <c r="BD2960" s="4"/>
      <c r="BE2960" s="4"/>
      <c r="BF2960" s="4"/>
      <c r="BG2960" s="4"/>
      <c r="BH2960" s="4"/>
      <c r="BI2960" s="4"/>
      <c r="BJ2960" s="4"/>
      <c r="BK2960" s="4"/>
      <c r="BL2960" s="4"/>
      <c r="BM2960" s="4"/>
      <c r="BN2960" s="4"/>
      <c r="BO2960" s="4"/>
      <c r="BP2960" s="4"/>
      <c r="BQ2960" s="4"/>
      <c r="BR2960" s="4"/>
      <c r="BS2960" s="4"/>
      <c r="BT2960" s="4"/>
      <c r="BU2960" s="4"/>
    </row>
    <row r="2961" spans="29:73" s="1" customFormat="1" x14ac:dyDescent="0.25">
      <c r="AC2961" s="4"/>
      <c r="AD2961" s="4"/>
      <c r="AE2961" s="4"/>
      <c r="AF2961" s="4"/>
      <c r="AG2961" s="4"/>
      <c r="AH2961" s="4"/>
      <c r="AI2961" s="4"/>
      <c r="AJ2961" s="4"/>
      <c r="AK2961" s="4"/>
      <c r="AL2961" s="4"/>
      <c r="AM2961" s="4"/>
      <c r="AN2961" s="4"/>
      <c r="AO2961" s="4"/>
      <c r="AP2961" s="4"/>
      <c r="AQ2961" s="4"/>
      <c r="AR2961" s="4"/>
      <c r="AS2961" s="4"/>
      <c r="AT2961" s="4"/>
      <c r="AU2961" s="4"/>
      <c r="AV2961" s="4"/>
      <c r="AW2961" s="4"/>
      <c r="AX2961" s="4"/>
      <c r="AY2961" s="4"/>
      <c r="AZ2961" s="4"/>
      <c r="BA2961" s="4"/>
      <c r="BB2961" s="4"/>
      <c r="BC2961" s="4"/>
      <c r="BD2961" s="4"/>
      <c r="BE2961" s="4"/>
      <c r="BF2961" s="4"/>
      <c r="BG2961" s="4"/>
      <c r="BH2961" s="4"/>
      <c r="BI2961" s="4"/>
      <c r="BJ2961" s="4"/>
      <c r="BK2961" s="4"/>
      <c r="BL2961" s="4"/>
      <c r="BM2961" s="4"/>
      <c r="BN2961" s="4"/>
      <c r="BO2961" s="4"/>
      <c r="BP2961" s="4"/>
      <c r="BQ2961" s="4"/>
      <c r="BR2961" s="4"/>
      <c r="BS2961" s="4"/>
      <c r="BT2961" s="4"/>
      <c r="BU2961" s="4"/>
    </row>
    <row r="2962" spans="29:73" s="1" customFormat="1" x14ac:dyDescent="0.25">
      <c r="AC2962" s="4"/>
      <c r="AD2962" s="4"/>
      <c r="AE2962" s="4"/>
      <c r="AF2962" s="4"/>
      <c r="AG2962" s="4"/>
      <c r="AH2962" s="4"/>
      <c r="AI2962" s="4"/>
      <c r="AJ2962" s="4"/>
      <c r="AK2962" s="4"/>
      <c r="AL2962" s="4"/>
      <c r="AM2962" s="4"/>
      <c r="AN2962" s="4"/>
      <c r="AO2962" s="4"/>
      <c r="AP2962" s="4"/>
      <c r="AQ2962" s="4"/>
      <c r="AR2962" s="4"/>
      <c r="AS2962" s="4"/>
      <c r="AT2962" s="4"/>
      <c r="AU2962" s="4"/>
      <c r="AV2962" s="4"/>
      <c r="AW2962" s="4"/>
      <c r="AX2962" s="4"/>
      <c r="AY2962" s="4"/>
      <c r="AZ2962" s="4"/>
      <c r="BA2962" s="4"/>
      <c r="BB2962" s="4"/>
      <c r="BC2962" s="4"/>
      <c r="BD2962" s="4"/>
      <c r="BE2962" s="4"/>
      <c r="BF2962" s="4"/>
      <c r="BG2962" s="4"/>
      <c r="BH2962" s="4"/>
      <c r="BI2962" s="4"/>
      <c r="BJ2962" s="4"/>
      <c r="BK2962" s="4"/>
      <c r="BL2962" s="4"/>
      <c r="BM2962" s="4"/>
      <c r="BN2962" s="4"/>
      <c r="BO2962" s="4"/>
      <c r="BP2962" s="4"/>
      <c r="BQ2962" s="4"/>
      <c r="BR2962" s="4"/>
      <c r="BS2962" s="4"/>
      <c r="BT2962" s="4"/>
      <c r="BU2962" s="4"/>
    </row>
    <row r="2963" spans="29:73" s="1" customFormat="1" x14ac:dyDescent="0.25">
      <c r="AC2963" s="4"/>
      <c r="AD2963" s="4"/>
      <c r="AE2963" s="4"/>
      <c r="AF2963" s="4"/>
      <c r="AG2963" s="4"/>
      <c r="AH2963" s="4"/>
      <c r="AI2963" s="4"/>
      <c r="AJ2963" s="4"/>
      <c r="AK2963" s="4"/>
      <c r="AL2963" s="4"/>
      <c r="AM2963" s="4"/>
      <c r="AN2963" s="4"/>
      <c r="AO2963" s="4"/>
      <c r="AP2963" s="4"/>
      <c r="AQ2963" s="4"/>
      <c r="AR2963" s="4"/>
      <c r="AS2963" s="4"/>
      <c r="AT2963" s="4"/>
      <c r="AU2963" s="4"/>
      <c r="AV2963" s="4"/>
      <c r="AW2963" s="4"/>
      <c r="AX2963" s="4"/>
      <c r="AY2963" s="4"/>
      <c r="AZ2963" s="4"/>
      <c r="BA2963" s="4"/>
      <c r="BB2963" s="4"/>
      <c r="BC2963" s="4"/>
      <c r="BD2963" s="4"/>
      <c r="BE2963" s="4"/>
      <c r="BF2963" s="4"/>
      <c r="BG2963" s="4"/>
      <c r="BH2963" s="4"/>
      <c r="BI2963" s="4"/>
      <c r="BJ2963" s="4"/>
      <c r="BK2963" s="4"/>
      <c r="BL2963" s="4"/>
      <c r="BM2963" s="4"/>
      <c r="BN2963" s="4"/>
      <c r="BO2963" s="4"/>
      <c r="BP2963" s="4"/>
      <c r="BQ2963" s="4"/>
      <c r="BR2963" s="4"/>
      <c r="BS2963" s="4"/>
      <c r="BT2963" s="4"/>
      <c r="BU2963" s="4"/>
    </row>
    <row r="2964" spans="29:73" s="1" customFormat="1" x14ac:dyDescent="0.25">
      <c r="AC2964" s="4"/>
      <c r="AD2964" s="4"/>
      <c r="AE2964" s="4"/>
      <c r="AF2964" s="4"/>
      <c r="AG2964" s="4"/>
      <c r="AH2964" s="4"/>
      <c r="AI2964" s="4"/>
      <c r="AJ2964" s="4"/>
      <c r="AK2964" s="4"/>
      <c r="AL2964" s="4"/>
      <c r="AM2964" s="4"/>
      <c r="AN2964" s="4"/>
      <c r="AO2964" s="4"/>
      <c r="AP2964" s="4"/>
      <c r="AQ2964" s="4"/>
      <c r="AR2964" s="4"/>
      <c r="AS2964" s="4"/>
      <c r="AT2964" s="4"/>
      <c r="AU2964" s="4"/>
      <c r="AV2964" s="4"/>
      <c r="AW2964" s="4"/>
      <c r="AX2964" s="4"/>
      <c r="AY2964" s="4"/>
      <c r="AZ2964" s="4"/>
      <c r="BA2964" s="4"/>
      <c r="BB2964" s="4"/>
      <c r="BC2964" s="4"/>
      <c r="BD2964" s="4"/>
      <c r="BE2964" s="4"/>
      <c r="BF2964" s="4"/>
      <c r="BG2964" s="4"/>
      <c r="BH2964" s="4"/>
      <c r="BI2964" s="4"/>
      <c r="BJ2964" s="4"/>
      <c r="BK2964" s="4"/>
      <c r="BL2964" s="4"/>
      <c r="BM2964" s="4"/>
      <c r="BN2964" s="4"/>
      <c r="BO2964" s="4"/>
      <c r="BP2964" s="4"/>
      <c r="BQ2964" s="4"/>
      <c r="BR2964" s="4"/>
      <c r="BS2964" s="4"/>
      <c r="BT2964" s="4"/>
      <c r="BU2964" s="4"/>
    </row>
    <row r="2965" spans="29:73" s="1" customFormat="1" x14ac:dyDescent="0.25">
      <c r="AC2965" s="4"/>
      <c r="AD2965" s="4"/>
      <c r="AE2965" s="4"/>
      <c r="AF2965" s="4"/>
      <c r="AG2965" s="4"/>
      <c r="AH2965" s="4"/>
      <c r="AI2965" s="4"/>
      <c r="AJ2965" s="4"/>
      <c r="AK2965" s="4"/>
      <c r="AL2965" s="4"/>
      <c r="AM2965" s="4"/>
      <c r="AN2965" s="4"/>
      <c r="AO2965" s="4"/>
      <c r="AP2965" s="4"/>
      <c r="AQ2965" s="4"/>
      <c r="AR2965" s="4"/>
      <c r="AS2965" s="4"/>
      <c r="AT2965" s="4"/>
      <c r="AU2965" s="4"/>
      <c r="AV2965" s="4"/>
      <c r="AW2965" s="4"/>
      <c r="AX2965" s="4"/>
      <c r="AY2965" s="4"/>
      <c r="AZ2965" s="4"/>
      <c r="BA2965" s="4"/>
      <c r="BB2965" s="4"/>
      <c r="BC2965" s="4"/>
      <c r="BD2965" s="4"/>
      <c r="BE2965" s="4"/>
      <c r="BF2965" s="4"/>
      <c r="BG2965" s="4"/>
      <c r="BH2965" s="4"/>
      <c r="BI2965" s="4"/>
      <c r="BJ2965" s="4"/>
      <c r="BK2965" s="4"/>
      <c r="BL2965" s="4"/>
      <c r="BM2965" s="4"/>
      <c r="BN2965" s="4"/>
      <c r="BO2965" s="4"/>
      <c r="BP2965" s="4"/>
      <c r="BQ2965" s="4"/>
      <c r="BR2965" s="4"/>
      <c r="BS2965" s="4"/>
      <c r="BT2965" s="4"/>
      <c r="BU2965" s="4"/>
    </row>
    <row r="2966" spans="29:73" s="1" customFormat="1" x14ac:dyDescent="0.25">
      <c r="AC2966" s="4"/>
      <c r="AD2966" s="4"/>
      <c r="AE2966" s="4"/>
      <c r="AF2966" s="4"/>
      <c r="AG2966" s="4"/>
      <c r="AH2966" s="4"/>
      <c r="AI2966" s="4"/>
      <c r="AJ2966" s="4"/>
      <c r="AK2966" s="4"/>
      <c r="AL2966" s="4"/>
      <c r="AM2966" s="4"/>
      <c r="AN2966" s="4"/>
      <c r="AO2966" s="4"/>
      <c r="AP2966" s="4"/>
      <c r="AQ2966" s="4"/>
      <c r="AR2966" s="4"/>
      <c r="AS2966" s="4"/>
      <c r="AT2966" s="4"/>
      <c r="AU2966" s="4"/>
      <c r="AV2966" s="4"/>
      <c r="AW2966" s="4"/>
      <c r="AX2966" s="4"/>
      <c r="AY2966" s="4"/>
      <c r="AZ2966" s="4"/>
      <c r="BA2966" s="4"/>
      <c r="BB2966" s="4"/>
      <c r="BC2966" s="4"/>
      <c r="BD2966" s="4"/>
      <c r="BE2966" s="4"/>
      <c r="BF2966" s="4"/>
      <c r="BG2966" s="4"/>
      <c r="BH2966" s="4"/>
      <c r="BI2966" s="4"/>
      <c r="BJ2966" s="4"/>
      <c r="BK2966" s="4"/>
      <c r="BL2966" s="4"/>
      <c r="BM2966" s="4"/>
      <c r="BN2966" s="4"/>
      <c r="BO2966" s="4"/>
      <c r="BP2966" s="4"/>
      <c r="BQ2966" s="4"/>
      <c r="BR2966" s="4"/>
      <c r="BS2966" s="4"/>
      <c r="BT2966" s="4"/>
      <c r="BU2966" s="4"/>
    </row>
    <row r="2967" spans="29:73" s="1" customFormat="1" x14ac:dyDescent="0.25">
      <c r="AC2967" s="4"/>
      <c r="AD2967" s="4"/>
      <c r="AE2967" s="4"/>
      <c r="AF2967" s="4"/>
      <c r="AG2967" s="4"/>
      <c r="AH2967" s="4"/>
      <c r="AI2967" s="4"/>
      <c r="AJ2967" s="4"/>
      <c r="AK2967" s="4"/>
      <c r="AL2967" s="4"/>
      <c r="AM2967" s="4"/>
      <c r="AN2967" s="4"/>
      <c r="AO2967" s="4"/>
      <c r="AP2967" s="4"/>
      <c r="AQ2967" s="4"/>
      <c r="AR2967" s="4"/>
      <c r="AS2967" s="4"/>
      <c r="AT2967" s="4"/>
      <c r="AU2967" s="4"/>
      <c r="AV2967" s="4"/>
      <c r="AW2967" s="4"/>
      <c r="AX2967" s="4"/>
      <c r="AY2967" s="4"/>
      <c r="AZ2967" s="4"/>
      <c r="BA2967" s="4"/>
      <c r="BB2967" s="4"/>
      <c r="BC2967" s="4"/>
      <c r="BD2967" s="4"/>
      <c r="BE2967" s="4"/>
      <c r="BF2967" s="4"/>
      <c r="BG2967" s="4"/>
      <c r="BH2967" s="4"/>
      <c r="BI2967" s="4"/>
      <c r="BJ2967" s="4"/>
      <c r="BK2967" s="4"/>
      <c r="BL2967" s="4"/>
      <c r="BM2967" s="4"/>
      <c r="BN2967" s="4"/>
      <c r="BO2967" s="4"/>
      <c r="BP2967" s="4"/>
      <c r="BQ2967" s="4"/>
      <c r="BR2967" s="4"/>
      <c r="BS2967" s="4"/>
      <c r="BT2967" s="4"/>
      <c r="BU2967" s="4"/>
    </row>
    <row r="2968" spans="29:73" s="1" customFormat="1" x14ac:dyDescent="0.25">
      <c r="AC2968" s="4"/>
      <c r="AD2968" s="4"/>
      <c r="AE2968" s="4"/>
      <c r="AF2968" s="4"/>
      <c r="AG2968" s="4"/>
      <c r="AH2968" s="4"/>
      <c r="AI2968" s="4"/>
      <c r="AJ2968" s="4"/>
      <c r="AK2968" s="4"/>
      <c r="AL2968" s="4"/>
      <c r="AM2968" s="4"/>
      <c r="AN2968" s="4"/>
      <c r="AO2968" s="4"/>
      <c r="AP2968" s="4"/>
      <c r="AQ2968" s="4"/>
      <c r="AR2968" s="4"/>
      <c r="AS2968" s="4"/>
      <c r="AT2968" s="4"/>
      <c r="AU2968" s="4"/>
      <c r="AV2968" s="4"/>
      <c r="AW2968" s="4"/>
      <c r="AX2968" s="4"/>
      <c r="AY2968" s="4"/>
      <c r="AZ2968" s="4"/>
      <c r="BA2968" s="4"/>
      <c r="BB2968" s="4"/>
      <c r="BC2968" s="4"/>
      <c r="BD2968" s="4"/>
      <c r="BE2968" s="4"/>
      <c r="BF2968" s="4"/>
      <c r="BG2968" s="4"/>
      <c r="BH2968" s="4"/>
      <c r="BI2968" s="4"/>
      <c r="BJ2968" s="4"/>
      <c r="BK2968" s="4"/>
      <c r="BL2968" s="4"/>
      <c r="BM2968" s="4"/>
      <c r="BN2968" s="4"/>
      <c r="BO2968" s="4"/>
      <c r="BP2968" s="4"/>
      <c r="BQ2968" s="4"/>
      <c r="BR2968" s="4"/>
      <c r="BS2968" s="4"/>
      <c r="BT2968" s="4"/>
      <c r="BU2968" s="4"/>
    </row>
    <row r="2969" spans="29:73" s="1" customFormat="1" x14ac:dyDescent="0.25">
      <c r="AC2969" s="4"/>
      <c r="AD2969" s="4"/>
      <c r="AE2969" s="4"/>
      <c r="AF2969" s="4"/>
      <c r="AG2969" s="4"/>
      <c r="AH2969" s="4"/>
      <c r="AI2969" s="4"/>
      <c r="AJ2969" s="4"/>
      <c r="AK2969" s="4"/>
      <c r="AL2969" s="4"/>
      <c r="AM2969" s="4"/>
      <c r="AN2969" s="4"/>
      <c r="AO2969" s="4"/>
      <c r="AP2969" s="4"/>
      <c r="AQ2969" s="4"/>
      <c r="AR2969" s="4"/>
      <c r="AS2969" s="4"/>
      <c r="AT2969" s="4"/>
      <c r="AU2969" s="4"/>
      <c r="AV2969" s="4"/>
      <c r="AW2969" s="4"/>
      <c r="AX2969" s="4"/>
      <c r="AY2969" s="4"/>
      <c r="AZ2969" s="4"/>
      <c r="BA2969" s="4"/>
      <c r="BB2969" s="4"/>
      <c r="BC2969" s="4"/>
      <c r="BD2969" s="4"/>
      <c r="BE2969" s="4"/>
      <c r="BF2969" s="4"/>
      <c r="BG2969" s="4"/>
      <c r="BH2969" s="4"/>
      <c r="BI2969" s="4"/>
      <c r="BJ2969" s="4"/>
      <c r="BK2969" s="4"/>
      <c r="BL2969" s="4"/>
      <c r="BM2969" s="4"/>
      <c r="BN2969" s="4"/>
      <c r="BO2969" s="4"/>
      <c r="BP2969" s="4"/>
      <c r="BQ2969" s="4"/>
      <c r="BR2969" s="4"/>
      <c r="BS2969" s="4"/>
      <c r="BT2969" s="4"/>
      <c r="BU2969" s="4"/>
    </row>
    <row r="2970" spans="29:73" s="1" customFormat="1" x14ac:dyDescent="0.25">
      <c r="AC2970" s="4"/>
      <c r="AD2970" s="4"/>
      <c r="AE2970" s="4"/>
      <c r="AF2970" s="4"/>
      <c r="AG2970" s="4"/>
      <c r="AH2970" s="4"/>
      <c r="AI2970" s="4"/>
      <c r="AJ2970" s="4"/>
      <c r="AK2970" s="4"/>
      <c r="AL2970" s="4"/>
      <c r="AM2970" s="4"/>
      <c r="AN2970" s="4"/>
      <c r="AO2970" s="4"/>
      <c r="AP2970" s="4"/>
      <c r="AQ2970" s="4"/>
      <c r="AR2970" s="4"/>
      <c r="AS2970" s="4"/>
      <c r="AT2970" s="4"/>
      <c r="AU2970" s="4"/>
      <c r="AV2970" s="4"/>
      <c r="AW2970" s="4"/>
      <c r="AX2970" s="4"/>
      <c r="AY2970" s="4"/>
      <c r="AZ2970" s="4"/>
      <c r="BA2970" s="4"/>
      <c r="BB2970" s="4"/>
      <c r="BC2970" s="4"/>
      <c r="BD2970" s="4"/>
      <c r="BE2970" s="4"/>
      <c r="BF2970" s="4"/>
      <c r="BG2970" s="4"/>
      <c r="BH2970" s="4"/>
      <c r="BI2970" s="4"/>
      <c r="BJ2970" s="4"/>
      <c r="BK2970" s="4"/>
      <c r="BL2970" s="4"/>
      <c r="BM2970" s="4"/>
      <c r="BN2970" s="4"/>
      <c r="BO2970" s="4"/>
      <c r="BP2970" s="4"/>
      <c r="BQ2970" s="4"/>
      <c r="BR2970" s="4"/>
      <c r="BS2970" s="4"/>
      <c r="BT2970" s="4"/>
      <c r="BU2970" s="4"/>
    </row>
    <row r="2971" spans="29:73" s="1" customFormat="1" x14ac:dyDescent="0.25">
      <c r="AC2971" s="4"/>
      <c r="AD2971" s="4"/>
      <c r="AE2971" s="4"/>
      <c r="AF2971" s="4"/>
      <c r="AG2971" s="4"/>
      <c r="AH2971" s="4"/>
      <c r="AI2971" s="4"/>
      <c r="AJ2971" s="4"/>
      <c r="AK2971" s="4"/>
      <c r="AL2971" s="4"/>
      <c r="AM2971" s="4"/>
      <c r="AN2971" s="4"/>
      <c r="AO2971" s="4"/>
      <c r="AP2971" s="4"/>
      <c r="AQ2971" s="4"/>
      <c r="AR2971" s="4"/>
      <c r="AS2971" s="4"/>
      <c r="AT2971" s="4"/>
      <c r="AU2971" s="4"/>
      <c r="AV2971" s="4"/>
      <c r="AW2971" s="4"/>
      <c r="AX2971" s="4"/>
      <c r="AY2971" s="4"/>
      <c r="AZ2971" s="4"/>
      <c r="BA2971" s="4"/>
      <c r="BB2971" s="4"/>
      <c r="BC2971" s="4"/>
      <c r="BD2971" s="4"/>
      <c r="BE2971" s="4"/>
      <c r="BF2971" s="4"/>
      <c r="BG2971" s="4"/>
      <c r="BH2971" s="4"/>
      <c r="BI2971" s="4"/>
      <c r="BJ2971" s="4"/>
      <c r="BK2971" s="4"/>
      <c r="BL2971" s="4"/>
      <c r="BM2971" s="4"/>
      <c r="BN2971" s="4"/>
      <c r="BO2971" s="4"/>
      <c r="BP2971" s="4"/>
      <c r="BQ2971" s="4"/>
      <c r="BR2971" s="4"/>
      <c r="BS2971" s="4"/>
      <c r="BT2971" s="4"/>
      <c r="BU2971" s="4"/>
    </row>
    <row r="2972" spans="29:73" s="1" customFormat="1" x14ac:dyDescent="0.25">
      <c r="AC2972" s="4"/>
      <c r="AD2972" s="4"/>
      <c r="AE2972" s="4"/>
      <c r="AF2972" s="4"/>
      <c r="AG2972" s="4"/>
      <c r="AH2972" s="4"/>
      <c r="AI2972" s="4"/>
      <c r="AJ2972" s="4"/>
      <c r="AK2972" s="4"/>
      <c r="AL2972" s="4"/>
      <c r="AM2972" s="4"/>
      <c r="AN2972" s="4"/>
      <c r="AO2972" s="4"/>
      <c r="AP2972" s="4"/>
      <c r="AQ2972" s="4"/>
      <c r="AR2972" s="4"/>
      <c r="AS2972" s="4"/>
      <c r="AT2972" s="4"/>
      <c r="AU2972" s="4"/>
      <c r="AV2972" s="4"/>
      <c r="AW2972" s="4"/>
      <c r="AX2972" s="4"/>
      <c r="AY2972" s="4"/>
      <c r="AZ2972" s="4"/>
      <c r="BA2972" s="4"/>
      <c r="BB2972" s="4"/>
      <c r="BC2972" s="4"/>
      <c r="BD2972" s="4"/>
      <c r="BE2972" s="4"/>
      <c r="BF2972" s="4"/>
      <c r="BG2972" s="4"/>
      <c r="BH2972" s="4"/>
      <c r="BI2972" s="4"/>
      <c r="BJ2972" s="4"/>
      <c r="BK2972" s="4"/>
      <c r="BL2972" s="4"/>
      <c r="BM2972" s="4"/>
      <c r="BN2972" s="4"/>
      <c r="BO2972" s="4"/>
      <c r="BP2972" s="4"/>
      <c r="BQ2972" s="4"/>
      <c r="BR2972" s="4"/>
      <c r="BS2972" s="4"/>
      <c r="BT2972" s="4"/>
      <c r="BU2972" s="4"/>
    </row>
    <row r="2973" spans="29:73" s="1" customFormat="1" x14ac:dyDescent="0.25">
      <c r="AC2973" s="4"/>
      <c r="AD2973" s="4"/>
      <c r="AE2973" s="4"/>
      <c r="AF2973" s="4"/>
      <c r="AG2973" s="4"/>
      <c r="AH2973" s="4"/>
      <c r="AI2973" s="4"/>
      <c r="AJ2973" s="4"/>
      <c r="AK2973" s="4"/>
      <c r="AL2973" s="4"/>
      <c r="AM2973" s="4"/>
      <c r="AN2973" s="4"/>
      <c r="AO2973" s="4"/>
      <c r="AP2973" s="4"/>
      <c r="AQ2973" s="4"/>
      <c r="AR2973" s="4"/>
      <c r="AS2973" s="4"/>
      <c r="AT2973" s="4"/>
      <c r="AU2973" s="4"/>
      <c r="AV2973" s="4"/>
      <c r="AW2973" s="4"/>
      <c r="AX2973" s="4"/>
      <c r="AY2973" s="4"/>
      <c r="AZ2973" s="4"/>
      <c r="BA2973" s="4"/>
      <c r="BB2973" s="4"/>
      <c r="BC2973" s="4"/>
      <c r="BD2973" s="4"/>
      <c r="BE2973" s="4"/>
      <c r="BF2973" s="4"/>
      <c r="BG2973" s="4"/>
      <c r="BH2973" s="4"/>
      <c r="BI2973" s="4"/>
      <c r="BJ2973" s="4"/>
      <c r="BK2973" s="4"/>
      <c r="BL2973" s="4"/>
      <c r="BM2973" s="4"/>
      <c r="BN2973" s="4"/>
      <c r="BO2973" s="4"/>
      <c r="BP2973" s="4"/>
      <c r="BQ2973" s="4"/>
      <c r="BR2973" s="4"/>
      <c r="BS2973" s="4"/>
      <c r="BT2973" s="4"/>
      <c r="BU2973" s="4"/>
    </row>
    <row r="2974" spans="29:73" s="1" customFormat="1" x14ac:dyDescent="0.25">
      <c r="AC2974" s="4"/>
      <c r="AD2974" s="4"/>
      <c r="AE2974" s="4"/>
      <c r="AF2974" s="4"/>
      <c r="AG2974" s="4"/>
      <c r="AH2974" s="4"/>
      <c r="AI2974" s="4"/>
      <c r="AJ2974" s="4"/>
      <c r="AK2974" s="4"/>
      <c r="AL2974" s="4"/>
      <c r="AM2974" s="4"/>
      <c r="AN2974" s="4"/>
      <c r="AO2974" s="4"/>
      <c r="AP2974" s="4"/>
      <c r="AQ2974" s="4"/>
      <c r="AR2974" s="4"/>
      <c r="AS2974" s="4"/>
      <c r="AT2974" s="4"/>
      <c r="AU2974" s="4"/>
      <c r="AV2974" s="4"/>
      <c r="AW2974" s="4"/>
      <c r="AX2974" s="4"/>
      <c r="AY2974" s="4"/>
      <c r="AZ2974" s="4"/>
      <c r="BA2974" s="4"/>
      <c r="BB2974" s="4"/>
      <c r="BC2974" s="4"/>
      <c r="BD2974" s="4"/>
      <c r="BE2974" s="4"/>
      <c r="BF2974" s="4"/>
      <c r="BG2974" s="4"/>
      <c r="BH2974" s="4"/>
      <c r="BI2974" s="4"/>
      <c r="BJ2974" s="4"/>
      <c r="BK2974" s="4"/>
      <c r="BL2974" s="4"/>
      <c r="BM2974" s="4"/>
      <c r="BN2974" s="4"/>
      <c r="BO2974" s="4"/>
      <c r="BP2974" s="4"/>
      <c r="BQ2974" s="4"/>
      <c r="BR2974" s="4"/>
      <c r="BS2974" s="4"/>
      <c r="BT2974" s="4"/>
      <c r="BU2974" s="4"/>
    </row>
    <row r="2975" spans="29:73" s="1" customFormat="1" x14ac:dyDescent="0.25">
      <c r="AC2975" s="4"/>
      <c r="AD2975" s="4"/>
      <c r="AE2975" s="4"/>
      <c r="AF2975" s="4"/>
      <c r="AG2975" s="4"/>
      <c r="AH2975" s="4"/>
      <c r="AI2975" s="4"/>
      <c r="AJ2975" s="4"/>
      <c r="AK2975" s="4"/>
      <c r="AL2975" s="4"/>
      <c r="AM2975" s="4"/>
      <c r="AN2975" s="4"/>
      <c r="AO2975" s="4"/>
      <c r="AP2975" s="4"/>
      <c r="AQ2975" s="4"/>
      <c r="AR2975" s="4"/>
      <c r="AS2975" s="4"/>
      <c r="AT2975" s="4"/>
      <c r="AU2975" s="4"/>
      <c r="AV2975" s="4"/>
      <c r="AW2975" s="4"/>
      <c r="AX2975" s="4"/>
      <c r="AY2975" s="4"/>
      <c r="AZ2975" s="4"/>
      <c r="BA2975" s="4"/>
      <c r="BB2975" s="4"/>
      <c r="BC2975" s="4"/>
      <c r="BD2975" s="4"/>
      <c r="BE2975" s="4"/>
      <c r="BF2975" s="4"/>
      <c r="BG2975" s="4"/>
      <c r="BH2975" s="4"/>
      <c r="BI2975" s="4"/>
      <c r="BJ2975" s="4"/>
      <c r="BK2975" s="4"/>
      <c r="BL2975" s="4"/>
      <c r="BM2975" s="4"/>
      <c r="BN2975" s="4"/>
      <c r="BO2975" s="4"/>
      <c r="BP2975" s="4"/>
      <c r="BQ2975" s="4"/>
      <c r="BR2975" s="4"/>
      <c r="BS2975" s="4"/>
      <c r="BT2975" s="4"/>
      <c r="BU2975" s="4"/>
    </row>
    <row r="2976" spans="29:73" s="1" customFormat="1" x14ac:dyDescent="0.25">
      <c r="AC2976" s="4"/>
      <c r="AD2976" s="4"/>
      <c r="AE2976" s="4"/>
      <c r="AF2976" s="4"/>
      <c r="AG2976" s="4"/>
      <c r="AH2976" s="4"/>
      <c r="AI2976" s="4"/>
      <c r="AJ2976" s="4"/>
      <c r="AK2976" s="4"/>
      <c r="AL2976" s="4"/>
      <c r="AM2976" s="4"/>
      <c r="AN2976" s="4"/>
      <c r="AO2976" s="4"/>
      <c r="AP2976" s="4"/>
      <c r="AQ2976" s="4"/>
      <c r="AR2976" s="4"/>
      <c r="AS2976" s="4"/>
      <c r="AT2976" s="4"/>
      <c r="AU2976" s="4"/>
      <c r="AV2976" s="4"/>
      <c r="AW2976" s="4"/>
      <c r="AX2976" s="4"/>
      <c r="AY2976" s="4"/>
      <c r="AZ2976" s="4"/>
      <c r="BA2976" s="4"/>
      <c r="BB2976" s="4"/>
      <c r="BC2976" s="4"/>
      <c r="BD2976" s="4"/>
      <c r="BE2976" s="4"/>
      <c r="BF2976" s="4"/>
      <c r="BG2976" s="4"/>
      <c r="BH2976" s="4"/>
      <c r="BI2976" s="4"/>
      <c r="BJ2976" s="4"/>
      <c r="BK2976" s="4"/>
      <c r="BL2976" s="4"/>
      <c r="BM2976" s="4"/>
      <c r="BN2976" s="4"/>
      <c r="BO2976" s="4"/>
      <c r="BP2976" s="4"/>
      <c r="BQ2976" s="4"/>
      <c r="BR2976" s="4"/>
      <c r="BS2976" s="4"/>
      <c r="BT2976" s="4"/>
      <c r="BU2976" s="4"/>
    </row>
    <row r="2977" spans="29:73" s="1" customFormat="1" x14ac:dyDescent="0.25">
      <c r="AC2977" s="4"/>
      <c r="AD2977" s="4"/>
      <c r="AE2977" s="4"/>
      <c r="AF2977" s="4"/>
      <c r="AG2977" s="4"/>
      <c r="AH2977" s="4"/>
      <c r="AI2977" s="4"/>
      <c r="AJ2977" s="4"/>
      <c r="AK2977" s="4"/>
      <c r="AL2977" s="4"/>
      <c r="AM2977" s="4"/>
      <c r="AN2977" s="4"/>
      <c r="AO2977" s="4"/>
      <c r="AP2977" s="4"/>
      <c r="AQ2977" s="4"/>
      <c r="AR2977" s="4"/>
      <c r="AS2977" s="4"/>
      <c r="AT2977" s="4"/>
      <c r="AU2977" s="4"/>
      <c r="AV2977" s="4"/>
      <c r="AW2977" s="4"/>
      <c r="AX2977" s="4"/>
      <c r="AY2977" s="4"/>
      <c r="AZ2977" s="4"/>
      <c r="BA2977" s="4"/>
      <c r="BB2977" s="4"/>
      <c r="BC2977" s="4"/>
      <c r="BD2977" s="4"/>
      <c r="BE2977" s="4"/>
      <c r="BF2977" s="4"/>
      <c r="BG2977" s="4"/>
      <c r="BH2977" s="4"/>
      <c r="BI2977" s="4"/>
      <c r="BJ2977" s="4"/>
      <c r="BK2977" s="4"/>
      <c r="BL2977" s="4"/>
      <c r="BM2977" s="4"/>
      <c r="BN2977" s="4"/>
      <c r="BO2977" s="4"/>
      <c r="BP2977" s="4"/>
      <c r="BQ2977" s="4"/>
      <c r="BR2977" s="4"/>
      <c r="BS2977" s="4"/>
      <c r="BT2977" s="4"/>
      <c r="BU2977" s="4"/>
    </row>
    <row r="2978" spans="29:73" s="1" customFormat="1" x14ac:dyDescent="0.25">
      <c r="AC2978" s="4"/>
      <c r="AD2978" s="4"/>
      <c r="AE2978" s="4"/>
      <c r="AF2978" s="4"/>
      <c r="AG2978" s="4"/>
      <c r="AH2978" s="4"/>
      <c r="AI2978" s="4"/>
      <c r="AJ2978" s="4"/>
      <c r="AK2978" s="4"/>
      <c r="AL2978" s="4"/>
      <c r="AM2978" s="4"/>
      <c r="AN2978" s="4"/>
      <c r="AO2978" s="4"/>
      <c r="AP2978" s="4"/>
      <c r="AQ2978" s="4"/>
      <c r="AR2978" s="4"/>
      <c r="AS2978" s="4"/>
      <c r="AT2978" s="4"/>
      <c r="AU2978" s="4"/>
      <c r="AV2978" s="4"/>
      <c r="AW2978" s="4"/>
      <c r="AX2978" s="4"/>
      <c r="AY2978" s="4"/>
      <c r="AZ2978" s="4"/>
      <c r="BA2978" s="4"/>
      <c r="BB2978" s="4"/>
      <c r="BC2978" s="4"/>
      <c r="BD2978" s="4"/>
      <c r="BE2978" s="4"/>
      <c r="BF2978" s="4"/>
      <c r="BG2978" s="4"/>
      <c r="BH2978" s="4"/>
      <c r="BI2978" s="4"/>
      <c r="BJ2978" s="4"/>
      <c r="BK2978" s="4"/>
      <c r="BL2978" s="4"/>
      <c r="BM2978" s="4"/>
      <c r="BN2978" s="4"/>
      <c r="BO2978" s="4"/>
      <c r="BP2978" s="4"/>
      <c r="BQ2978" s="4"/>
      <c r="BR2978" s="4"/>
      <c r="BS2978" s="4"/>
      <c r="BT2978" s="4"/>
      <c r="BU2978" s="4"/>
    </row>
    <row r="2979" spans="29:73" s="1" customFormat="1" x14ac:dyDescent="0.25">
      <c r="AC2979" s="4"/>
      <c r="AD2979" s="4"/>
      <c r="AE2979" s="4"/>
      <c r="AF2979" s="4"/>
      <c r="AG2979" s="4"/>
      <c r="AH2979" s="4"/>
      <c r="AI2979" s="4"/>
      <c r="AJ2979" s="4"/>
      <c r="AK2979" s="4"/>
      <c r="AL2979" s="4"/>
      <c r="AM2979" s="4"/>
      <c r="AN2979" s="4"/>
      <c r="AO2979" s="4"/>
      <c r="AP2979" s="4"/>
      <c r="AQ2979" s="4"/>
      <c r="AR2979" s="4"/>
      <c r="AS2979" s="4"/>
      <c r="AT2979" s="4"/>
      <c r="AU2979" s="4"/>
      <c r="AV2979" s="4"/>
      <c r="AW2979" s="4"/>
      <c r="AX2979" s="4"/>
      <c r="AY2979" s="4"/>
      <c r="AZ2979" s="4"/>
      <c r="BA2979" s="4"/>
      <c r="BB2979" s="4"/>
      <c r="BC2979" s="4"/>
      <c r="BD2979" s="4"/>
      <c r="BE2979" s="4"/>
      <c r="BF2979" s="4"/>
      <c r="BG2979" s="4"/>
      <c r="BH2979" s="4"/>
      <c r="BI2979" s="4"/>
      <c r="BJ2979" s="4"/>
      <c r="BK2979" s="4"/>
      <c r="BL2979" s="4"/>
      <c r="BM2979" s="4"/>
      <c r="BN2979" s="4"/>
      <c r="BO2979" s="4"/>
      <c r="BP2979" s="4"/>
      <c r="BQ2979" s="4"/>
      <c r="BR2979" s="4"/>
      <c r="BS2979" s="4"/>
      <c r="BT2979" s="4"/>
      <c r="BU2979" s="4"/>
    </row>
    <row r="2980" spans="29:73" s="1" customFormat="1" x14ac:dyDescent="0.25">
      <c r="AC2980" s="4"/>
      <c r="AD2980" s="4"/>
      <c r="AE2980" s="4"/>
      <c r="AF2980" s="4"/>
      <c r="AG2980" s="4"/>
      <c r="AH2980" s="4"/>
      <c r="AI2980" s="4"/>
      <c r="AJ2980" s="4"/>
      <c r="AK2980" s="4"/>
      <c r="AL2980" s="4"/>
      <c r="AM2980" s="4"/>
      <c r="AN2980" s="4"/>
      <c r="AO2980" s="4"/>
      <c r="AP2980" s="4"/>
      <c r="AQ2980" s="4"/>
      <c r="AR2980" s="4"/>
      <c r="AS2980" s="4"/>
      <c r="AT2980" s="4"/>
      <c r="AU2980" s="4"/>
      <c r="AV2980" s="4"/>
      <c r="AW2980" s="4"/>
      <c r="AX2980" s="4"/>
      <c r="AY2980" s="4"/>
      <c r="AZ2980" s="4"/>
      <c r="BA2980" s="4"/>
      <c r="BB2980" s="4"/>
      <c r="BC2980" s="4"/>
      <c r="BD2980" s="4"/>
      <c r="BE2980" s="4"/>
      <c r="BF2980" s="4"/>
      <c r="BG2980" s="4"/>
      <c r="BH2980" s="4"/>
      <c r="BI2980" s="4"/>
      <c r="BJ2980" s="4"/>
      <c r="BK2980" s="4"/>
      <c r="BL2980" s="4"/>
      <c r="BM2980" s="4"/>
      <c r="BN2980" s="4"/>
      <c r="BO2980" s="4"/>
      <c r="BP2980" s="4"/>
      <c r="BQ2980" s="4"/>
      <c r="BR2980" s="4"/>
      <c r="BS2980" s="4"/>
      <c r="BT2980" s="4"/>
      <c r="BU2980" s="4"/>
    </row>
    <row r="2981" spans="29:73" s="1" customFormat="1" x14ac:dyDescent="0.25">
      <c r="AC2981" s="4"/>
      <c r="AD2981" s="4"/>
      <c r="AE2981" s="4"/>
      <c r="AF2981" s="4"/>
      <c r="AG2981" s="4"/>
      <c r="AH2981" s="4"/>
      <c r="AI2981" s="4"/>
      <c r="AJ2981" s="4"/>
      <c r="AK2981" s="4"/>
      <c r="AL2981" s="4"/>
      <c r="AM2981" s="4"/>
      <c r="AN2981" s="4"/>
      <c r="AO2981" s="4"/>
      <c r="AP2981" s="4"/>
      <c r="AQ2981" s="4"/>
      <c r="AR2981" s="4"/>
      <c r="AS2981" s="4"/>
      <c r="AT2981" s="4"/>
      <c r="AU2981" s="4"/>
      <c r="AV2981" s="4"/>
      <c r="AW2981" s="4"/>
      <c r="AX2981" s="4"/>
      <c r="AY2981" s="4"/>
      <c r="AZ2981" s="4"/>
      <c r="BA2981" s="4"/>
      <c r="BB2981" s="4"/>
      <c r="BC2981" s="4"/>
      <c r="BD2981" s="4"/>
      <c r="BE2981" s="4"/>
      <c r="BF2981" s="4"/>
      <c r="BG2981" s="4"/>
      <c r="BH2981" s="4"/>
      <c r="BI2981" s="4"/>
      <c r="BJ2981" s="4"/>
      <c r="BK2981" s="4"/>
      <c r="BL2981" s="4"/>
      <c r="BM2981" s="4"/>
      <c r="BN2981" s="4"/>
      <c r="BO2981" s="4"/>
      <c r="BP2981" s="4"/>
      <c r="BQ2981" s="4"/>
      <c r="BR2981" s="4"/>
      <c r="BS2981" s="4"/>
      <c r="BT2981" s="4"/>
      <c r="BU2981" s="4"/>
    </row>
    <row r="2982" spans="29:73" s="1" customFormat="1" x14ac:dyDescent="0.25">
      <c r="AC2982" s="4"/>
      <c r="AD2982" s="4"/>
      <c r="AE2982" s="4"/>
      <c r="AF2982" s="4"/>
      <c r="AG2982" s="4"/>
      <c r="AH2982" s="4"/>
      <c r="AI2982" s="4"/>
      <c r="AJ2982" s="4"/>
      <c r="AK2982" s="4"/>
      <c r="AL2982" s="4"/>
      <c r="AM2982" s="4"/>
      <c r="AN2982" s="4"/>
      <c r="AO2982" s="4"/>
      <c r="AP2982" s="4"/>
      <c r="AQ2982" s="4"/>
      <c r="AR2982" s="4"/>
      <c r="AS2982" s="4"/>
      <c r="AT2982" s="4"/>
      <c r="AU2982" s="4"/>
      <c r="AV2982" s="4"/>
      <c r="AW2982" s="4"/>
      <c r="AX2982" s="4"/>
      <c r="AY2982" s="4"/>
      <c r="AZ2982" s="4"/>
      <c r="BA2982" s="4"/>
      <c r="BB2982" s="4"/>
      <c r="BC2982" s="4"/>
      <c r="BD2982" s="4"/>
      <c r="BE2982" s="4"/>
      <c r="BF2982" s="4"/>
      <c r="BG2982" s="4"/>
      <c r="BH2982" s="4"/>
      <c r="BI2982" s="4"/>
      <c r="BJ2982" s="4"/>
      <c r="BK2982" s="4"/>
      <c r="BL2982" s="4"/>
      <c r="BM2982" s="4"/>
      <c r="BN2982" s="4"/>
      <c r="BO2982" s="4"/>
      <c r="BP2982" s="4"/>
      <c r="BQ2982" s="4"/>
      <c r="BR2982" s="4"/>
      <c r="BS2982" s="4"/>
      <c r="BT2982" s="4"/>
      <c r="BU2982" s="4"/>
    </row>
    <row r="2983" spans="29:73" s="1" customFormat="1" x14ac:dyDescent="0.25">
      <c r="AC2983" s="4"/>
      <c r="AD2983" s="4"/>
      <c r="AE2983" s="4"/>
      <c r="AF2983" s="4"/>
      <c r="AG2983" s="4"/>
      <c r="AH2983" s="4"/>
      <c r="AI2983" s="4"/>
      <c r="AJ2983" s="4"/>
      <c r="AK2983" s="4"/>
      <c r="AL2983" s="4"/>
      <c r="AM2983" s="4"/>
      <c r="AN2983" s="4"/>
      <c r="AO2983" s="4"/>
      <c r="AP2983" s="4"/>
      <c r="AQ2983" s="4"/>
      <c r="AR2983" s="4"/>
      <c r="AS2983" s="4"/>
      <c r="AT2983" s="4"/>
      <c r="AU2983" s="4"/>
      <c r="AV2983" s="4"/>
      <c r="AW2983" s="4"/>
      <c r="AX2983" s="4"/>
      <c r="AY2983" s="4"/>
      <c r="AZ2983" s="4"/>
      <c r="BA2983" s="4"/>
      <c r="BB2983" s="4"/>
      <c r="BC2983" s="4"/>
      <c r="BD2983" s="4"/>
      <c r="BE2983" s="4"/>
      <c r="BF2983" s="4"/>
      <c r="BG2983" s="4"/>
      <c r="BH2983" s="4"/>
      <c r="BI2983" s="4"/>
      <c r="BJ2983" s="4"/>
      <c r="BK2983" s="4"/>
      <c r="BL2983" s="4"/>
      <c r="BM2983" s="4"/>
      <c r="BN2983" s="4"/>
      <c r="BO2983" s="4"/>
      <c r="BP2983" s="4"/>
      <c r="BQ2983" s="4"/>
      <c r="BR2983" s="4"/>
      <c r="BS2983" s="4"/>
      <c r="BT2983" s="4"/>
      <c r="BU2983" s="4"/>
    </row>
    <row r="2984" spans="29:73" s="1" customFormat="1" x14ac:dyDescent="0.25">
      <c r="AC2984" s="4"/>
      <c r="AD2984" s="4"/>
      <c r="AE2984" s="4"/>
      <c r="AF2984" s="4"/>
      <c r="AG2984" s="4"/>
      <c r="AH2984" s="4"/>
      <c r="AI2984" s="4"/>
      <c r="AJ2984" s="4"/>
      <c r="AK2984" s="4"/>
      <c r="AL2984" s="4"/>
      <c r="AM2984" s="4"/>
      <c r="AN2984" s="4"/>
      <c r="AO2984" s="4"/>
      <c r="AP2984" s="4"/>
      <c r="AQ2984" s="4"/>
      <c r="AR2984" s="4"/>
      <c r="AS2984" s="4"/>
      <c r="AT2984" s="4"/>
      <c r="AU2984" s="4"/>
      <c r="AV2984" s="4"/>
      <c r="AW2984" s="4"/>
      <c r="AX2984" s="4"/>
      <c r="AY2984" s="4"/>
      <c r="AZ2984" s="4"/>
      <c r="BA2984" s="4"/>
      <c r="BB2984" s="4"/>
      <c r="BC2984" s="4"/>
      <c r="BD2984" s="4"/>
      <c r="BE2984" s="4"/>
      <c r="BF2984" s="4"/>
      <c r="BG2984" s="4"/>
      <c r="BH2984" s="4"/>
      <c r="BI2984" s="4"/>
      <c r="BJ2984" s="4"/>
      <c r="BK2984" s="4"/>
      <c r="BL2984" s="4"/>
      <c r="BM2984" s="4"/>
      <c r="BN2984" s="4"/>
      <c r="BO2984" s="4"/>
      <c r="BP2984" s="4"/>
      <c r="BQ2984" s="4"/>
      <c r="BR2984" s="4"/>
      <c r="BS2984" s="4"/>
      <c r="BT2984" s="4"/>
      <c r="BU2984" s="4"/>
    </row>
    <row r="2985" spans="29:73" s="1" customFormat="1" x14ac:dyDescent="0.25">
      <c r="AC2985" s="4"/>
      <c r="AD2985" s="4"/>
      <c r="AE2985" s="4"/>
      <c r="AF2985" s="4"/>
      <c r="AG2985" s="4"/>
      <c r="AH2985" s="4"/>
      <c r="AI2985" s="4"/>
      <c r="AJ2985" s="4"/>
      <c r="AK2985" s="4"/>
      <c r="AL2985" s="4"/>
      <c r="AM2985" s="4"/>
      <c r="AN2985" s="4"/>
      <c r="AO2985" s="4"/>
      <c r="AP2985" s="4"/>
      <c r="AQ2985" s="4"/>
      <c r="AR2985" s="4"/>
      <c r="AS2985" s="4"/>
      <c r="AT2985" s="4"/>
      <c r="AU2985" s="4"/>
      <c r="AV2985" s="4"/>
      <c r="AW2985" s="4"/>
      <c r="AX2985" s="4"/>
      <c r="AY2985" s="4"/>
      <c r="AZ2985" s="4"/>
      <c r="BA2985" s="4"/>
      <c r="BB2985" s="4"/>
      <c r="BC2985" s="4"/>
      <c r="BD2985" s="4"/>
      <c r="BE2985" s="4"/>
      <c r="BF2985" s="4"/>
      <c r="BG2985" s="4"/>
      <c r="BH2985" s="4"/>
      <c r="BI2985" s="4"/>
      <c r="BJ2985" s="4"/>
      <c r="BK2985" s="4"/>
      <c r="BL2985" s="4"/>
      <c r="BM2985" s="4"/>
      <c r="BN2985" s="4"/>
      <c r="BO2985" s="4"/>
      <c r="BP2985" s="4"/>
      <c r="BQ2985" s="4"/>
      <c r="BR2985" s="4"/>
      <c r="BS2985" s="4"/>
      <c r="BT2985" s="4"/>
      <c r="BU2985" s="4"/>
    </row>
    <row r="2986" spans="29:73" s="1" customFormat="1" x14ac:dyDescent="0.25">
      <c r="AC2986" s="4"/>
      <c r="AD2986" s="4"/>
      <c r="AE2986" s="4"/>
      <c r="AF2986" s="4"/>
      <c r="AG2986" s="4"/>
      <c r="AH2986" s="4"/>
      <c r="AI2986" s="4"/>
      <c r="AJ2986" s="4"/>
      <c r="AK2986" s="4"/>
      <c r="AL2986" s="4"/>
      <c r="AM2986" s="4"/>
      <c r="AN2986" s="4"/>
      <c r="AO2986" s="4"/>
      <c r="AP2986" s="4"/>
      <c r="AQ2986" s="4"/>
      <c r="AR2986" s="4"/>
      <c r="AS2986" s="4"/>
      <c r="AT2986" s="4"/>
      <c r="AU2986" s="4"/>
      <c r="AV2986" s="4"/>
      <c r="AW2986" s="4"/>
      <c r="AX2986" s="4"/>
      <c r="AY2986" s="4"/>
      <c r="AZ2986" s="4"/>
      <c r="BA2986" s="4"/>
      <c r="BB2986" s="4"/>
      <c r="BC2986" s="4"/>
      <c r="BD2986" s="4"/>
      <c r="BE2986" s="4"/>
      <c r="BF2986" s="4"/>
      <c r="BG2986" s="4"/>
      <c r="BH2986" s="4"/>
      <c r="BI2986" s="4"/>
      <c r="BJ2986" s="4"/>
      <c r="BK2986" s="4"/>
      <c r="BL2986" s="4"/>
      <c r="BM2986" s="4"/>
      <c r="BN2986" s="4"/>
      <c r="BO2986" s="4"/>
      <c r="BP2986" s="4"/>
      <c r="BQ2986" s="4"/>
      <c r="BR2986" s="4"/>
      <c r="BS2986" s="4"/>
      <c r="BT2986" s="4"/>
      <c r="BU2986" s="4"/>
    </row>
    <row r="2987" spans="29:73" s="1" customFormat="1" x14ac:dyDescent="0.25">
      <c r="AC2987" s="4"/>
      <c r="AD2987" s="4"/>
      <c r="AE2987" s="4"/>
      <c r="AF2987" s="4"/>
      <c r="AG2987" s="4"/>
      <c r="AH2987" s="4"/>
      <c r="AI2987" s="4"/>
      <c r="AJ2987" s="4"/>
      <c r="AK2987" s="4"/>
      <c r="AL2987" s="4"/>
      <c r="AM2987" s="4"/>
      <c r="AN2987" s="4"/>
      <c r="AO2987" s="4"/>
      <c r="AP2987" s="4"/>
      <c r="AQ2987" s="4"/>
      <c r="AR2987" s="4"/>
      <c r="AS2987" s="4"/>
      <c r="AT2987" s="4"/>
      <c r="AU2987" s="4"/>
      <c r="AV2987" s="4"/>
      <c r="AW2987" s="4"/>
      <c r="AX2987" s="4"/>
      <c r="AY2987" s="4"/>
      <c r="AZ2987" s="4"/>
      <c r="BA2987" s="4"/>
      <c r="BB2987" s="4"/>
      <c r="BC2987" s="4"/>
      <c r="BD2987" s="4"/>
      <c r="BE2987" s="4"/>
      <c r="BF2987" s="4"/>
      <c r="BG2987" s="4"/>
      <c r="BH2987" s="4"/>
      <c r="BI2987" s="4"/>
      <c r="BJ2987" s="4"/>
      <c r="BK2987" s="4"/>
      <c r="BL2987" s="4"/>
      <c r="BM2987" s="4"/>
      <c r="BN2987" s="4"/>
      <c r="BO2987" s="4"/>
      <c r="BP2987" s="4"/>
      <c r="BQ2987" s="4"/>
      <c r="BR2987" s="4"/>
      <c r="BS2987" s="4"/>
      <c r="BT2987" s="4"/>
      <c r="BU2987" s="4"/>
    </row>
    <row r="2988" spans="29:73" s="1" customFormat="1" x14ac:dyDescent="0.25">
      <c r="AC2988" s="4"/>
      <c r="AD2988" s="4"/>
      <c r="AE2988" s="4"/>
      <c r="AF2988" s="4"/>
      <c r="AG2988" s="4"/>
      <c r="AH2988" s="4"/>
      <c r="AI2988" s="4"/>
      <c r="AJ2988" s="4"/>
      <c r="AK2988" s="4"/>
      <c r="AL2988" s="4"/>
      <c r="AM2988" s="4"/>
      <c r="AN2988" s="4"/>
      <c r="AO2988" s="4"/>
      <c r="AP2988" s="4"/>
      <c r="AQ2988" s="4"/>
      <c r="AR2988" s="4"/>
      <c r="AS2988" s="4"/>
      <c r="AT2988" s="4"/>
      <c r="AU2988" s="4"/>
      <c r="AV2988" s="4"/>
      <c r="AW2988" s="4"/>
      <c r="AX2988" s="4"/>
      <c r="AY2988" s="4"/>
      <c r="AZ2988" s="4"/>
      <c r="BA2988" s="4"/>
      <c r="BB2988" s="4"/>
      <c r="BC2988" s="4"/>
      <c r="BD2988" s="4"/>
      <c r="BE2988" s="4"/>
      <c r="BF2988" s="4"/>
      <c r="BG2988" s="4"/>
      <c r="BH2988" s="4"/>
      <c r="BI2988" s="4"/>
      <c r="BJ2988" s="4"/>
      <c r="BK2988" s="4"/>
      <c r="BL2988" s="4"/>
      <c r="BM2988" s="4"/>
      <c r="BN2988" s="4"/>
      <c r="BO2988" s="4"/>
      <c r="BP2988" s="4"/>
      <c r="BQ2988" s="4"/>
      <c r="BR2988" s="4"/>
      <c r="BS2988" s="4"/>
      <c r="BT2988" s="4"/>
      <c r="BU2988" s="4"/>
    </row>
    <row r="2989" spans="29:73" s="1" customFormat="1" x14ac:dyDescent="0.25">
      <c r="AC2989" s="4"/>
      <c r="AD2989" s="4"/>
      <c r="AE2989" s="4"/>
      <c r="AF2989" s="4"/>
      <c r="AG2989" s="4"/>
      <c r="AH2989" s="4"/>
      <c r="AI2989" s="4"/>
      <c r="AJ2989" s="4"/>
      <c r="AK2989" s="4"/>
      <c r="AL2989" s="4"/>
      <c r="AM2989" s="4"/>
      <c r="AN2989" s="4"/>
      <c r="AO2989" s="4"/>
      <c r="AP2989" s="4"/>
      <c r="AQ2989" s="4"/>
      <c r="AR2989" s="4"/>
      <c r="AS2989" s="4"/>
      <c r="AT2989" s="4"/>
      <c r="AU2989" s="4"/>
      <c r="AV2989" s="4"/>
      <c r="AW2989" s="4"/>
      <c r="AX2989" s="4"/>
      <c r="AY2989" s="4"/>
      <c r="AZ2989" s="4"/>
      <c r="BA2989" s="4"/>
      <c r="BB2989" s="4"/>
      <c r="BC2989" s="4"/>
      <c r="BD2989" s="4"/>
      <c r="BE2989" s="4"/>
      <c r="BF2989" s="4"/>
      <c r="BG2989" s="4"/>
      <c r="BH2989" s="4"/>
      <c r="BI2989" s="4"/>
      <c r="BJ2989" s="4"/>
      <c r="BK2989" s="4"/>
      <c r="BL2989" s="4"/>
      <c r="BM2989" s="4"/>
      <c r="BN2989" s="4"/>
      <c r="BO2989" s="4"/>
      <c r="BP2989" s="4"/>
      <c r="BQ2989" s="4"/>
      <c r="BR2989" s="4"/>
      <c r="BS2989" s="4"/>
      <c r="BT2989" s="4"/>
      <c r="BU2989" s="4"/>
    </row>
    <row r="2990" spans="29:73" s="1" customFormat="1" x14ac:dyDescent="0.25">
      <c r="AC2990" s="4"/>
      <c r="AD2990" s="4"/>
      <c r="AE2990" s="4"/>
      <c r="AF2990" s="4"/>
      <c r="AG2990" s="4"/>
      <c r="AH2990" s="4"/>
      <c r="AI2990" s="4"/>
      <c r="AJ2990" s="4"/>
      <c r="AK2990" s="4"/>
      <c r="AL2990" s="4"/>
      <c r="AM2990" s="4"/>
      <c r="AN2990" s="4"/>
      <c r="AO2990" s="4"/>
      <c r="AP2990" s="4"/>
      <c r="AQ2990" s="4"/>
      <c r="AR2990" s="4"/>
      <c r="AS2990" s="4"/>
      <c r="AT2990" s="4"/>
      <c r="AU2990" s="4"/>
      <c r="AV2990" s="4"/>
      <c r="AW2990" s="4"/>
      <c r="AX2990" s="4"/>
      <c r="AY2990" s="4"/>
      <c r="AZ2990" s="4"/>
      <c r="BA2990" s="4"/>
      <c r="BB2990" s="4"/>
      <c r="BC2990" s="4"/>
      <c r="BD2990" s="4"/>
      <c r="BE2990" s="4"/>
      <c r="BF2990" s="4"/>
      <c r="BG2990" s="4"/>
      <c r="BH2990" s="4"/>
      <c r="BI2990" s="4"/>
      <c r="BJ2990" s="4"/>
      <c r="BK2990" s="4"/>
      <c r="BL2990" s="4"/>
      <c r="BM2990" s="4"/>
      <c r="BN2990" s="4"/>
      <c r="BO2990" s="4"/>
      <c r="BP2990" s="4"/>
      <c r="BQ2990" s="4"/>
      <c r="BR2990" s="4"/>
      <c r="BS2990" s="4"/>
      <c r="BT2990" s="4"/>
      <c r="BU2990" s="4"/>
    </row>
    <row r="2991" spans="29:73" s="1" customFormat="1" x14ac:dyDescent="0.25">
      <c r="AC2991" s="4"/>
      <c r="AD2991" s="4"/>
      <c r="AE2991" s="4"/>
      <c r="AF2991" s="4"/>
      <c r="AG2991" s="4"/>
      <c r="AH2991" s="4"/>
      <c r="AI2991" s="4"/>
      <c r="AJ2991" s="4"/>
      <c r="AK2991" s="4"/>
      <c r="AL2991" s="4"/>
      <c r="AM2991" s="4"/>
      <c r="AN2991" s="4"/>
      <c r="AO2991" s="4"/>
      <c r="AP2991" s="4"/>
      <c r="AQ2991" s="4"/>
      <c r="AR2991" s="4"/>
      <c r="AS2991" s="4"/>
      <c r="AT2991" s="4"/>
      <c r="AU2991" s="4"/>
      <c r="AV2991" s="4"/>
      <c r="AW2991" s="4"/>
      <c r="AX2991" s="4"/>
      <c r="AY2991" s="4"/>
      <c r="AZ2991" s="4"/>
      <c r="BA2991" s="4"/>
      <c r="BB2991" s="4"/>
      <c r="BC2991" s="4"/>
      <c r="BD2991" s="4"/>
      <c r="BE2991" s="4"/>
      <c r="BF2991" s="4"/>
      <c r="BG2991" s="4"/>
      <c r="BH2991" s="4"/>
      <c r="BI2991" s="4"/>
      <c r="BJ2991" s="4"/>
      <c r="BK2991" s="4"/>
      <c r="BL2991" s="4"/>
      <c r="BM2991" s="4"/>
      <c r="BN2991" s="4"/>
      <c r="BO2991" s="4"/>
      <c r="BP2991" s="4"/>
      <c r="BQ2991" s="4"/>
      <c r="BR2991" s="4"/>
      <c r="BS2991" s="4"/>
      <c r="BT2991" s="4"/>
      <c r="BU2991" s="4"/>
    </row>
    <row r="2992" spans="29:73" s="1" customFormat="1" x14ac:dyDescent="0.25">
      <c r="AC2992" s="4"/>
      <c r="AD2992" s="4"/>
      <c r="AE2992" s="4"/>
      <c r="AF2992" s="4"/>
      <c r="AG2992" s="4"/>
      <c r="AH2992" s="4"/>
      <c r="AI2992" s="4"/>
      <c r="AJ2992" s="4"/>
      <c r="AK2992" s="4"/>
      <c r="AL2992" s="4"/>
      <c r="AM2992" s="4"/>
      <c r="AN2992" s="4"/>
      <c r="AO2992" s="4"/>
      <c r="AP2992" s="4"/>
      <c r="AQ2992" s="4"/>
      <c r="AR2992" s="4"/>
      <c r="AS2992" s="4"/>
      <c r="AT2992" s="4"/>
      <c r="AU2992" s="4"/>
      <c r="AV2992" s="4"/>
      <c r="AW2992" s="4"/>
      <c r="AX2992" s="4"/>
      <c r="AY2992" s="4"/>
      <c r="AZ2992" s="4"/>
      <c r="BA2992" s="4"/>
      <c r="BB2992" s="4"/>
      <c r="BC2992" s="4"/>
      <c r="BD2992" s="4"/>
      <c r="BE2992" s="4"/>
      <c r="BF2992" s="4"/>
      <c r="BG2992" s="4"/>
      <c r="BH2992" s="4"/>
      <c r="BI2992" s="4"/>
      <c r="BJ2992" s="4"/>
      <c r="BK2992" s="4"/>
      <c r="BL2992" s="4"/>
      <c r="BM2992" s="4"/>
      <c r="BN2992" s="4"/>
      <c r="BO2992" s="4"/>
      <c r="BP2992" s="4"/>
      <c r="BQ2992" s="4"/>
      <c r="BR2992" s="4"/>
      <c r="BS2992" s="4"/>
      <c r="BT2992" s="4"/>
      <c r="BU2992" s="4"/>
    </row>
    <row r="2993" spans="29:73" s="1" customFormat="1" x14ac:dyDescent="0.25">
      <c r="AC2993" s="4"/>
      <c r="AD2993" s="4"/>
      <c r="AE2993" s="4"/>
      <c r="AF2993" s="4"/>
      <c r="AG2993" s="4"/>
      <c r="AH2993" s="4"/>
      <c r="AI2993" s="4"/>
      <c r="AJ2993" s="4"/>
      <c r="AK2993" s="4"/>
      <c r="AL2993" s="4"/>
      <c r="AM2993" s="4"/>
      <c r="AN2993" s="4"/>
      <c r="AO2993" s="4"/>
      <c r="AP2993" s="4"/>
      <c r="AQ2993" s="4"/>
      <c r="AR2993" s="4"/>
      <c r="AS2993" s="4"/>
      <c r="AT2993" s="4"/>
      <c r="AU2993" s="4"/>
      <c r="AV2993" s="4"/>
      <c r="AW2993" s="4"/>
      <c r="AX2993" s="4"/>
      <c r="AY2993" s="4"/>
      <c r="AZ2993" s="4"/>
      <c r="BA2993" s="4"/>
      <c r="BB2993" s="4"/>
      <c r="BC2993" s="4"/>
      <c r="BD2993" s="4"/>
      <c r="BE2993" s="4"/>
      <c r="BF2993" s="4"/>
      <c r="BG2993" s="4"/>
      <c r="BH2993" s="4"/>
      <c r="BI2993" s="4"/>
      <c r="BJ2993" s="4"/>
      <c r="BK2993" s="4"/>
      <c r="BL2993" s="4"/>
      <c r="BM2993" s="4"/>
      <c r="BN2993" s="4"/>
      <c r="BO2993" s="4"/>
      <c r="BP2993" s="4"/>
      <c r="BQ2993" s="4"/>
      <c r="BR2993" s="4"/>
      <c r="BS2993" s="4"/>
      <c r="BT2993" s="4"/>
      <c r="BU2993" s="4"/>
    </row>
    <row r="2994" spans="29:73" s="1" customFormat="1" x14ac:dyDescent="0.25">
      <c r="AC2994" s="4"/>
      <c r="AD2994" s="4"/>
      <c r="AE2994" s="4"/>
      <c r="AF2994" s="4"/>
      <c r="AG2994" s="4"/>
      <c r="AH2994" s="4"/>
      <c r="AI2994" s="4"/>
      <c r="AJ2994" s="4"/>
      <c r="AK2994" s="4"/>
      <c r="AL2994" s="4"/>
      <c r="AM2994" s="4"/>
      <c r="AN2994" s="4"/>
      <c r="AO2994" s="4"/>
      <c r="AP2994" s="4"/>
      <c r="AQ2994" s="4"/>
      <c r="AR2994" s="4"/>
      <c r="AS2994" s="4"/>
      <c r="AT2994" s="4"/>
      <c r="AU2994" s="4"/>
      <c r="AV2994" s="4"/>
      <c r="AW2994" s="4"/>
      <c r="AX2994" s="4"/>
      <c r="AY2994" s="4"/>
      <c r="AZ2994" s="4"/>
      <c r="BA2994" s="4"/>
      <c r="BB2994" s="4"/>
      <c r="BC2994" s="4"/>
      <c r="BD2994" s="4"/>
      <c r="BE2994" s="4"/>
      <c r="BF2994" s="4"/>
      <c r="BG2994" s="4"/>
      <c r="BH2994" s="4"/>
      <c r="BI2994" s="4"/>
      <c r="BJ2994" s="4"/>
      <c r="BK2994" s="4"/>
      <c r="BL2994" s="4"/>
      <c r="BM2994" s="4"/>
      <c r="BN2994" s="4"/>
      <c r="BO2994" s="4"/>
      <c r="BP2994" s="4"/>
      <c r="BQ2994" s="4"/>
      <c r="BR2994" s="4"/>
      <c r="BS2994" s="4"/>
      <c r="BT2994" s="4"/>
      <c r="BU2994" s="4"/>
    </row>
    <row r="2995" spans="29:73" s="1" customFormat="1" x14ac:dyDescent="0.25">
      <c r="AC2995" s="4"/>
      <c r="AD2995" s="4"/>
      <c r="AE2995" s="4"/>
      <c r="AF2995" s="4"/>
      <c r="AG2995" s="4"/>
      <c r="AH2995" s="4"/>
      <c r="AI2995" s="4"/>
      <c r="AJ2995" s="4"/>
      <c r="AK2995" s="4"/>
      <c r="AL2995" s="4"/>
      <c r="AM2995" s="4"/>
      <c r="AN2995" s="4"/>
      <c r="AO2995" s="4"/>
      <c r="AP2995" s="4"/>
      <c r="AQ2995" s="4"/>
      <c r="AR2995" s="4"/>
      <c r="AS2995" s="4"/>
      <c r="AT2995" s="4"/>
      <c r="AU2995" s="4"/>
      <c r="AV2995" s="4"/>
      <c r="AW2995" s="4"/>
      <c r="AX2995" s="4"/>
      <c r="AY2995" s="4"/>
      <c r="AZ2995" s="4"/>
      <c r="BA2995" s="4"/>
      <c r="BB2995" s="4"/>
      <c r="BC2995" s="4"/>
      <c r="BD2995" s="4"/>
      <c r="BE2995" s="4"/>
      <c r="BF2995" s="4"/>
      <c r="BG2995" s="4"/>
      <c r="BH2995" s="4"/>
      <c r="BI2995" s="4"/>
      <c r="BJ2995" s="4"/>
      <c r="BK2995" s="4"/>
      <c r="BL2995" s="4"/>
      <c r="BM2995" s="4"/>
      <c r="BN2995" s="4"/>
      <c r="BO2995" s="4"/>
      <c r="BP2995" s="4"/>
      <c r="BQ2995" s="4"/>
      <c r="BR2995" s="4"/>
      <c r="BS2995" s="4"/>
      <c r="BT2995" s="4"/>
      <c r="BU2995" s="4"/>
    </row>
    <row r="2996" spans="29:73" s="1" customFormat="1" x14ac:dyDescent="0.25">
      <c r="AC2996" s="4"/>
      <c r="AD2996" s="4"/>
      <c r="AE2996" s="4"/>
      <c r="AF2996" s="4"/>
      <c r="AG2996" s="4"/>
      <c r="AH2996" s="4"/>
      <c r="AI2996" s="4"/>
      <c r="AJ2996" s="4"/>
      <c r="AK2996" s="4"/>
      <c r="AL2996" s="4"/>
      <c r="AM2996" s="4"/>
      <c r="AN2996" s="4"/>
      <c r="AO2996" s="4"/>
      <c r="AP2996" s="4"/>
      <c r="AQ2996" s="4"/>
      <c r="AR2996" s="4"/>
      <c r="AS2996" s="4"/>
      <c r="AT2996" s="4"/>
      <c r="AU2996" s="4"/>
      <c r="AV2996" s="4"/>
      <c r="AW2996" s="4"/>
      <c r="AX2996" s="4"/>
      <c r="AY2996" s="4"/>
      <c r="AZ2996" s="4"/>
      <c r="BA2996" s="4"/>
      <c r="BB2996" s="4"/>
      <c r="BC2996" s="4"/>
      <c r="BD2996" s="4"/>
      <c r="BE2996" s="4"/>
      <c r="BF2996" s="4"/>
      <c r="BG2996" s="4"/>
      <c r="BH2996" s="4"/>
      <c r="BI2996" s="4"/>
      <c r="BJ2996" s="4"/>
      <c r="BK2996" s="4"/>
      <c r="BL2996" s="4"/>
      <c r="BM2996" s="4"/>
      <c r="BN2996" s="4"/>
      <c r="BO2996" s="4"/>
      <c r="BP2996" s="4"/>
      <c r="BQ2996" s="4"/>
      <c r="BR2996" s="4"/>
      <c r="BS2996" s="4"/>
      <c r="BT2996" s="4"/>
      <c r="BU2996" s="4"/>
    </row>
    <row r="2997" spans="29:73" s="1" customFormat="1" x14ac:dyDescent="0.25">
      <c r="AC2997" s="4"/>
      <c r="AD2997" s="4"/>
      <c r="AE2997" s="4"/>
      <c r="AF2997" s="4"/>
      <c r="AG2997" s="4"/>
      <c r="AH2997" s="4"/>
      <c r="AI2997" s="4"/>
      <c r="AJ2997" s="4"/>
      <c r="AK2997" s="4"/>
      <c r="AL2997" s="4"/>
      <c r="AM2997" s="4"/>
      <c r="AN2997" s="4"/>
      <c r="AO2997" s="4"/>
      <c r="AP2997" s="4"/>
      <c r="AQ2997" s="4"/>
      <c r="AR2997" s="4"/>
      <c r="AS2997" s="4"/>
      <c r="AT2997" s="4"/>
      <c r="AU2997" s="4"/>
      <c r="AV2997" s="4"/>
      <c r="AW2997" s="4"/>
      <c r="AX2997" s="4"/>
      <c r="AY2997" s="4"/>
      <c r="AZ2997" s="4"/>
      <c r="BA2997" s="4"/>
      <c r="BB2997" s="4"/>
      <c r="BC2997" s="4"/>
      <c r="BD2997" s="4"/>
      <c r="BE2997" s="4"/>
      <c r="BF2997" s="4"/>
      <c r="BG2997" s="4"/>
      <c r="BH2997" s="4"/>
      <c r="BI2997" s="4"/>
      <c r="BJ2997" s="4"/>
      <c r="BK2997" s="4"/>
      <c r="BL2997" s="4"/>
      <c r="BM2997" s="4"/>
      <c r="BN2997" s="4"/>
      <c r="BO2997" s="4"/>
      <c r="BP2997" s="4"/>
      <c r="BQ2997" s="4"/>
      <c r="BR2997" s="4"/>
      <c r="BS2997" s="4"/>
      <c r="BT2997" s="4"/>
      <c r="BU2997" s="4"/>
    </row>
    <row r="2998" spans="29:73" s="1" customFormat="1" x14ac:dyDescent="0.25">
      <c r="AC2998" s="4"/>
      <c r="AD2998" s="4"/>
      <c r="AE2998" s="4"/>
      <c r="AF2998" s="4"/>
      <c r="AG2998" s="4"/>
      <c r="AH2998" s="4"/>
      <c r="AI2998" s="4"/>
      <c r="AJ2998" s="4"/>
      <c r="AK2998" s="4"/>
      <c r="AL2998" s="4"/>
      <c r="AM2998" s="4"/>
      <c r="AN2998" s="4"/>
      <c r="AO2998" s="4"/>
      <c r="AP2998" s="4"/>
      <c r="AQ2998" s="4"/>
      <c r="AR2998" s="4"/>
      <c r="AS2998" s="4"/>
      <c r="AT2998" s="4"/>
      <c r="AU2998" s="4"/>
      <c r="AV2998" s="4"/>
      <c r="AW2998" s="4"/>
      <c r="AX2998" s="4"/>
      <c r="AY2998" s="4"/>
      <c r="AZ2998" s="4"/>
      <c r="BA2998" s="4"/>
      <c r="BB2998" s="4"/>
      <c r="BC2998" s="4"/>
      <c r="BD2998" s="4"/>
      <c r="BE2998" s="4"/>
      <c r="BF2998" s="4"/>
      <c r="BG2998" s="4"/>
      <c r="BH2998" s="4"/>
      <c r="BI2998" s="4"/>
      <c r="BJ2998" s="4"/>
      <c r="BK2998" s="4"/>
      <c r="BL2998" s="4"/>
      <c r="BM2998" s="4"/>
      <c r="BN2998" s="4"/>
      <c r="BO2998" s="4"/>
      <c r="BP2998" s="4"/>
      <c r="BQ2998" s="4"/>
      <c r="BR2998" s="4"/>
      <c r="BS2998" s="4"/>
      <c r="BT2998" s="4"/>
      <c r="BU2998" s="4"/>
    </row>
    <row r="2999" spans="29:73" s="1" customFormat="1" x14ac:dyDescent="0.25">
      <c r="AC2999" s="4"/>
      <c r="AD2999" s="4"/>
      <c r="AE2999" s="4"/>
      <c r="AF2999" s="4"/>
      <c r="AG2999" s="4"/>
      <c r="AH2999" s="4"/>
      <c r="AI2999" s="4"/>
      <c r="AJ2999" s="4"/>
      <c r="AK2999" s="4"/>
      <c r="AL2999" s="4"/>
      <c r="AM2999" s="4"/>
      <c r="AN2999" s="4"/>
      <c r="AO2999" s="4"/>
      <c r="AP2999" s="4"/>
      <c r="AQ2999" s="4"/>
      <c r="AR2999" s="4"/>
      <c r="AS2999" s="4"/>
      <c r="AT2999" s="4"/>
      <c r="AU2999" s="4"/>
      <c r="AV2999" s="4"/>
      <c r="AW2999" s="4"/>
      <c r="AX2999" s="4"/>
      <c r="AY2999" s="4"/>
      <c r="AZ2999" s="4"/>
      <c r="BA2999" s="4"/>
      <c r="BB2999" s="4"/>
      <c r="BC2999" s="4"/>
      <c r="BD2999" s="4"/>
      <c r="BE2999" s="4"/>
      <c r="BF2999" s="4"/>
      <c r="BG2999" s="4"/>
      <c r="BH2999" s="4"/>
      <c r="BI2999" s="4"/>
      <c r="BJ2999" s="4"/>
      <c r="BK2999" s="4"/>
      <c r="BL2999" s="4"/>
      <c r="BM2999" s="4"/>
      <c r="BN2999" s="4"/>
      <c r="BO2999" s="4"/>
      <c r="BP2999" s="4"/>
      <c r="BQ2999" s="4"/>
      <c r="BR2999" s="4"/>
      <c r="BS2999" s="4"/>
      <c r="BT2999" s="4"/>
      <c r="BU2999" s="4"/>
    </row>
    <row r="3000" spans="29:73" s="1" customFormat="1" x14ac:dyDescent="0.25">
      <c r="AC3000" s="4"/>
      <c r="AD3000" s="4"/>
      <c r="AE3000" s="4"/>
      <c r="AF3000" s="4"/>
      <c r="AG3000" s="4"/>
      <c r="AH3000" s="4"/>
      <c r="AI3000" s="4"/>
      <c r="AJ3000" s="4"/>
      <c r="AK3000" s="4"/>
      <c r="AL3000" s="4"/>
      <c r="AM3000" s="4"/>
      <c r="AN3000" s="4"/>
      <c r="AO3000" s="4"/>
      <c r="AP3000" s="4"/>
      <c r="AQ3000" s="4"/>
      <c r="AR3000" s="4"/>
      <c r="AS3000" s="4"/>
      <c r="AT3000" s="4"/>
      <c r="AU3000" s="4"/>
      <c r="AV3000" s="4"/>
      <c r="AW3000" s="4"/>
      <c r="AX3000" s="4"/>
      <c r="AY3000" s="4"/>
      <c r="AZ3000" s="4"/>
      <c r="BA3000" s="4"/>
      <c r="BB3000" s="4"/>
      <c r="BC3000" s="4"/>
      <c r="BD3000" s="4"/>
      <c r="BE3000" s="4"/>
      <c r="BF3000" s="4"/>
      <c r="BG3000" s="4"/>
      <c r="BH3000" s="4"/>
      <c r="BI3000" s="4"/>
      <c r="BJ3000" s="4"/>
      <c r="BK3000" s="4"/>
      <c r="BL3000" s="4"/>
      <c r="BM3000" s="4"/>
      <c r="BN3000" s="4"/>
      <c r="BO3000" s="4"/>
      <c r="BP3000" s="4"/>
      <c r="BQ3000" s="4"/>
      <c r="BR3000" s="4"/>
      <c r="BS3000" s="4"/>
      <c r="BT3000" s="4"/>
      <c r="BU3000" s="4"/>
    </row>
    <row r="3001" spans="29:73" s="1" customFormat="1" x14ac:dyDescent="0.25">
      <c r="AC3001" s="4"/>
      <c r="AD3001" s="4"/>
      <c r="AE3001" s="4"/>
      <c r="AF3001" s="4"/>
      <c r="AG3001" s="4"/>
      <c r="AH3001" s="4"/>
      <c r="AI3001" s="4"/>
      <c r="AJ3001" s="4"/>
      <c r="AK3001" s="4"/>
      <c r="AL3001" s="4"/>
      <c r="AM3001" s="4"/>
      <c r="AN3001" s="4"/>
      <c r="AO3001" s="4"/>
      <c r="AP3001" s="4"/>
      <c r="AQ3001" s="4"/>
      <c r="AR3001" s="4"/>
      <c r="AS3001" s="4"/>
      <c r="AT3001" s="4"/>
      <c r="AU3001" s="4"/>
      <c r="AV3001" s="4"/>
      <c r="AW3001" s="4"/>
      <c r="AX3001" s="4"/>
      <c r="AY3001" s="4"/>
      <c r="AZ3001" s="4"/>
      <c r="BA3001" s="4"/>
      <c r="BB3001" s="4"/>
      <c r="BC3001" s="4"/>
      <c r="BD3001" s="4"/>
      <c r="BE3001" s="4"/>
      <c r="BF3001" s="4"/>
      <c r="BG3001" s="4"/>
      <c r="BH3001" s="4"/>
      <c r="BI3001" s="4"/>
      <c r="BJ3001" s="4"/>
      <c r="BK3001" s="4"/>
      <c r="BL3001" s="4"/>
      <c r="BM3001" s="4"/>
      <c r="BN3001" s="4"/>
      <c r="BO3001" s="4"/>
      <c r="BP3001" s="4"/>
      <c r="BQ3001" s="4"/>
      <c r="BR3001" s="4"/>
      <c r="BS3001" s="4"/>
      <c r="BT3001" s="4"/>
      <c r="BU3001" s="4"/>
    </row>
    <row r="3002" spans="29:73" s="1" customFormat="1" x14ac:dyDescent="0.25">
      <c r="AC3002" s="4"/>
      <c r="AD3002" s="4"/>
      <c r="AE3002" s="4"/>
      <c r="AF3002" s="4"/>
      <c r="AG3002" s="4"/>
      <c r="AH3002" s="4"/>
      <c r="AI3002" s="4"/>
      <c r="AJ3002" s="4"/>
      <c r="AK3002" s="4"/>
      <c r="AL3002" s="4"/>
      <c r="AM3002" s="4"/>
      <c r="AN3002" s="4"/>
      <c r="AO3002" s="4"/>
      <c r="AP3002" s="4"/>
      <c r="AQ3002" s="4"/>
      <c r="AR3002" s="4"/>
      <c r="AS3002" s="4"/>
      <c r="AT3002" s="4"/>
      <c r="AU3002" s="4"/>
      <c r="AV3002" s="4"/>
      <c r="AW3002" s="4"/>
      <c r="AX3002" s="4"/>
      <c r="AY3002" s="4"/>
      <c r="AZ3002" s="4"/>
      <c r="BA3002" s="4"/>
      <c r="BB3002" s="4"/>
      <c r="BC3002" s="4"/>
      <c r="BD3002" s="4"/>
      <c r="BE3002" s="4"/>
      <c r="BF3002" s="4"/>
      <c r="BG3002" s="4"/>
      <c r="BH3002" s="4"/>
      <c r="BI3002" s="4"/>
      <c r="BJ3002" s="4"/>
      <c r="BK3002" s="4"/>
      <c r="BL3002" s="4"/>
      <c r="BM3002" s="4"/>
      <c r="BN3002" s="4"/>
      <c r="BO3002" s="4"/>
      <c r="BP3002" s="4"/>
      <c r="BQ3002" s="4"/>
      <c r="BR3002" s="4"/>
      <c r="BS3002" s="4"/>
      <c r="BT3002" s="4"/>
      <c r="BU3002" s="4"/>
    </row>
    <row r="3003" spans="29:73" s="1" customFormat="1" x14ac:dyDescent="0.25">
      <c r="AC3003" s="4"/>
      <c r="AD3003" s="4"/>
      <c r="AE3003" s="4"/>
      <c r="AF3003" s="4"/>
      <c r="AG3003" s="4"/>
      <c r="AH3003" s="4"/>
      <c r="AI3003" s="4"/>
      <c r="AJ3003" s="4"/>
      <c r="AK3003" s="4"/>
      <c r="AL3003" s="4"/>
      <c r="AM3003" s="4"/>
      <c r="AN3003" s="4"/>
      <c r="AO3003" s="4"/>
      <c r="AP3003" s="4"/>
      <c r="AQ3003" s="4"/>
      <c r="AR3003" s="4"/>
      <c r="AS3003" s="4"/>
      <c r="AT3003" s="4"/>
      <c r="AU3003" s="4"/>
      <c r="AV3003" s="4"/>
      <c r="AW3003" s="4"/>
      <c r="AX3003" s="4"/>
      <c r="AY3003" s="4"/>
      <c r="AZ3003" s="4"/>
      <c r="BA3003" s="4"/>
      <c r="BB3003" s="4"/>
      <c r="BC3003" s="4"/>
      <c r="BD3003" s="4"/>
      <c r="BE3003" s="4"/>
      <c r="BF3003" s="4"/>
      <c r="BG3003" s="4"/>
      <c r="BH3003" s="4"/>
      <c r="BI3003" s="4"/>
      <c r="BJ3003" s="4"/>
      <c r="BK3003" s="4"/>
      <c r="BL3003" s="4"/>
      <c r="BM3003" s="4"/>
      <c r="BN3003" s="4"/>
      <c r="BO3003" s="4"/>
      <c r="BP3003" s="4"/>
      <c r="BQ3003" s="4"/>
      <c r="BR3003" s="4"/>
      <c r="BS3003" s="4"/>
      <c r="BT3003" s="4"/>
      <c r="BU3003" s="4"/>
    </row>
    <row r="3004" spans="29:73" s="1" customFormat="1" x14ac:dyDescent="0.25">
      <c r="AC3004" s="4"/>
      <c r="AD3004" s="4"/>
      <c r="AE3004" s="4"/>
      <c r="AF3004" s="4"/>
      <c r="AG3004" s="4"/>
      <c r="AH3004" s="4"/>
      <c r="AI3004" s="4"/>
      <c r="AJ3004" s="4"/>
      <c r="AK3004" s="4"/>
      <c r="AL3004" s="4"/>
      <c r="AM3004" s="4"/>
      <c r="AN3004" s="4"/>
      <c r="AO3004" s="4"/>
      <c r="AP3004" s="4"/>
      <c r="AQ3004" s="4"/>
      <c r="AR3004" s="4"/>
      <c r="AS3004" s="4"/>
      <c r="AT3004" s="4"/>
      <c r="AU3004" s="4"/>
      <c r="AV3004" s="4"/>
      <c r="AW3004" s="4"/>
      <c r="AX3004" s="4"/>
      <c r="AY3004" s="4"/>
      <c r="AZ3004" s="4"/>
      <c r="BA3004" s="4"/>
      <c r="BB3004" s="4"/>
      <c r="BC3004" s="4"/>
      <c r="BD3004" s="4"/>
      <c r="BE3004" s="4"/>
      <c r="BF3004" s="4"/>
      <c r="BG3004" s="4"/>
      <c r="BH3004" s="4"/>
      <c r="BI3004" s="4"/>
      <c r="BJ3004" s="4"/>
      <c r="BK3004" s="4"/>
      <c r="BL3004" s="4"/>
      <c r="BM3004" s="4"/>
      <c r="BN3004" s="4"/>
      <c r="BO3004" s="4"/>
      <c r="BP3004" s="4"/>
      <c r="BQ3004" s="4"/>
      <c r="BR3004" s="4"/>
      <c r="BS3004" s="4"/>
      <c r="BT3004" s="4"/>
      <c r="BU3004" s="4"/>
    </row>
    <row r="3005" spans="29:73" s="1" customFormat="1" x14ac:dyDescent="0.25">
      <c r="AC3005" s="4"/>
      <c r="AD3005" s="4"/>
      <c r="AE3005" s="4"/>
      <c r="AF3005" s="4"/>
      <c r="AG3005" s="4"/>
      <c r="AH3005" s="4"/>
      <c r="AI3005" s="4"/>
      <c r="AJ3005" s="4"/>
      <c r="AK3005" s="4"/>
      <c r="AL3005" s="4"/>
      <c r="AM3005" s="4"/>
      <c r="AN3005" s="4"/>
      <c r="AO3005" s="4"/>
      <c r="AP3005" s="4"/>
      <c r="AQ3005" s="4"/>
      <c r="AR3005" s="4"/>
      <c r="AS3005" s="4"/>
      <c r="AT3005" s="4"/>
      <c r="AU3005" s="4"/>
      <c r="AV3005" s="4"/>
      <c r="AW3005" s="4"/>
      <c r="AX3005" s="4"/>
      <c r="AY3005" s="4"/>
      <c r="AZ3005" s="4"/>
      <c r="BA3005" s="4"/>
      <c r="BB3005" s="4"/>
      <c r="BC3005" s="4"/>
      <c r="BD3005" s="4"/>
      <c r="BE3005" s="4"/>
      <c r="BF3005" s="4"/>
      <c r="BG3005" s="4"/>
      <c r="BH3005" s="4"/>
      <c r="BI3005" s="4"/>
      <c r="BJ3005" s="4"/>
      <c r="BK3005" s="4"/>
      <c r="BL3005" s="4"/>
      <c r="BM3005" s="4"/>
      <c r="BN3005" s="4"/>
      <c r="BO3005" s="4"/>
      <c r="BP3005" s="4"/>
      <c r="BQ3005" s="4"/>
      <c r="BR3005" s="4"/>
      <c r="BS3005" s="4"/>
      <c r="BT3005" s="4"/>
      <c r="BU3005" s="4"/>
    </row>
    <row r="3006" spans="29:73" s="1" customFormat="1" x14ac:dyDescent="0.25">
      <c r="AC3006" s="4"/>
      <c r="AD3006" s="4"/>
      <c r="AE3006" s="4"/>
      <c r="AF3006" s="4"/>
      <c r="AG3006" s="4"/>
      <c r="AH3006" s="4"/>
      <c r="AI3006" s="4"/>
      <c r="AJ3006" s="4"/>
      <c r="AK3006" s="4"/>
      <c r="AL3006" s="4"/>
      <c r="AM3006" s="4"/>
      <c r="AN3006" s="4"/>
      <c r="AO3006" s="4"/>
      <c r="AP3006" s="4"/>
      <c r="AQ3006" s="4"/>
      <c r="AR3006" s="4"/>
      <c r="AS3006" s="4"/>
      <c r="AT3006" s="4"/>
      <c r="AU3006" s="4"/>
      <c r="AV3006" s="4"/>
      <c r="AW3006" s="4"/>
      <c r="AX3006" s="4"/>
      <c r="AY3006" s="4"/>
      <c r="AZ3006" s="4"/>
      <c r="BA3006" s="4"/>
      <c r="BB3006" s="4"/>
      <c r="BC3006" s="4"/>
      <c r="BD3006" s="4"/>
      <c r="BE3006" s="4"/>
      <c r="BF3006" s="4"/>
      <c r="BG3006" s="4"/>
      <c r="BH3006" s="4"/>
      <c r="BI3006" s="4"/>
      <c r="BJ3006" s="4"/>
      <c r="BK3006" s="4"/>
      <c r="BL3006" s="4"/>
      <c r="BM3006" s="4"/>
      <c r="BN3006" s="4"/>
      <c r="BO3006" s="4"/>
      <c r="BP3006" s="4"/>
      <c r="BQ3006" s="4"/>
      <c r="BR3006" s="4"/>
      <c r="BS3006" s="4"/>
      <c r="BT3006" s="4"/>
      <c r="BU3006" s="4"/>
    </row>
    <row r="3007" spans="29:73" s="1" customFormat="1" x14ac:dyDescent="0.25">
      <c r="AC3007" s="4"/>
      <c r="AD3007" s="4"/>
      <c r="AE3007" s="4"/>
      <c r="AF3007" s="4"/>
      <c r="AG3007" s="4"/>
      <c r="AH3007" s="4"/>
      <c r="AI3007" s="4"/>
      <c r="AJ3007" s="4"/>
      <c r="AK3007" s="4"/>
      <c r="AL3007" s="4"/>
      <c r="AM3007" s="4"/>
      <c r="AN3007" s="4"/>
      <c r="AO3007" s="4"/>
      <c r="AP3007" s="4"/>
      <c r="AQ3007" s="4"/>
      <c r="AR3007" s="4"/>
      <c r="AS3007" s="4"/>
      <c r="AT3007" s="4"/>
      <c r="AU3007" s="4"/>
      <c r="AV3007" s="4"/>
      <c r="AW3007" s="4"/>
      <c r="AX3007" s="4"/>
      <c r="AY3007" s="4"/>
      <c r="AZ3007" s="4"/>
      <c r="BA3007" s="4"/>
      <c r="BB3007" s="4"/>
      <c r="BC3007" s="4"/>
      <c r="BD3007" s="4"/>
      <c r="BE3007" s="4"/>
      <c r="BF3007" s="4"/>
      <c r="BG3007" s="4"/>
      <c r="BH3007" s="4"/>
      <c r="BI3007" s="4"/>
      <c r="BJ3007" s="4"/>
      <c r="BK3007" s="4"/>
      <c r="BL3007" s="4"/>
      <c r="BM3007" s="4"/>
      <c r="BN3007" s="4"/>
      <c r="BO3007" s="4"/>
      <c r="BP3007" s="4"/>
      <c r="BQ3007" s="4"/>
      <c r="BR3007" s="4"/>
      <c r="BS3007" s="4"/>
      <c r="BT3007" s="4"/>
      <c r="BU3007" s="4"/>
    </row>
    <row r="3008" spans="29:73" s="1" customFormat="1" x14ac:dyDescent="0.25">
      <c r="AC3008" s="4"/>
      <c r="AD3008" s="4"/>
      <c r="AE3008" s="4"/>
      <c r="AF3008" s="4"/>
      <c r="AG3008" s="4"/>
      <c r="AH3008" s="4"/>
      <c r="AI3008" s="4"/>
      <c r="AJ3008" s="4"/>
      <c r="AK3008" s="4"/>
      <c r="AL3008" s="4"/>
      <c r="AM3008" s="4"/>
      <c r="AN3008" s="4"/>
      <c r="AO3008" s="4"/>
      <c r="AP3008" s="4"/>
      <c r="AQ3008" s="4"/>
      <c r="AR3008" s="4"/>
      <c r="AS3008" s="4"/>
      <c r="AT3008" s="4"/>
      <c r="AU3008" s="4"/>
      <c r="AV3008" s="4"/>
      <c r="AW3008" s="4"/>
      <c r="AX3008" s="4"/>
      <c r="AY3008" s="4"/>
      <c r="AZ3008" s="4"/>
      <c r="BA3008" s="4"/>
      <c r="BB3008" s="4"/>
      <c r="BC3008" s="4"/>
      <c r="BD3008" s="4"/>
      <c r="BE3008" s="4"/>
      <c r="BF3008" s="4"/>
      <c r="BG3008" s="4"/>
      <c r="BH3008" s="4"/>
      <c r="BI3008" s="4"/>
      <c r="BJ3008" s="4"/>
      <c r="BK3008" s="4"/>
      <c r="BL3008" s="4"/>
      <c r="BM3008" s="4"/>
      <c r="BN3008" s="4"/>
      <c r="BO3008" s="4"/>
      <c r="BP3008" s="4"/>
      <c r="BQ3008" s="4"/>
      <c r="BR3008" s="4"/>
      <c r="BS3008" s="4"/>
      <c r="BT3008" s="4"/>
      <c r="BU3008" s="4"/>
    </row>
    <row r="3009" spans="29:73" s="1" customFormat="1" x14ac:dyDescent="0.25">
      <c r="AC3009" s="4"/>
      <c r="AD3009" s="4"/>
      <c r="AE3009" s="4"/>
      <c r="AF3009" s="4"/>
      <c r="AG3009" s="4"/>
      <c r="AH3009" s="4"/>
      <c r="AI3009" s="4"/>
      <c r="AJ3009" s="4"/>
      <c r="AK3009" s="4"/>
      <c r="AL3009" s="4"/>
      <c r="AM3009" s="4"/>
      <c r="AN3009" s="4"/>
      <c r="AO3009" s="4"/>
      <c r="AP3009" s="4"/>
      <c r="AQ3009" s="4"/>
      <c r="AR3009" s="4"/>
      <c r="AS3009" s="4"/>
      <c r="AT3009" s="4"/>
      <c r="AU3009" s="4"/>
      <c r="AV3009" s="4"/>
      <c r="AW3009" s="4"/>
      <c r="AX3009" s="4"/>
      <c r="AY3009" s="4"/>
      <c r="AZ3009" s="4"/>
      <c r="BA3009" s="4"/>
      <c r="BB3009" s="4"/>
      <c r="BC3009" s="4"/>
      <c r="BD3009" s="4"/>
      <c r="BE3009" s="4"/>
      <c r="BF3009" s="4"/>
      <c r="BG3009" s="4"/>
      <c r="BH3009" s="4"/>
      <c r="BI3009" s="4"/>
      <c r="BJ3009" s="4"/>
      <c r="BK3009" s="4"/>
      <c r="BL3009" s="4"/>
      <c r="BM3009" s="4"/>
      <c r="BN3009" s="4"/>
      <c r="BO3009" s="4"/>
      <c r="BP3009" s="4"/>
      <c r="BQ3009" s="4"/>
      <c r="BR3009" s="4"/>
      <c r="BS3009" s="4"/>
      <c r="BT3009" s="4"/>
      <c r="BU3009" s="4"/>
    </row>
    <row r="3010" spans="29:73" s="1" customFormat="1" x14ac:dyDescent="0.25">
      <c r="AC3010" s="4"/>
      <c r="AD3010" s="4"/>
      <c r="AE3010" s="4"/>
      <c r="AF3010" s="4"/>
      <c r="AG3010" s="4"/>
      <c r="AH3010" s="4"/>
      <c r="AI3010" s="4"/>
      <c r="AJ3010" s="4"/>
      <c r="AK3010" s="4"/>
      <c r="AL3010" s="4"/>
      <c r="AM3010" s="4"/>
      <c r="AN3010" s="4"/>
      <c r="AO3010" s="4"/>
      <c r="AP3010" s="4"/>
      <c r="AQ3010" s="4"/>
      <c r="AR3010" s="4"/>
      <c r="AS3010" s="4"/>
      <c r="AT3010" s="4"/>
      <c r="AU3010" s="4"/>
      <c r="AV3010" s="4"/>
      <c r="AW3010" s="4"/>
      <c r="AX3010" s="4"/>
      <c r="AY3010" s="4"/>
      <c r="AZ3010" s="4"/>
      <c r="BA3010" s="4"/>
      <c r="BB3010" s="4"/>
      <c r="BC3010" s="4"/>
      <c r="BD3010" s="4"/>
      <c r="BE3010" s="4"/>
      <c r="BF3010" s="4"/>
      <c r="BG3010" s="4"/>
      <c r="BH3010" s="4"/>
      <c r="BI3010" s="4"/>
      <c r="BJ3010" s="4"/>
      <c r="BK3010" s="4"/>
      <c r="BL3010" s="4"/>
      <c r="BM3010" s="4"/>
      <c r="BN3010" s="4"/>
      <c r="BO3010" s="4"/>
      <c r="BP3010" s="4"/>
      <c r="BQ3010" s="4"/>
      <c r="BR3010" s="4"/>
      <c r="BS3010" s="4"/>
      <c r="BT3010" s="4"/>
      <c r="BU3010" s="4"/>
    </row>
    <row r="3011" spans="29:73" s="1" customFormat="1" x14ac:dyDescent="0.25">
      <c r="AC3011" s="4"/>
      <c r="AD3011" s="4"/>
      <c r="AE3011" s="4"/>
      <c r="AF3011" s="4"/>
      <c r="AG3011" s="4"/>
      <c r="AH3011" s="4"/>
      <c r="AI3011" s="4"/>
      <c r="AJ3011" s="4"/>
      <c r="AK3011" s="4"/>
      <c r="AL3011" s="4"/>
      <c r="AM3011" s="4"/>
      <c r="AN3011" s="4"/>
      <c r="AO3011" s="4"/>
      <c r="AP3011" s="4"/>
      <c r="AQ3011" s="4"/>
      <c r="AR3011" s="4"/>
      <c r="AS3011" s="4"/>
      <c r="AT3011" s="4"/>
      <c r="AU3011" s="4"/>
      <c r="AV3011" s="4"/>
      <c r="AW3011" s="4"/>
      <c r="AX3011" s="4"/>
      <c r="AY3011" s="4"/>
      <c r="AZ3011" s="4"/>
      <c r="BA3011" s="4"/>
      <c r="BB3011" s="4"/>
      <c r="BC3011" s="4"/>
      <c r="BD3011" s="4"/>
      <c r="BE3011" s="4"/>
      <c r="BF3011" s="4"/>
      <c r="BG3011" s="4"/>
      <c r="BH3011" s="4"/>
      <c r="BI3011" s="4"/>
      <c r="BJ3011" s="4"/>
      <c r="BK3011" s="4"/>
      <c r="BL3011" s="4"/>
      <c r="BM3011" s="4"/>
      <c r="BN3011" s="4"/>
      <c r="BO3011" s="4"/>
      <c r="BP3011" s="4"/>
      <c r="BQ3011" s="4"/>
      <c r="BR3011" s="4"/>
      <c r="BS3011" s="4"/>
      <c r="BT3011" s="4"/>
      <c r="BU3011" s="4"/>
    </row>
    <row r="3012" spans="29:73" s="1" customFormat="1" x14ac:dyDescent="0.25">
      <c r="AC3012" s="4"/>
      <c r="AD3012" s="4"/>
      <c r="AE3012" s="4"/>
      <c r="AF3012" s="4"/>
      <c r="AG3012" s="4"/>
      <c r="AH3012" s="4"/>
      <c r="AI3012" s="4"/>
      <c r="AJ3012" s="4"/>
      <c r="AK3012" s="4"/>
      <c r="AL3012" s="4"/>
      <c r="AM3012" s="4"/>
      <c r="AN3012" s="4"/>
      <c r="AO3012" s="4"/>
      <c r="AP3012" s="4"/>
      <c r="AQ3012" s="4"/>
      <c r="AR3012" s="4"/>
      <c r="AS3012" s="4"/>
      <c r="AT3012" s="4"/>
      <c r="AU3012" s="4"/>
      <c r="AV3012" s="4"/>
      <c r="AW3012" s="4"/>
      <c r="AX3012" s="4"/>
      <c r="AY3012" s="4"/>
      <c r="AZ3012" s="4"/>
      <c r="BA3012" s="4"/>
      <c r="BB3012" s="4"/>
      <c r="BC3012" s="4"/>
      <c r="BD3012" s="4"/>
      <c r="BE3012" s="4"/>
      <c r="BF3012" s="4"/>
      <c r="BG3012" s="4"/>
      <c r="BH3012" s="4"/>
      <c r="BI3012" s="4"/>
      <c r="BJ3012" s="4"/>
      <c r="BK3012" s="4"/>
      <c r="BL3012" s="4"/>
      <c r="BM3012" s="4"/>
      <c r="BN3012" s="4"/>
      <c r="BO3012" s="4"/>
      <c r="BP3012" s="4"/>
      <c r="BQ3012" s="4"/>
      <c r="BR3012" s="4"/>
      <c r="BS3012" s="4"/>
      <c r="BT3012" s="4"/>
      <c r="BU3012" s="4"/>
    </row>
    <row r="3013" spans="29:73" s="1" customFormat="1" x14ac:dyDescent="0.25">
      <c r="AC3013" s="4"/>
      <c r="AD3013" s="4"/>
      <c r="AE3013" s="4"/>
      <c r="AF3013" s="4"/>
      <c r="AG3013" s="4"/>
      <c r="AH3013" s="4"/>
      <c r="AI3013" s="4"/>
      <c r="AJ3013" s="4"/>
      <c r="AK3013" s="4"/>
      <c r="AL3013" s="4"/>
      <c r="AM3013" s="4"/>
      <c r="AN3013" s="4"/>
      <c r="AO3013" s="4"/>
      <c r="AP3013" s="4"/>
      <c r="AQ3013" s="4"/>
      <c r="AR3013" s="4"/>
      <c r="AS3013" s="4"/>
      <c r="AT3013" s="4"/>
      <c r="AU3013" s="4"/>
      <c r="AV3013" s="4"/>
      <c r="AW3013" s="4"/>
      <c r="AX3013" s="4"/>
      <c r="AY3013" s="4"/>
      <c r="AZ3013" s="4"/>
      <c r="BA3013" s="4"/>
      <c r="BB3013" s="4"/>
      <c r="BC3013" s="4"/>
      <c r="BD3013" s="4"/>
      <c r="BE3013" s="4"/>
      <c r="BF3013" s="4"/>
      <c r="BG3013" s="4"/>
      <c r="BH3013" s="4"/>
      <c r="BI3013" s="4"/>
      <c r="BJ3013" s="4"/>
      <c r="BK3013" s="4"/>
      <c r="BL3013" s="4"/>
      <c r="BM3013" s="4"/>
      <c r="BN3013" s="4"/>
      <c r="BO3013" s="4"/>
      <c r="BP3013" s="4"/>
      <c r="BQ3013" s="4"/>
      <c r="BR3013" s="4"/>
      <c r="BS3013" s="4"/>
      <c r="BT3013" s="4"/>
      <c r="BU3013" s="4"/>
    </row>
    <row r="3014" spans="29:73" s="1" customFormat="1" x14ac:dyDescent="0.25">
      <c r="AC3014" s="4"/>
      <c r="AD3014" s="4"/>
      <c r="AE3014" s="4"/>
      <c r="AF3014" s="4"/>
      <c r="AG3014" s="4"/>
      <c r="AH3014" s="4"/>
      <c r="AI3014" s="4"/>
      <c r="AJ3014" s="4"/>
      <c r="AK3014" s="4"/>
      <c r="AL3014" s="4"/>
      <c r="AM3014" s="4"/>
      <c r="AN3014" s="4"/>
      <c r="AO3014" s="4"/>
      <c r="AP3014" s="4"/>
      <c r="AQ3014" s="4"/>
      <c r="AR3014" s="4"/>
      <c r="AS3014" s="4"/>
      <c r="AT3014" s="4"/>
      <c r="AU3014" s="4"/>
      <c r="AV3014" s="4"/>
      <c r="AW3014" s="4"/>
      <c r="AX3014" s="4"/>
      <c r="AY3014" s="4"/>
      <c r="AZ3014" s="4"/>
      <c r="BA3014" s="4"/>
      <c r="BB3014" s="4"/>
      <c r="BC3014" s="4"/>
      <c r="BD3014" s="4"/>
      <c r="BE3014" s="4"/>
      <c r="BF3014" s="4"/>
      <c r="BG3014" s="4"/>
      <c r="BH3014" s="4"/>
      <c r="BI3014" s="4"/>
      <c r="BJ3014" s="4"/>
      <c r="BK3014" s="4"/>
      <c r="BL3014" s="4"/>
      <c r="BM3014" s="4"/>
      <c r="BN3014" s="4"/>
      <c r="BO3014" s="4"/>
      <c r="BP3014" s="4"/>
      <c r="BQ3014" s="4"/>
      <c r="BR3014" s="4"/>
      <c r="BS3014" s="4"/>
      <c r="BT3014" s="4"/>
      <c r="BU3014" s="4"/>
    </row>
    <row r="3015" spans="29:73" s="1" customFormat="1" x14ac:dyDescent="0.25">
      <c r="AC3015" s="4"/>
      <c r="AD3015" s="4"/>
      <c r="AE3015" s="4"/>
      <c r="AF3015" s="4"/>
      <c r="AG3015" s="4"/>
      <c r="AH3015" s="4"/>
      <c r="AI3015" s="4"/>
      <c r="AJ3015" s="4"/>
      <c r="AK3015" s="4"/>
      <c r="AL3015" s="4"/>
      <c r="AM3015" s="4"/>
      <c r="AN3015" s="4"/>
      <c r="AO3015" s="4"/>
      <c r="AP3015" s="4"/>
      <c r="AQ3015" s="4"/>
      <c r="AR3015" s="4"/>
      <c r="AS3015" s="4"/>
      <c r="AT3015" s="4"/>
      <c r="AU3015" s="4"/>
      <c r="AV3015" s="4"/>
      <c r="AW3015" s="4"/>
      <c r="AX3015" s="4"/>
      <c r="AY3015" s="4"/>
      <c r="AZ3015" s="4"/>
      <c r="BA3015" s="4"/>
      <c r="BB3015" s="4"/>
      <c r="BC3015" s="4"/>
      <c r="BD3015" s="4"/>
      <c r="BE3015" s="4"/>
      <c r="BF3015" s="4"/>
      <c r="BG3015" s="4"/>
      <c r="BH3015" s="4"/>
      <c r="BI3015" s="4"/>
      <c r="BJ3015" s="4"/>
      <c r="BK3015" s="4"/>
      <c r="BL3015" s="4"/>
      <c r="BM3015" s="4"/>
      <c r="BN3015" s="4"/>
      <c r="BO3015" s="4"/>
      <c r="BP3015" s="4"/>
      <c r="BQ3015" s="4"/>
      <c r="BR3015" s="4"/>
      <c r="BS3015" s="4"/>
      <c r="BT3015" s="4"/>
      <c r="BU3015" s="4"/>
    </row>
    <row r="3016" spans="29:73" s="1" customFormat="1" x14ac:dyDescent="0.25">
      <c r="AC3016" s="4"/>
      <c r="AD3016" s="4"/>
      <c r="AE3016" s="4"/>
      <c r="AF3016" s="4"/>
      <c r="AG3016" s="4"/>
      <c r="AH3016" s="4"/>
      <c r="AI3016" s="4"/>
      <c r="AJ3016" s="4"/>
      <c r="AK3016" s="4"/>
      <c r="AL3016" s="4"/>
      <c r="AM3016" s="4"/>
      <c r="AN3016" s="4"/>
      <c r="AO3016" s="4"/>
      <c r="AP3016" s="4"/>
      <c r="AQ3016" s="4"/>
      <c r="AR3016" s="4"/>
      <c r="AS3016" s="4"/>
      <c r="AT3016" s="4"/>
      <c r="AU3016" s="4"/>
      <c r="AV3016" s="4"/>
      <c r="AW3016" s="4"/>
      <c r="AX3016" s="4"/>
      <c r="AY3016" s="4"/>
      <c r="AZ3016" s="4"/>
      <c r="BA3016" s="4"/>
      <c r="BB3016" s="4"/>
      <c r="BC3016" s="4"/>
      <c r="BD3016" s="4"/>
      <c r="BE3016" s="4"/>
      <c r="BF3016" s="4"/>
      <c r="BG3016" s="4"/>
      <c r="BH3016" s="4"/>
      <c r="BI3016" s="4"/>
      <c r="BJ3016" s="4"/>
      <c r="BK3016" s="4"/>
      <c r="BL3016" s="4"/>
      <c r="BM3016" s="4"/>
      <c r="BN3016" s="4"/>
      <c r="BO3016" s="4"/>
      <c r="BP3016" s="4"/>
      <c r="BQ3016" s="4"/>
      <c r="BR3016" s="4"/>
      <c r="BS3016" s="4"/>
      <c r="BT3016" s="4"/>
      <c r="BU3016" s="4"/>
    </row>
    <row r="3017" spans="29:73" s="1" customFormat="1" x14ac:dyDescent="0.25">
      <c r="AC3017" s="4"/>
      <c r="AD3017" s="4"/>
      <c r="AE3017" s="4"/>
      <c r="AF3017" s="4"/>
      <c r="AG3017" s="4"/>
      <c r="AH3017" s="4"/>
      <c r="AI3017" s="4"/>
      <c r="AJ3017" s="4"/>
      <c r="AK3017" s="4"/>
      <c r="AL3017" s="4"/>
      <c r="AM3017" s="4"/>
      <c r="AN3017" s="4"/>
      <c r="AO3017" s="4"/>
      <c r="AP3017" s="4"/>
      <c r="AQ3017" s="4"/>
      <c r="AR3017" s="4"/>
      <c r="AS3017" s="4"/>
      <c r="AT3017" s="4"/>
      <c r="AU3017" s="4"/>
      <c r="AV3017" s="4"/>
      <c r="AW3017" s="4"/>
      <c r="AX3017" s="4"/>
      <c r="AY3017" s="4"/>
      <c r="AZ3017" s="4"/>
      <c r="BA3017" s="4"/>
      <c r="BB3017" s="4"/>
      <c r="BC3017" s="4"/>
      <c r="BD3017" s="4"/>
      <c r="BE3017" s="4"/>
      <c r="BF3017" s="4"/>
      <c r="BG3017" s="4"/>
      <c r="BH3017" s="4"/>
      <c r="BI3017" s="4"/>
      <c r="BJ3017" s="4"/>
      <c r="BK3017" s="4"/>
      <c r="BL3017" s="4"/>
      <c r="BM3017" s="4"/>
      <c r="BN3017" s="4"/>
      <c r="BO3017" s="4"/>
      <c r="BP3017" s="4"/>
      <c r="BQ3017" s="4"/>
      <c r="BR3017" s="4"/>
      <c r="BS3017" s="4"/>
      <c r="BT3017" s="4"/>
      <c r="BU3017" s="4"/>
    </row>
    <row r="3018" spans="29:73" s="1" customFormat="1" x14ac:dyDescent="0.25">
      <c r="AC3018" s="4"/>
      <c r="AD3018" s="4"/>
      <c r="AE3018" s="4"/>
      <c r="AF3018" s="4"/>
      <c r="AG3018" s="4"/>
      <c r="AH3018" s="4"/>
      <c r="AI3018" s="4"/>
      <c r="AJ3018" s="4"/>
      <c r="AK3018" s="4"/>
      <c r="AL3018" s="4"/>
      <c r="AM3018" s="4"/>
      <c r="AN3018" s="4"/>
      <c r="AO3018" s="4"/>
      <c r="AP3018" s="4"/>
      <c r="AQ3018" s="4"/>
      <c r="AR3018" s="4"/>
      <c r="AS3018" s="4"/>
      <c r="AT3018" s="4"/>
      <c r="AU3018" s="4"/>
      <c r="AV3018" s="4"/>
      <c r="AW3018" s="4"/>
      <c r="AX3018" s="4"/>
      <c r="AY3018" s="4"/>
      <c r="AZ3018" s="4"/>
      <c r="BA3018" s="4"/>
      <c r="BB3018" s="4"/>
      <c r="BC3018" s="4"/>
      <c r="BD3018" s="4"/>
      <c r="BE3018" s="4"/>
      <c r="BF3018" s="4"/>
      <c r="BG3018" s="4"/>
      <c r="BH3018" s="4"/>
      <c r="BI3018" s="4"/>
      <c r="BJ3018" s="4"/>
      <c r="BK3018" s="4"/>
      <c r="BL3018" s="4"/>
      <c r="BM3018" s="4"/>
      <c r="BN3018" s="4"/>
      <c r="BO3018" s="4"/>
      <c r="BP3018" s="4"/>
      <c r="BQ3018" s="4"/>
      <c r="BR3018" s="4"/>
      <c r="BS3018" s="4"/>
      <c r="BT3018" s="4"/>
      <c r="BU3018" s="4"/>
    </row>
    <row r="3019" spans="29:73" s="1" customFormat="1" x14ac:dyDescent="0.25">
      <c r="AC3019" s="4"/>
      <c r="AD3019" s="4"/>
      <c r="AE3019" s="4"/>
      <c r="AF3019" s="4"/>
      <c r="AG3019" s="4"/>
      <c r="AH3019" s="4"/>
      <c r="AI3019" s="4"/>
      <c r="AJ3019" s="4"/>
      <c r="AK3019" s="4"/>
      <c r="AL3019" s="4"/>
      <c r="AM3019" s="4"/>
      <c r="AN3019" s="4"/>
      <c r="AO3019" s="4"/>
      <c r="AP3019" s="4"/>
      <c r="AQ3019" s="4"/>
      <c r="AR3019" s="4"/>
      <c r="AS3019" s="4"/>
      <c r="AT3019" s="4"/>
      <c r="AU3019" s="4"/>
      <c r="AV3019" s="4"/>
      <c r="AW3019" s="4"/>
      <c r="AX3019" s="4"/>
      <c r="AY3019" s="4"/>
      <c r="AZ3019" s="4"/>
      <c r="BA3019" s="4"/>
      <c r="BB3019" s="4"/>
      <c r="BC3019" s="4"/>
      <c r="BD3019" s="4"/>
      <c r="BE3019" s="4"/>
      <c r="BF3019" s="4"/>
      <c r="BG3019" s="4"/>
      <c r="BH3019" s="4"/>
      <c r="BI3019" s="4"/>
      <c r="BJ3019" s="4"/>
      <c r="BK3019" s="4"/>
      <c r="BL3019" s="4"/>
      <c r="BM3019" s="4"/>
      <c r="BN3019" s="4"/>
      <c r="BO3019" s="4"/>
      <c r="BP3019" s="4"/>
      <c r="BQ3019" s="4"/>
      <c r="BR3019" s="4"/>
      <c r="BS3019" s="4"/>
      <c r="BT3019" s="4"/>
      <c r="BU3019" s="4"/>
    </row>
    <row r="3020" spans="29:73" s="1" customFormat="1" x14ac:dyDescent="0.25">
      <c r="AC3020" s="4"/>
      <c r="AD3020" s="4"/>
      <c r="AE3020" s="4"/>
      <c r="AF3020" s="4"/>
      <c r="AG3020" s="4"/>
      <c r="AH3020" s="4"/>
      <c r="AI3020" s="4"/>
      <c r="AJ3020" s="4"/>
      <c r="AK3020" s="4"/>
      <c r="AL3020" s="4"/>
      <c r="AM3020" s="4"/>
      <c r="AN3020" s="4"/>
      <c r="AO3020" s="4"/>
      <c r="AP3020" s="4"/>
      <c r="AQ3020" s="4"/>
      <c r="AR3020" s="4"/>
      <c r="AS3020" s="4"/>
      <c r="AT3020" s="4"/>
      <c r="AU3020" s="4"/>
      <c r="AV3020" s="4"/>
      <c r="AW3020" s="4"/>
      <c r="AX3020" s="4"/>
      <c r="AY3020" s="4"/>
      <c r="AZ3020" s="4"/>
      <c r="BA3020" s="4"/>
      <c r="BB3020" s="4"/>
      <c r="BC3020" s="4"/>
      <c r="BD3020" s="4"/>
      <c r="BE3020" s="4"/>
      <c r="BF3020" s="4"/>
      <c r="BG3020" s="4"/>
      <c r="BH3020" s="4"/>
      <c r="BI3020" s="4"/>
      <c r="BJ3020" s="4"/>
      <c r="BK3020" s="4"/>
      <c r="BL3020" s="4"/>
      <c r="BM3020" s="4"/>
      <c r="BN3020" s="4"/>
      <c r="BO3020" s="4"/>
      <c r="BP3020" s="4"/>
      <c r="BQ3020" s="4"/>
      <c r="BR3020" s="4"/>
      <c r="BS3020" s="4"/>
      <c r="BT3020" s="4"/>
      <c r="BU3020" s="4"/>
    </row>
    <row r="3021" spans="29:73" s="1" customFormat="1" x14ac:dyDescent="0.25">
      <c r="AC3021" s="4"/>
      <c r="AD3021" s="4"/>
      <c r="AE3021" s="4"/>
      <c r="AF3021" s="4"/>
      <c r="AG3021" s="4"/>
      <c r="AH3021" s="4"/>
      <c r="AI3021" s="4"/>
      <c r="AJ3021" s="4"/>
      <c r="AK3021" s="4"/>
      <c r="AL3021" s="4"/>
      <c r="AM3021" s="4"/>
      <c r="AN3021" s="4"/>
      <c r="AO3021" s="4"/>
      <c r="AP3021" s="4"/>
      <c r="AQ3021" s="4"/>
      <c r="AR3021" s="4"/>
      <c r="AS3021" s="4"/>
      <c r="AT3021" s="4"/>
      <c r="AU3021" s="4"/>
      <c r="AV3021" s="4"/>
      <c r="AW3021" s="4"/>
      <c r="AX3021" s="4"/>
      <c r="AY3021" s="4"/>
      <c r="AZ3021" s="4"/>
      <c r="BA3021" s="4"/>
      <c r="BB3021" s="4"/>
      <c r="BC3021" s="4"/>
      <c r="BD3021" s="4"/>
      <c r="BE3021" s="4"/>
      <c r="BF3021" s="4"/>
      <c r="BG3021" s="4"/>
      <c r="BH3021" s="4"/>
      <c r="BI3021" s="4"/>
      <c r="BJ3021" s="4"/>
      <c r="BK3021" s="4"/>
      <c r="BL3021" s="4"/>
      <c r="BM3021" s="4"/>
      <c r="BN3021" s="4"/>
      <c r="BO3021" s="4"/>
      <c r="BP3021" s="4"/>
      <c r="BQ3021" s="4"/>
      <c r="BR3021" s="4"/>
      <c r="BS3021" s="4"/>
      <c r="BT3021" s="4"/>
      <c r="BU3021" s="4"/>
    </row>
    <row r="3022" spans="29:73" s="1" customFormat="1" x14ac:dyDescent="0.25">
      <c r="AC3022" s="4"/>
      <c r="AD3022" s="4"/>
      <c r="AE3022" s="4"/>
      <c r="AF3022" s="4"/>
      <c r="AG3022" s="4"/>
      <c r="AH3022" s="4"/>
      <c r="AI3022" s="4"/>
      <c r="AJ3022" s="4"/>
      <c r="AK3022" s="4"/>
      <c r="AL3022" s="4"/>
      <c r="AM3022" s="4"/>
      <c r="AN3022" s="4"/>
      <c r="AO3022" s="4"/>
      <c r="AP3022" s="4"/>
      <c r="AQ3022" s="4"/>
      <c r="AR3022" s="4"/>
      <c r="AS3022" s="4"/>
      <c r="AT3022" s="4"/>
      <c r="AU3022" s="4"/>
      <c r="AV3022" s="4"/>
      <c r="AW3022" s="4"/>
      <c r="AX3022" s="4"/>
      <c r="AY3022" s="4"/>
      <c r="AZ3022" s="4"/>
      <c r="BA3022" s="4"/>
      <c r="BB3022" s="4"/>
      <c r="BC3022" s="4"/>
      <c r="BD3022" s="4"/>
      <c r="BE3022" s="4"/>
      <c r="BF3022" s="4"/>
      <c r="BG3022" s="4"/>
      <c r="BH3022" s="4"/>
      <c r="BI3022" s="4"/>
      <c r="BJ3022" s="4"/>
      <c r="BK3022" s="4"/>
      <c r="BL3022" s="4"/>
      <c r="BM3022" s="4"/>
      <c r="BN3022" s="4"/>
      <c r="BO3022" s="4"/>
      <c r="BP3022" s="4"/>
      <c r="BQ3022" s="4"/>
      <c r="BR3022" s="4"/>
      <c r="BS3022" s="4"/>
      <c r="BT3022" s="4"/>
      <c r="BU3022" s="4"/>
    </row>
    <row r="3023" spans="29:73" s="1" customFormat="1" x14ac:dyDescent="0.25">
      <c r="AC3023" s="4"/>
      <c r="AD3023" s="4"/>
      <c r="AE3023" s="4"/>
      <c r="AF3023" s="4"/>
      <c r="AG3023" s="4"/>
      <c r="AH3023" s="4"/>
      <c r="AI3023" s="4"/>
      <c r="AJ3023" s="4"/>
      <c r="AK3023" s="4"/>
      <c r="AL3023" s="4"/>
      <c r="AM3023" s="4"/>
      <c r="AN3023" s="4"/>
      <c r="AO3023" s="4"/>
      <c r="AP3023" s="4"/>
      <c r="AQ3023" s="4"/>
      <c r="AR3023" s="4"/>
      <c r="AS3023" s="4"/>
      <c r="AT3023" s="4"/>
      <c r="AU3023" s="4"/>
      <c r="AV3023" s="4"/>
      <c r="AW3023" s="4"/>
      <c r="AX3023" s="4"/>
      <c r="AY3023" s="4"/>
      <c r="AZ3023" s="4"/>
      <c r="BA3023" s="4"/>
      <c r="BB3023" s="4"/>
      <c r="BC3023" s="4"/>
      <c r="BD3023" s="4"/>
      <c r="BE3023" s="4"/>
      <c r="BF3023" s="4"/>
      <c r="BG3023" s="4"/>
      <c r="BH3023" s="4"/>
      <c r="BI3023" s="4"/>
      <c r="BJ3023" s="4"/>
      <c r="BK3023" s="4"/>
      <c r="BL3023" s="4"/>
      <c r="BM3023" s="4"/>
      <c r="BN3023" s="4"/>
      <c r="BO3023" s="4"/>
      <c r="BP3023" s="4"/>
      <c r="BQ3023" s="4"/>
      <c r="BR3023" s="4"/>
      <c r="BS3023" s="4"/>
      <c r="BT3023" s="4"/>
      <c r="BU3023" s="4"/>
    </row>
    <row r="3024" spans="29:73" s="1" customFormat="1" x14ac:dyDescent="0.25">
      <c r="AC3024" s="4"/>
      <c r="AD3024" s="4"/>
      <c r="AE3024" s="4"/>
      <c r="AF3024" s="4"/>
      <c r="AG3024" s="4"/>
      <c r="AH3024" s="4"/>
      <c r="AI3024" s="4"/>
      <c r="AJ3024" s="4"/>
      <c r="AK3024" s="4"/>
      <c r="AL3024" s="4"/>
      <c r="AM3024" s="4"/>
      <c r="AN3024" s="4"/>
      <c r="AO3024" s="4"/>
      <c r="AP3024" s="4"/>
      <c r="AQ3024" s="4"/>
      <c r="AR3024" s="4"/>
      <c r="AS3024" s="4"/>
      <c r="AT3024" s="4"/>
      <c r="AU3024" s="4"/>
      <c r="AV3024" s="4"/>
      <c r="AW3024" s="4"/>
      <c r="AX3024" s="4"/>
      <c r="AY3024" s="4"/>
      <c r="AZ3024" s="4"/>
      <c r="BA3024" s="4"/>
      <c r="BB3024" s="4"/>
      <c r="BC3024" s="4"/>
      <c r="BD3024" s="4"/>
      <c r="BE3024" s="4"/>
      <c r="BF3024" s="4"/>
      <c r="BG3024" s="4"/>
      <c r="BH3024" s="4"/>
      <c r="BI3024" s="4"/>
      <c r="BJ3024" s="4"/>
      <c r="BK3024" s="4"/>
      <c r="BL3024" s="4"/>
      <c r="BM3024" s="4"/>
      <c r="BN3024" s="4"/>
      <c r="BO3024" s="4"/>
      <c r="BP3024" s="4"/>
      <c r="BQ3024" s="4"/>
      <c r="BR3024" s="4"/>
      <c r="BS3024" s="4"/>
      <c r="BT3024" s="4"/>
      <c r="BU3024" s="4"/>
    </row>
    <row r="3025" spans="29:73" s="1" customFormat="1" x14ac:dyDescent="0.25">
      <c r="AC3025" s="4"/>
      <c r="AD3025" s="4"/>
      <c r="AE3025" s="4"/>
      <c r="AF3025" s="4"/>
      <c r="AG3025" s="4"/>
      <c r="AH3025" s="4"/>
      <c r="AI3025" s="4"/>
      <c r="AJ3025" s="4"/>
      <c r="AK3025" s="4"/>
      <c r="AL3025" s="4"/>
      <c r="AM3025" s="4"/>
      <c r="AN3025" s="4"/>
      <c r="AO3025" s="4"/>
      <c r="AP3025" s="4"/>
      <c r="AQ3025" s="4"/>
      <c r="AR3025" s="4"/>
      <c r="AS3025" s="4"/>
      <c r="AT3025" s="4"/>
      <c r="AU3025" s="4"/>
      <c r="AV3025" s="4"/>
      <c r="AW3025" s="4"/>
      <c r="AX3025" s="4"/>
      <c r="AY3025" s="4"/>
      <c r="AZ3025" s="4"/>
      <c r="BA3025" s="4"/>
      <c r="BB3025" s="4"/>
      <c r="BC3025" s="4"/>
      <c r="BD3025" s="4"/>
      <c r="BE3025" s="4"/>
      <c r="BF3025" s="4"/>
      <c r="BG3025" s="4"/>
      <c r="BH3025" s="4"/>
      <c r="BI3025" s="4"/>
      <c r="BJ3025" s="4"/>
      <c r="BK3025" s="4"/>
      <c r="BL3025" s="4"/>
      <c r="BM3025" s="4"/>
      <c r="BN3025" s="4"/>
      <c r="BO3025" s="4"/>
      <c r="BP3025" s="4"/>
      <c r="BQ3025" s="4"/>
      <c r="BR3025" s="4"/>
      <c r="BS3025" s="4"/>
      <c r="BT3025" s="4"/>
      <c r="BU3025" s="4"/>
    </row>
    <row r="3026" spans="29:73" s="1" customFormat="1" x14ac:dyDescent="0.25">
      <c r="AC3026" s="4"/>
      <c r="AD3026" s="4"/>
      <c r="AE3026" s="4"/>
      <c r="AF3026" s="4"/>
      <c r="AG3026" s="4"/>
      <c r="AH3026" s="4"/>
      <c r="AI3026" s="4"/>
      <c r="AJ3026" s="4"/>
      <c r="AK3026" s="4"/>
      <c r="AL3026" s="4"/>
      <c r="AM3026" s="4"/>
      <c r="AN3026" s="4"/>
      <c r="AO3026" s="4"/>
      <c r="AP3026" s="4"/>
      <c r="AQ3026" s="4"/>
      <c r="AR3026" s="4"/>
      <c r="AS3026" s="4"/>
      <c r="AT3026" s="4"/>
      <c r="AU3026" s="4"/>
      <c r="AV3026" s="4"/>
      <c r="AW3026" s="4"/>
      <c r="AX3026" s="4"/>
      <c r="AY3026" s="4"/>
      <c r="AZ3026" s="4"/>
      <c r="BA3026" s="4"/>
      <c r="BB3026" s="4"/>
      <c r="BC3026" s="4"/>
      <c r="BD3026" s="4"/>
      <c r="BE3026" s="4"/>
      <c r="BF3026" s="4"/>
      <c r="BG3026" s="4"/>
      <c r="BH3026" s="4"/>
      <c r="BI3026" s="4"/>
      <c r="BJ3026" s="4"/>
      <c r="BK3026" s="4"/>
      <c r="BL3026" s="4"/>
      <c r="BM3026" s="4"/>
      <c r="BN3026" s="4"/>
      <c r="BO3026" s="4"/>
      <c r="BP3026" s="4"/>
      <c r="BQ3026" s="4"/>
      <c r="BR3026" s="4"/>
      <c r="BS3026" s="4"/>
      <c r="BT3026" s="4"/>
      <c r="BU3026" s="4"/>
    </row>
    <row r="3027" spans="29:73" s="1" customFormat="1" x14ac:dyDescent="0.25">
      <c r="AC3027" s="4"/>
      <c r="AD3027" s="4"/>
      <c r="AE3027" s="4"/>
      <c r="AF3027" s="4"/>
      <c r="AG3027" s="4"/>
      <c r="AH3027" s="4"/>
      <c r="AI3027" s="4"/>
      <c r="AJ3027" s="4"/>
      <c r="AK3027" s="4"/>
      <c r="AL3027" s="4"/>
      <c r="AM3027" s="4"/>
      <c r="AN3027" s="4"/>
      <c r="AO3027" s="4"/>
      <c r="AP3027" s="4"/>
      <c r="AQ3027" s="4"/>
      <c r="AR3027" s="4"/>
      <c r="AS3027" s="4"/>
      <c r="AT3027" s="4"/>
      <c r="AU3027" s="4"/>
      <c r="AV3027" s="4"/>
      <c r="AW3027" s="4"/>
      <c r="AX3027" s="4"/>
      <c r="AY3027" s="4"/>
      <c r="AZ3027" s="4"/>
      <c r="BA3027" s="4"/>
      <c r="BB3027" s="4"/>
      <c r="BC3027" s="4"/>
      <c r="BD3027" s="4"/>
      <c r="BE3027" s="4"/>
      <c r="BF3027" s="4"/>
      <c r="BG3027" s="4"/>
      <c r="BH3027" s="4"/>
      <c r="BI3027" s="4"/>
      <c r="BJ3027" s="4"/>
      <c r="BK3027" s="4"/>
      <c r="BL3027" s="4"/>
      <c r="BM3027" s="4"/>
      <c r="BN3027" s="4"/>
      <c r="BO3027" s="4"/>
      <c r="BP3027" s="4"/>
      <c r="BQ3027" s="4"/>
      <c r="BR3027" s="4"/>
      <c r="BS3027" s="4"/>
      <c r="BT3027" s="4"/>
      <c r="BU3027" s="4"/>
    </row>
    <row r="3028" spans="29:73" s="1" customFormat="1" x14ac:dyDescent="0.25">
      <c r="AC3028" s="4"/>
      <c r="AD3028" s="4"/>
      <c r="AE3028" s="4"/>
      <c r="AF3028" s="4"/>
      <c r="AG3028" s="4"/>
      <c r="AH3028" s="4"/>
      <c r="AI3028" s="4"/>
      <c r="AJ3028" s="4"/>
      <c r="AK3028" s="4"/>
      <c r="AL3028" s="4"/>
      <c r="AM3028" s="4"/>
      <c r="AN3028" s="4"/>
      <c r="AO3028" s="4"/>
      <c r="AP3028" s="4"/>
      <c r="AQ3028" s="4"/>
      <c r="AR3028" s="4"/>
      <c r="AS3028" s="4"/>
      <c r="AT3028" s="4"/>
      <c r="AU3028" s="4"/>
      <c r="AV3028" s="4"/>
      <c r="AW3028" s="4"/>
      <c r="AX3028" s="4"/>
      <c r="AY3028" s="4"/>
      <c r="AZ3028" s="4"/>
      <c r="BA3028" s="4"/>
      <c r="BB3028" s="4"/>
      <c r="BC3028" s="4"/>
      <c r="BD3028" s="4"/>
      <c r="BE3028" s="4"/>
      <c r="BF3028" s="4"/>
      <c r="BG3028" s="4"/>
      <c r="BH3028" s="4"/>
      <c r="BI3028" s="4"/>
      <c r="BJ3028" s="4"/>
      <c r="BK3028" s="4"/>
      <c r="BL3028" s="4"/>
      <c r="BM3028" s="4"/>
      <c r="BN3028" s="4"/>
      <c r="BO3028" s="4"/>
      <c r="BP3028" s="4"/>
      <c r="BQ3028" s="4"/>
      <c r="BR3028" s="4"/>
      <c r="BS3028" s="4"/>
      <c r="BT3028" s="4"/>
      <c r="BU3028" s="4"/>
    </row>
    <row r="3029" spans="29:73" s="1" customFormat="1" x14ac:dyDescent="0.25">
      <c r="AC3029" s="4"/>
      <c r="AD3029" s="4"/>
      <c r="AE3029" s="4"/>
      <c r="AF3029" s="4"/>
      <c r="AG3029" s="4"/>
      <c r="AH3029" s="4"/>
      <c r="AI3029" s="4"/>
      <c r="AJ3029" s="4"/>
      <c r="AK3029" s="4"/>
      <c r="AL3029" s="4"/>
      <c r="AM3029" s="4"/>
      <c r="AN3029" s="4"/>
      <c r="AO3029" s="4"/>
      <c r="AP3029" s="4"/>
      <c r="AQ3029" s="4"/>
      <c r="AR3029" s="4"/>
      <c r="AS3029" s="4"/>
      <c r="AT3029" s="4"/>
      <c r="AU3029" s="4"/>
      <c r="AV3029" s="4"/>
      <c r="AW3029" s="4"/>
      <c r="AX3029" s="4"/>
      <c r="AY3029" s="4"/>
      <c r="AZ3029" s="4"/>
      <c r="BA3029" s="4"/>
      <c r="BB3029" s="4"/>
      <c r="BC3029" s="4"/>
      <c r="BD3029" s="4"/>
      <c r="BE3029" s="4"/>
      <c r="BF3029" s="4"/>
      <c r="BG3029" s="4"/>
      <c r="BH3029" s="4"/>
      <c r="BI3029" s="4"/>
      <c r="BJ3029" s="4"/>
      <c r="BK3029" s="4"/>
      <c r="BL3029" s="4"/>
      <c r="BM3029" s="4"/>
      <c r="BN3029" s="4"/>
      <c r="BO3029" s="4"/>
      <c r="BP3029" s="4"/>
      <c r="BQ3029" s="4"/>
      <c r="BR3029" s="4"/>
      <c r="BS3029" s="4"/>
      <c r="BT3029" s="4"/>
      <c r="BU3029" s="4"/>
    </row>
    <row r="3030" spans="29:73" s="1" customFormat="1" x14ac:dyDescent="0.25">
      <c r="AC3030" s="4"/>
      <c r="AD3030" s="4"/>
      <c r="AE3030" s="4"/>
      <c r="AF3030" s="4"/>
      <c r="AG3030" s="4"/>
      <c r="AH3030" s="4"/>
      <c r="AI3030" s="4"/>
      <c r="AJ3030" s="4"/>
      <c r="AK3030" s="4"/>
      <c r="AL3030" s="4"/>
      <c r="AM3030" s="4"/>
      <c r="AN3030" s="4"/>
      <c r="AO3030" s="4"/>
      <c r="AP3030" s="4"/>
      <c r="AQ3030" s="4"/>
      <c r="AR3030" s="4"/>
      <c r="AS3030" s="4"/>
      <c r="AT3030" s="4"/>
      <c r="AU3030" s="4"/>
      <c r="AV3030" s="4"/>
      <c r="AW3030" s="4"/>
      <c r="AX3030" s="4"/>
      <c r="AY3030" s="4"/>
      <c r="AZ3030" s="4"/>
      <c r="BA3030" s="4"/>
      <c r="BB3030" s="4"/>
      <c r="BC3030" s="4"/>
      <c r="BD3030" s="4"/>
      <c r="BE3030" s="4"/>
      <c r="BF3030" s="4"/>
      <c r="BG3030" s="4"/>
      <c r="BH3030" s="4"/>
      <c r="BI3030" s="4"/>
      <c r="BJ3030" s="4"/>
      <c r="BK3030" s="4"/>
      <c r="BL3030" s="4"/>
      <c r="BM3030" s="4"/>
      <c r="BN3030" s="4"/>
      <c r="BO3030" s="4"/>
      <c r="BP3030" s="4"/>
      <c r="BQ3030" s="4"/>
      <c r="BR3030" s="4"/>
      <c r="BS3030" s="4"/>
      <c r="BT3030" s="4"/>
      <c r="BU3030" s="4"/>
    </row>
    <row r="3031" spans="29:73" s="1" customFormat="1" x14ac:dyDescent="0.25">
      <c r="AC3031" s="4"/>
      <c r="AD3031" s="4"/>
      <c r="AE3031" s="4"/>
      <c r="AF3031" s="4"/>
      <c r="AG3031" s="4"/>
      <c r="AH3031" s="4"/>
      <c r="AI3031" s="4"/>
      <c r="AJ3031" s="4"/>
      <c r="AK3031" s="4"/>
      <c r="AL3031" s="4"/>
      <c r="AM3031" s="4"/>
      <c r="AN3031" s="4"/>
      <c r="AO3031" s="4"/>
      <c r="AP3031" s="4"/>
      <c r="AQ3031" s="4"/>
      <c r="AR3031" s="4"/>
      <c r="AS3031" s="4"/>
      <c r="AT3031" s="4"/>
      <c r="AU3031" s="4"/>
      <c r="AV3031" s="4"/>
      <c r="AW3031" s="4"/>
      <c r="AX3031" s="4"/>
      <c r="AY3031" s="4"/>
      <c r="AZ3031" s="4"/>
      <c r="BA3031" s="4"/>
      <c r="BB3031" s="4"/>
      <c r="BC3031" s="4"/>
      <c r="BD3031" s="4"/>
      <c r="BE3031" s="4"/>
      <c r="BF3031" s="4"/>
      <c r="BG3031" s="4"/>
      <c r="BH3031" s="4"/>
      <c r="BI3031" s="4"/>
      <c r="BJ3031" s="4"/>
      <c r="BK3031" s="4"/>
      <c r="BL3031" s="4"/>
      <c r="BM3031" s="4"/>
      <c r="BN3031" s="4"/>
      <c r="BO3031" s="4"/>
      <c r="BP3031" s="4"/>
      <c r="BQ3031" s="4"/>
      <c r="BR3031" s="4"/>
      <c r="BS3031" s="4"/>
      <c r="BT3031" s="4"/>
      <c r="BU3031" s="4"/>
    </row>
    <row r="3032" spans="29:73" s="1" customFormat="1" x14ac:dyDescent="0.25">
      <c r="AC3032" s="4"/>
      <c r="AD3032" s="4"/>
      <c r="AE3032" s="4"/>
      <c r="AF3032" s="4"/>
      <c r="AG3032" s="4"/>
      <c r="AH3032" s="4"/>
      <c r="AI3032" s="4"/>
      <c r="AJ3032" s="4"/>
      <c r="AK3032" s="4"/>
      <c r="AL3032" s="4"/>
      <c r="AM3032" s="4"/>
      <c r="AN3032" s="4"/>
      <c r="AO3032" s="4"/>
      <c r="AP3032" s="4"/>
      <c r="AQ3032" s="4"/>
      <c r="AR3032" s="4"/>
      <c r="AS3032" s="4"/>
      <c r="AT3032" s="4"/>
      <c r="AU3032" s="4"/>
      <c r="AV3032" s="4"/>
      <c r="AW3032" s="4"/>
      <c r="AX3032" s="4"/>
      <c r="AY3032" s="4"/>
      <c r="AZ3032" s="4"/>
      <c r="BA3032" s="4"/>
      <c r="BB3032" s="4"/>
      <c r="BC3032" s="4"/>
      <c r="BD3032" s="4"/>
      <c r="BE3032" s="4"/>
      <c r="BF3032" s="4"/>
      <c r="BG3032" s="4"/>
      <c r="BH3032" s="4"/>
      <c r="BI3032" s="4"/>
      <c r="BJ3032" s="4"/>
      <c r="BK3032" s="4"/>
      <c r="BL3032" s="4"/>
      <c r="BM3032" s="4"/>
      <c r="BN3032" s="4"/>
      <c r="BO3032" s="4"/>
      <c r="BP3032" s="4"/>
      <c r="BQ3032" s="4"/>
      <c r="BR3032" s="4"/>
      <c r="BS3032" s="4"/>
      <c r="BT3032" s="4"/>
      <c r="BU3032" s="4"/>
    </row>
    <row r="3033" spans="29:73" s="1" customFormat="1" x14ac:dyDescent="0.25">
      <c r="AC3033" s="4"/>
      <c r="AD3033" s="4"/>
      <c r="AE3033" s="4"/>
      <c r="AF3033" s="4"/>
      <c r="AG3033" s="4"/>
      <c r="AH3033" s="4"/>
      <c r="AI3033" s="4"/>
      <c r="AJ3033" s="4"/>
      <c r="AK3033" s="4"/>
      <c r="AL3033" s="4"/>
      <c r="AM3033" s="4"/>
      <c r="AN3033" s="4"/>
      <c r="AO3033" s="4"/>
      <c r="AP3033" s="4"/>
      <c r="AQ3033" s="4"/>
      <c r="AR3033" s="4"/>
      <c r="AS3033" s="4"/>
      <c r="AT3033" s="4"/>
      <c r="AU3033" s="4"/>
      <c r="AV3033" s="4"/>
      <c r="AW3033" s="4"/>
      <c r="AX3033" s="4"/>
      <c r="AY3033" s="4"/>
      <c r="AZ3033" s="4"/>
      <c r="BA3033" s="4"/>
      <c r="BB3033" s="4"/>
      <c r="BC3033" s="4"/>
      <c r="BD3033" s="4"/>
      <c r="BE3033" s="4"/>
      <c r="BF3033" s="4"/>
      <c r="BG3033" s="4"/>
      <c r="BH3033" s="4"/>
      <c r="BI3033" s="4"/>
      <c r="BJ3033" s="4"/>
      <c r="BK3033" s="4"/>
      <c r="BL3033" s="4"/>
      <c r="BM3033" s="4"/>
      <c r="BN3033" s="4"/>
      <c r="BO3033" s="4"/>
      <c r="BP3033" s="4"/>
      <c r="BQ3033" s="4"/>
      <c r="BR3033" s="4"/>
      <c r="BS3033" s="4"/>
      <c r="BT3033" s="4"/>
      <c r="BU3033" s="4"/>
    </row>
    <row r="3034" spans="29:73" s="1" customFormat="1" x14ac:dyDescent="0.25">
      <c r="AC3034" s="4"/>
      <c r="AD3034" s="4"/>
      <c r="AE3034" s="4"/>
      <c r="AF3034" s="4"/>
      <c r="AG3034" s="4"/>
      <c r="AH3034" s="4"/>
      <c r="AI3034" s="4"/>
      <c r="AJ3034" s="4"/>
      <c r="AK3034" s="4"/>
      <c r="AL3034" s="4"/>
      <c r="AM3034" s="4"/>
      <c r="AN3034" s="4"/>
      <c r="AO3034" s="4"/>
      <c r="AP3034" s="4"/>
      <c r="AQ3034" s="4"/>
      <c r="AR3034" s="4"/>
      <c r="AS3034" s="4"/>
      <c r="AT3034" s="4"/>
      <c r="AU3034" s="4"/>
      <c r="AV3034" s="4"/>
      <c r="AW3034" s="4"/>
      <c r="AX3034" s="4"/>
      <c r="AY3034" s="4"/>
      <c r="AZ3034" s="4"/>
      <c r="BA3034" s="4"/>
      <c r="BB3034" s="4"/>
      <c r="BC3034" s="4"/>
      <c r="BD3034" s="4"/>
      <c r="BE3034" s="4"/>
      <c r="BF3034" s="4"/>
      <c r="BG3034" s="4"/>
      <c r="BH3034" s="4"/>
      <c r="BI3034" s="4"/>
      <c r="BJ3034" s="4"/>
      <c r="BK3034" s="4"/>
      <c r="BL3034" s="4"/>
      <c r="BM3034" s="4"/>
      <c r="BN3034" s="4"/>
      <c r="BO3034" s="4"/>
      <c r="BP3034" s="4"/>
      <c r="BQ3034" s="4"/>
      <c r="BR3034" s="4"/>
      <c r="BS3034" s="4"/>
      <c r="BT3034" s="4"/>
      <c r="BU3034" s="4"/>
    </row>
    <row r="3035" spans="29:73" s="1" customFormat="1" x14ac:dyDescent="0.25">
      <c r="AC3035" s="4"/>
      <c r="AD3035" s="4"/>
      <c r="AE3035" s="4"/>
      <c r="AF3035" s="4"/>
      <c r="AG3035" s="4"/>
      <c r="AH3035" s="4"/>
      <c r="AI3035" s="4"/>
      <c r="AJ3035" s="4"/>
      <c r="AK3035" s="4"/>
      <c r="AL3035" s="4"/>
      <c r="AM3035" s="4"/>
      <c r="AN3035" s="4"/>
      <c r="AO3035" s="4"/>
      <c r="AP3035" s="4"/>
      <c r="AQ3035" s="4"/>
      <c r="AR3035" s="4"/>
      <c r="AS3035" s="4"/>
      <c r="AT3035" s="4"/>
      <c r="AU3035" s="4"/>
      <c r="AV3035" s="4"/>
      <c r="AW3035" s="4"/>
      <c r="AX3035" s="4"/>
      <c r="AY3035" s="4"/>
      <c r="AZ3035" s="4"/>
      <c r="BA3035" s="4"/>
      <c r="BB3035" s="4"/>
      <c r="BC3035" s="4"/>
      <c r="BD3035" s="4"/>
      <c r="BE3035" s="4"/>
      <c r="BF3035" s="4"/>
      <c r="BG3035" s="4"/>
      <c r="BH3035" s="4"/>
      <c r="BI3035" s="4"/>
      <c r="BJ3035" s="4"/>
      <c r="BK3035" s="4"/>
      <c r="BL3035" s="4"/>
      <c r="BM3035" s="4"/>
      <c r="BN3035" s="4"/>
      <c r="BO3035" s="4"/>
      <c r="BP3035" s="4"/>
      <c r="BQ3035" s="4"/>
      <c r="BR3035" s="4"/>
      <c r="BS3035" s="4"/>
      <c r="BT3035" s="4"/>
      <c r="BU3035" s="4"/>
    </row>
    <row r="3036" spans="29:73" s="1" customFormat="1" x14ac:dyDescent="0.25">
      <c r="AC3036" s="4"/>
      <c r="AD3036" s="4"/>
      <c r="AE3036" s="4"/>
      <c r="AF3036" s="4"/>
      <c r="AG3036" s="4"/>
      <c r="AH3036" s="4"/>
      <c r="AI3036" s="4"/>
      <c r="AJ3036" s="4"/>
      <c r="AK3036" s="4"/>
      <c r="AL3036" s="4"/>
      <c r="AM3036" s="4"/>
      <c r="AN3036" s="4"/>
      <c r="AO3036" s="4"/>
      <c r="AP3036" s="4"/>
      <c r="AQ3036" s="4"/>
      <c r="AR3036" s="4"/>
      <c r="AS3036" s="4"/>
      <c r="AT3036" s="4"/>
      <c r="AU3036" s="4"/>
      <c r="AV3036" s="4"/>
      <c r="AW3036" s="4"/>
      <c r="AX3036" s="4"/>
      <c r="AY3036" s="4"/>
      <c r="AZ3036" s="4"/>
      <c r="BA3036" s="4"/>
      <c r="BB3036" s="4"/>
      <c r="BC3036" s="4"/>
      <c r="BD3036" s="4"/>
      <c r="BE3036" s="4"/>
      <c r="BF3036" s="4"/>
      <c r="BG3036" s="4"/>
      <c r="BH3036" s="4"/>
      <c r="BI3036" s="4"/>
      <c r="BJ3036" s="4"/>
      <c r="BK3036" s="4"/>
      <c r="BL3036" s="4"/>
      <c r="BM3036" s="4"/>
      <c r="BN3036" s="4"/>
      <c r="BO3036" s="4"/>
      <c r="BP3036" s="4"/>
      <c r="BQ3036" s="4"/>
      <c r="BR3036" s="4"/>
      <c r="BS3036" s="4"/>
      <c r="BT3036" s="4"/>
      <c r="BU3036" s="4"/>
    </row>
    <row r="3037" spans="29:73" s="1" customFormat="1" x14ac:dyDescent="0.25">
      <c r="AC3037" s="4"/>
      <c r="AD3037" s="4"/>
      <c r="AE3037" s="4"/>
      <c r="AF3037" s="4"/>
      <c r="AG3037" s="4"/>
      <c r="AH3037" s="4"/>
      <c r="AI3037" s="4"/>
      <c r="AJ3037" s="4"/>
      <c r="AK3037" s="4"/>
      <c r="AL3037" s="4"/>
      <c r="AM3037" s="4"/>
      <c r="AN3037" s="4"/>
      <c r="AO3037" s="4"/>
      <c r="AP3037" s="4"/>
      <c r="AQ3037" s="4"/>
      <c r="AR3037" s="4"/>
      <c r="AS3037" s="4"/>
      <c r="AT3037" s="4"/>
      <c r="AU3037" s="4"/>
      <c r="AV3037" s="4"/>
      <c r="AW3037" s="4"/>
      <c r="AX3037" s="4"/>
      <c r="AY3037" s="4"/>
      <c r="AZ3037" s="4"/>
      <c r="BA3037" s="4"/>
      <c r="BB3037" s="4"/>
      <c r="BC3037" s="4"/>
      <c r="BD3037" s="4"/>
      <c r="BE3037" s="4"/>
      <c r="BF3037" s="4"/>
      <c r="BG3037" s="4"/>
      <c r="BH3037" s="4"/>
      <c r="BI3037" s="4"/>
      <c r="BJ3037" s="4"/>
      <c r="BK3037" s="4"/>
      <c r="BL3037" s="4"/>
      <c r="BM3037" s="4"/>
      <c r="BN3037" s="4"/>
      <c r="BO3037" s="4"/>
      <c r="BP3037" s="4"/>
      <c r="BQ3037" s="4"/>
      <c r="BR3037" s="4"/>
      <c r="BS3037" s="4"/>
      <c r="BT3037" s="4"/>
      <c r="BU3037" s="4"/>
    </row>
    <row r="3038" spans="29:73" s="1" customFormat="1" x14ac:dyDescent="0.25">
      <c r="AC3038" s="4"/>
      <c r="AD3038" s="4"/>
      <c r="AE3038" s="4"/>
      <c r="AF3038" s="4"/>
      <c r="AG3038" s="4"/>
      <c r="AH3038" s="4"/>
      <c r="AI3038" s="4"/>
      <c r="AJ3038" s="4"/>
      <c r="AK3038" s="4"/>
      <c r="AL3038" s="4"/>
      <c r="AM3038" s="4"/>
      <c r="AN3038" s="4"/>
      <c r="AO3038" s="4"/>
      <c r="AP3038" s="4"/>
      <c r="AQ3038" s="4"/>
      <c r="AR3038" s="4"/>
      <c r="AS3038" s="4"/>
      <c r="AT3038" s="4"/>
      <c r="AU3038" s="4"/>
      <c r="AV3038" s="4"/>
      <c r="AW3038" s="4"/>
      <c r="AX3038" s="4"/>
      <c r="AY3038" s="4"/>
      <c r="AZ3038" s="4"/>
      <c r="BA3038" s="4"/>
      <c r="BB3038" s="4"/>
      <c r="BC3038" s="4"/>
      <c r="BD3038" s="4"/>
      <c r="BE3038" s="4"/>
      <c r="BF3038" s="4"/>
      <c r="BG3038" s="4"/>
      <c r="BH3038" s="4"/>
      <c r="BI3038" s="4"/>
      <c r="BJ3038" s="4"/>
      <c r="BK3038" s="4"/>
      <c r="BL3038" s="4"/>
      <c r="BM3038" s="4"/>
      <c r="BN3038" s="4"/>
      <c r="BO3038" s="4"/>
      <c r="BP3038" s="4"/>
      <c r="BQ3038" s="4"/>
      <c r="BR3038" s="4"/>
      <c r="BS3038" s="4"/>
      <c r="BT3038" s="4"/>
      <c r="BU3038" s="4"/>
    </row>
    <row r="3039" spans="29:73" s="1" customFormat="1" x14ac:dyDescent="0.25">
      <c r="AC3039" s="4"/>
      <c r="AD3039" s="4"/>
      <c r="AE3039" s="4"/>
      <c r="AF3039" s="4"/>
      <c r="AG3039" s="4"/>
      <c r="AH3039" s="4"/>
      <c r="AI3039" s="4"/>
      <c r="AJ3039" s="4"/>
      <c r="AK3039" s="4"/>
      <c r="AL3039" s="4"/>
      <c r="AM3039" s="4"/>
      <c r="AN3039" s="4"/>
      <c r="AO3039" s="4"/>
      <c r="AP3039" s="4"/>
      <c r="AQ3039" s="4"/>
      <c r="AR3039" s="4"/>
      <c r="AS3039" s="4"/>
      <c r="AT3039" s="4"/>
      <c r="AU3039" s="4"/>
      <c r="AV3039" s="4"/>
      <c r="AW3039" s="4"/>
      <c r="AX3039" s="4"/>
      <c r="AY3039" s="4"/>
      <c r="AZ3039" s="4"/>
      <c r="BA3039" s="4"/>
      <c r="BB3039" s="4"/>
      <c r="BC3039" s="4"/>
      <c r="BD3039" s="4"/>
      <c r="BE3039" s="4"/>
      <c r="BF3039" s="4"/>
      <c r="BG3039" s="4"/>
      <c r="BH3039" s="4"/>
      <c r="BI3039" s="4"/>
      <c r="BJ3039" s="4"/>
      <c r="BK3039" s="4"/>
      <c r="BL3039" s="4"/>
      <c r="BM3039" s="4"/>
      <c r="BN3039" s="4"/>
      <c r="BO3039" s="4"/>
      <c r="BP3039" s="4"/>
      <c r="BQ3039" s="4"/>
      <c r="BR3039" s="4"/>
      <c r="BS3039" s="4"/>
      <c r="BT3039" s="4"/>
      <c r="BU3039" s="4"/>
    </row>
    <row r="3040" spans="29:73" s="1" customFormat="1" x14ac:dyDescent="0.25">
      <c r="AC3040" s="4"/>
      <c r="AD3040" s="4"/>
      <c r="AE3040" s="4"/>
      <c r="AF3040" s="4"/>
      <c r="AG3040" s="4"/>
      <c r="AH3040" s="4"/>
      <c r="AI3040" s="4"/>
      <c r="AJ3040" s="4"/>
      <c r="AK3040" s="4"/>
      <c r="AL3040" s="4"/>
      <c r="AM3040" s="4"/>
      <c r="AN3040" s="4"/>
      <c r="AO3040" s="4"/>
      <c r="AP3040" s="4"/>
      <c r="AQ3040" s="4"/>
      <c r="AR3040" s="4"/>
      <c r="AS3040" s="4"/>
      <c r="AT3040" s="4"/>
      <c r="AU3040" s="4"/>
      <c r="AV3040" s="4"/>
      <c r="AW3040" s="4"/>
      <c r="AX3040" s="4"/>
      <c r="AY3040" s="4"/>
      <c r="AZ3040" s="4"/>
      <c r="BA3040" s="4"/>
      <c r="BB3040" s="4"/>
      <c r="BC3040" s="4"/>
      <c r="BD3040" s="4"/>
      <c r="BE3040" s="4"/>
      <c r="BF3040" s="4"/>
      <c r="BG3040" s="4"/>
      <c r="BH3040" s="4"/>
      <c r="BI3040" s="4"/>
      <c r="BJ3040" s="4"/>
      <c r="BK3040" s="4"/>
      <c r="BL3040" s="4"/>
      <c r="BM3040" s="4"/>
      <c r="BN3040" s="4"/>
      <c r="BO3040" s="4"/>
      <c r="BP3040" s="4"/>
      <c r="BQ3040" s="4"/>
      <c r="BR3040" s="4"/>
      <c r="BS3040" s="4"/>
      <c r="BT3040" s="4"/>
      <c r="BU3040" s="4"/>
    </row>
    <row r="3041" spans="29:73" s="1" customFormat="1" x14ac:dyDescent="0.25">
      <c r="AC3041" s="4"/>
      <c r="AD3041" s="4"/>
      <c r="AE3041" s="4"/>
      <c r="AF3041" s="4"/>
      <c r="AG3041" s="4"/>
      <c r="AH3041" s="4"/>
      <c r="AI3041" s="4"/>
      <c r="AJ3041" s="4"/>
      <c r="AK3041" s="4"/>
      <c r="AL3041" s="4"/>
      <c r="AM3041" s="4"/>
      <c r="AN3041" s="4"/>
      <c r="AO3041" s="4"/>
      <c r="AP3041" s="4"/>
      <c r="AQ3041" s="4"/>
      <c r="AR3041" s="4"/>
      <c r="AS3041" s="4"/>
      <c r="AT3041" s="4"/>
      <c r="AU3041" s="4"/>
      <c r="AV3041" s="4"/>
      <c r="AW3041" s="4"/>
      <c r="AX3041" s="4"/>
      <c r="AY3041" s="4"/>
      <c r="AZ3041" s="4"/>
      <c r="BA3041" s="4"/>
      <c r="BB3041" s="4"/>
      <c r="BC3041" s="4"/>
      <c r="BD3041" s="4"/>
      <c r="BE3041" s="4"/>
      <c r="BF3041" s="4"/>
      <c r="BG3041" s="4"/>
      <c r="BH3041" s="4"/>
      <c r="BI3041" s="4"/>
      <c r="BJ3041" s="4"/>
      <c r="BK3041" s="4"/>
      <c r="BL3041" s="4"/>
      <c r="BM3041" s="4"/>
      <c r="BN3041" s="4"/>
      <c r="BO3041" s="4"/>
      <c r="BP3041" s="4"/>
      <c r="BQ3041" s="4"/>
      <c r="BR3041" s="4"/>
      <c r="BS3041" s="4"/>
      <c r="BT3041" s="4"/>
      <c r="BU3041" s="4"/>
    </row>
    <row r="3042" spans="29:73" s="1" customFormat="1" x14ac:dyDescent="0.25">
      <c r="AC3042" s="4"/>
      <c r="AD3042" s="4"/>
      <c r="AE3042" s="4"/>
      <c r="AF3042" s="4"/>
      <c r="AG3042" s="4"/>
      <c r="AH3042" s="4"/>
      <c r="AI3042" s="4"/>
      <c r="AJ3042" s="4"/>
      <c r="AK3042" s="4"/>
      <c r="AL3042" s="4"/>
      <c r="AM3042" s="4"/>
      <c r="AN3042" s="4"/>
      <c r="AO3042" s="4"/>
      <c r="AP3042" s="4"/>
      <c r="AQ3042" s="4"/>
      <c r="AR3042" s="4"/>
      <c r="AS3042" s="4"/>
      <c r="AT3042" s="4"/>
      <c r="AU3042" s="4"/>
      <c r="AV3042" s="4"/>
      <c r="AW3042" s="4"/>
      <c r="AX3042" s="4"/>
      <c r="AY3042" s="4"/>
      <c r="AZ3042" s="4"/>
      <c r="BA3042" s="4"/>
      <c r="BB3042" s="4"/>
      <c r="BC3042" s="4"/>
      <c r="BD3042" s="4"/>
      <c r="BE3042" s="4"/>
      <c r="BF3042" s="4"/>
      <c r="BG3042" s="4"/>
      <c r="BH3042" s="4"/>
      <c r="BI3042" s="4"/>
      <c r="BJ3042" s="4"/>
      <c r="BK3042" s="4"/>
      <c r="BL3042" s="4"/>
      <c r="BM3042" s="4"/>
      <c r="BN3042" s="4"/>
      <c r="BO3042" s="4"/>
      <c r="BP3042" s="4"/>
      <c r="BQ3042" s="4"/>
      <c r="BR3042" s="4"/>
      <c r="BS3042" s="4"/>
      <c r="BT3042" s="4"/>
      <c r="BU3042" s="4"/>
    </row>
    <row r="3043" spans="29:73" s="1" customFormat="1" x14ac:dyDescent="0.25">
      <c r="AC3043" s="4"/>
      <c r="AD3043" s="4"/>
      <c r="AE3043" s="4"/>
      <c r="AF3043" s="4"/>
      <c r="AG3043" s="4"/>
      <c r="AH3043" s="4"/>
      <c r="AI3043" s="4"/>
      <c r="AJ3043" s="4"/>
      <c r="AK3043" s="4"/>
      <c r="AL3043" s="4"/>
      <c r="AM3043" s="4"/>
      <c r="AN3043" s="4"/>
      <c r="AO3043" s="4"/>
      <c r="AP3043" s="4"/>
      <c r="AQ3043" s="4"/>
      <c r="AR3043" s="4"/>
      <c r="AS3043" s="4"/>
      <c r="AT3043" s="4"/>
      <c r="AU3043" s="4"/>
      <c r="AV3043" s="4"/>
      <c r="AW3043" s="4"/>
      <c r="AX3043" s="4"/>
      <c r="AY3043" s="4"/>
      <c r="AZ3043" s="4"/>
      <c r="BA3043" s="4"/>
      <c r="BB3043" s="4"/>
      <c r="BC3043" s="4"/>
      <c r="BD3043" s="4"/>
      <c r="BE3043" s="4"/>
      <c r="BF3043" s="4"/>
      <c r="BG3043" s="4"/>
      <c r="BH3043" s="4"/>
      <c r="BI3043" s="4"/>
      <c r="BJ3043" s="4"/>
      <c r="BK3043" s="4"/>
      <c r="BL3043" s="4"/>
      <c r="BM3043" s="4"/>
      <c r="BN3043" s="4"/>
      <c r="BO3043" s="4"/>
      <c r="BP3043" s="4"/>
      <c r="BQ3043" s="4"/>
      <c r="BR3043" s="4"/>
      <c r="BS3043" s="4"/>
      <c r="BT3043" s="4"/>
      <c r="BU3043" s="4"/>
    </row>
    <row r="3044" spans="29:73" s="1" customFormat="1" x14ac:dyDescent="0.25">
      <c r="AC3044" s="4"/>
      <c r="AD3044" s="4"/>
      <c r="AE3044" s="4"/>
      <c r="AF3044" s="4"/>
      <c r="AG3044" s="4"/>
      <c r="AH3044" s="4"/>
      <c r="AI3044" s="4"/>
      <c r="AJ3044" s="4"/>
      <c r="AK3044" s="4"/>
      <c r="AL3044" s="4"/>
      <c r="AM3044" s="4"/>
      <c r="AN3044" s="4"/>
      <c r="AO3044" s="4"/>
      <c r="AP3044" s="4"/>
      <c r="AQ3044" s="4"/>
      <c r="AR3044" s="4"/>
      <c r="AS3044" s="4"/>
      <c r="AT3044" s="4"/>
      <c r="AU3044" s="4"/>
      <c r="AV3044" s="4"/>
      <c r="AW3044" s="4"/>
      <c r="AX3044" s="4"/>
      <c r="AY3044" s="4"/>
      <c r="AZ3044" s="4"/>
      <c r="BA3044" s="4"/>
      <c r="BB3044" s="4"/>
      <c r="BC3044" s="4"/>
      <c r="BD3044" s="4"/>
      <c r="BE3044" s="4"/>
      <c r="BF3044" s="4"/>
      <c r="BG3044" s="4"/>
      <c r="BH3044" s="4"/>
      <c r="BI3044" s="4"/>
      <c r="BJ3044" s="4"/>
      <c r="BK3044" s="4"/>
      <c r="BL3044" s="4"/>
      <c r="BM3044" s="4"/>
      <c r="BN3044" s="4"/>
      <c r="BO3044" s="4"/>
      <c r="BP3044" s="4"/>
      <c r="BQ3044" s="4"/>
      <c r="BR3044" s="4"/>
      <c r="BS3044" s="4"/>
      <c r="BT3044" s="4"/>
      <c r="BU3044" s="4"/>
    </row>
    <row r="3045" spans="29:73" s="1" customFormat="1" x14ac:dyDescent="0.25">
      <c r="AC3045" s="4"/>
      <c r="AD3045" s="4"/>
      <c r="AE3045" s="4"/>
      <c r="AF3045" s="4"/>
      <c r="AG3045" s="4"/>
      <c r="AH3045" s="4"/>
      <c r="AI3045" s="4"/>
      <c r="AJ3045" s="4"/>
      <c r="AK3045" s="4"/>
      <c r="AL3045" s="4"/>
      <c r="AM3045" s="4"/>
      <c r="AN3045" s="4"/>
      <c r="AO3045" s="4"/>
      <c r="AP3045" s="4"/>
      <c r="AQ3045" s="4"/>
      <c r="AR3045" s="4"/>
      <c r="AS3045" s="4"/>
      <c r="AT3045" s="4"/>
      <c r="AU3045" s="4"/>
      <c r="AV3045" s="4"/>
      <c r="AW3045" s="4"/>
      <c r="AX3045" s="4"/>
      <c r="AY3045" s="4"/>
      <c r="AZ3045" s="4"/>
      <c r="BA3045" s="4"/>
      <c r="BB3045" s="4"/>
      <c r="BC3045" s="4"/>
      <c r="BD3045" s="4"/>
      <c r="BE3045" s="4"/>
      <c r="BF3045" s="4"/>
      <c r="BG3045" s="4"/>
      <c r="BH3045" s="4"/>
      <c r="BI3045" s="4"/>
      <c r="BJ3045" s="4"/>
      <c r="BK3045" s="4"/>
      <c r="BL3045" s="4"/>
      <c r="BM3045" s="4"/>
      <c r="BN3045" s="4"/>
      <c r="BO3045" s="4"/>
      <c r="BP3045" s="4"/>
      <c r="BQ3045" s="4"/>
      <c r="BR3045" s="4"/>
      <c r="BS3045" s="4"/>
      <c r="BT3045" s="4"/>
      <c r="BU3045" s="4"/>
    </row>
    <row r="3046" spans="29:73" s="1" customFormat="1" x14ac:dyDescent="0.25">
      <c r="AC3046" s="4"/>
      <c r="AD3046" s="4"/>
      <c r="AE3046" s="4"/>
      <c r="AF3046" s="4"/>
      <c r="AG3046" s="4"/>
      <c r="AH3046" s="4"/>
      <c r="AI3046" s="4"/>
      <c r="AJ3046" s="4"/>
      <c r="AK3046" s="4"/>
      <c r="AL3046" s="4"/>
      <c r="AM3046" s="4"/>
      <c r="AN3046" s="4"/>
      <c r="AO3046" s="4"/>
      <c r="AP3046" s="4"/>
      <c r="AQ3046" s="4"/>
      <c r="AR3046" s="4"/>
      <c r="AS3046" s="4"/>
      <c r="AT3046" s="4"/>
      <c r="AU3046" s="4"/>
      <c r="AV3046" s="4"/>
      <c r="AW3046" s="4"/>
      <c r="AX3046" s="4"/>
      <c r="AY3046" s="4"/>
      <c r="AZ3046" s="4"/>
      <c r="BA3046" s="4"/>
      <c r="BB3046" s="4"/>
      <c r="BC3046" s="4"/>
      <c r="BD3046" s="4"/>
      <c r="BE3046" s="4"/>
      <c r="BF3046" s="4"/>
      <c r="BG3046" s="4"/>
      <c r="BH3046" s="4"/>
      <c r="BI3046" s="4"/>
      <c r="BJ3046" s="4"/>
      <c r="BK3046" s="4"/>
      <c r="BL3046" s="4"/>
      <c r="BM3046" s="4"/>
      <c r="BN3046" s="4"/>
      <c r="BO3046" s="4"/>
      <c r="BP3046" s="4"/>
      <c r="BQ3046" s="4"/>
      <c r="BR3046" s="4"/>
      <c r="BS3046" s="4"/>
      <c r="BT3046" s="4"/>
      <c r="BU3046" s="4"/>
    </row>
    <row r="3047" spans="29:73" s="1" customFormat="1" x14ac:dyDescent="0.25">
      <c r="AC3047" s="4"/>
      <c r="AD3047" s="4"/>
      <c r="AE3047" s="4"/>
      <c r="AF3047" s="4"/>
      <c r="AG3047" s="4"/>
      <c r="AH3047" s="4"/>
      <c r="AI3047" s="4"/>
      <c r="AJ3047" s="4"/>
      <c r="AK3047" s="4"/>
      <c r="AL3047" s="4"/>
      <c r="AM3047" s="4"/>
      <c r="AN3047" s="4"/>
      <c r="AO3047" s="4"/>
      <c r="AP3047" s="4"/>
      <c r="AQ3047" s="4"/>
      <c r="AR3047" s="4"/>
      <c r="AS3047" s="4"/>
      <c r="AT3047" s="4"/>
      <c r="AU3047" s="4"/>
      <c r="AV3047" s="4"/>
      <c r="AW3047" s="4"/>
      <c r="AX3047" s="4"/>
      <c r="AY3047" s="4"/>
      <c r="AZ3047" s="4"/>
      <c r="BA3047" s="4"/>
      <c r="BB3047" s="4"/>
      <c r="BC3047" s="4"/>
      <c r="BD3047" s="4"/>
      <c r="BE3047" s="4"/>
      <c r="BF3047" s="4"/>
      <c r="BG3047" s="4"/>
      <c r="BH3047" s="4"/>
      <c r="BI3047" s="4"/>
      <c r="BJ3047" s="4"/>
      <c r="BK3047" s="4"/>
      <c r="BL3047" s="4"/>
      <c r="BM3047" s="4"/>
      <c r="BN3047" s="4"/>
      <c r="BO3047" s="4"/>
      <c r="BP3047" s="4"/>
      <c r="BQ3047" s="4"/>
      <c r="BR3047" s="4"/>
      <c r="BS3047" s="4"/>
      <c r="BT3047" s="4"/>
      <c r="BU3047" s="4"/>
    </row>
    <row r="3048" spans="29:73" s="1" customFormat="1" x14ac:dyDescent="0.25">
      <c r="AC3048" s="4"/>
      <c r="AD3048" s="4"/>
      <c r="AE3048" s="4"/>
      <c r="AF3048" s="4"/>
      <c r="AG3048" s="4"/>
      <c r="AH3048" s="4"/>
      <c r="AI3048" s="4"/>
      <c r="AJ3048" s="4"/>
      <c r="AK3048" s="4"/>
      <c r="AL3048" s="4"/>
      <c r="AM3048" s="4"/>
      <c r="AN3048" s="4"/>
      <c r="AO3048" s="4"/>
      <c r="AP3048" s="4"/>
      <c r="AQ3048" s="4"/>
      <c r="AR3048" s="4"/>
      <c r="AS3048" s="4"/>
      <c r="AT3048" s="4"/>
      <c r="AU3048" s="4"/>
      <c r="AV3048" s="4"/>
      <c r="AW3048" s="4"/>
      <c r="AX3048" s="4"/>
      <c r="AY3048" s="4"/>
      <c r="AZ3048" s="4"/>
      <c r="BA3048" s="4"/>
      <c r="BB3048" s="4"/>
      <c r="BC3048" s="4"/>
      <c r="BD3048" s="4"/>
      <c r="BE3048" s="4"/>
      <c r="BF3048" s="4"/>
      <c r="BG3048" s="4"/>
      <c r="BH3048" s="4"/>
      <c r="BI3048" s="4"/>
      <c r="BJ3048" s="4"/>
      <c r="BK3048" s="4"/>
      <c r="BL3048" s="4"/>
      <c r="BM3048" s="4"/>
      <c r="BN3048" s="4"/>
      <c r="BO3048" s="4"/>
      <c r="BP3048" s="4"/>
      <c r="BQ3048" s="4"/>
      <c r="BR3048" s="4"/>
      <c r="BS3048" s="4"/>
      <c r="BT3048" s="4"/>
      <c r="BU3048" s="4"/>
    </row>
    <row r="3049" spans="29:73" s="1" customFormat="1" x14ac:dyDescent="0.25">
      <c r="AC3049" s="4"/>
      <c r="AD3049" s="4"/>
      <c r="AE3049" s="4"/>
      <c r="AF3049" s="4"/>
      <c r="AG3049" s="4"/>
      <c r="AH3049" s="4"/>
      <c r="AI3049" s="4"/>
      <c r="AJ3049" s="4"/>
      <c r="AK3049" s="4"/>
      <c r="AL3049" s="4"/>
      <c r="AM3049" s="4"/>
      <c r="AN3049" s="4"/>
      <c r="AO3049" s="4"/>
      <c r="AP3049" s="4"/>
      <c r="AQ3049" s="4"/>
      <c r="AR3049" s="4"/>
      <c r="AS3049" s="4"/>
      <c r="AT3049" s="4"/>
      <c r="AU3049" s="4"/>
      <c r="AV3049" s="4"/>
      <c r="AW3049" s="4"/>
      <c r="AX3049" s="4"/>
      <c r="AY3049" s="4"/>
      <c r="AZ3049" s="4"/>
      <c r="BA3049" s="4"/>
      <c r="BB3049" s="4"/>
      <c r="BC3049" s="4"/>
      <c r="BD3049" s="4"/>
      <c r="BE3049" s="4"/>
      <c r="BF3049" s="4"/>
      <c r="BG3049" s="4"/>
      <c r="BH3049" s="4"/>
      <c r="BI3049" s="4"/>
      <c r="BJ3049" s="4"/>
      <c r="BK3049" s="4"/>
      <c r="BL3049" s="4"/>
      <c r="BM3049" s="4"/>
      <c r="BN3049" s="4"/>
      <c r="BO3049" s="4"/>
      <c r="BP3049" s="4"/>
      <c r="BQ3049" s="4"/>
      <c r="BR3049" s="4"/>
      <c r="BS3049" s="4"/>
      <c r="BT3049" s="4"/>
      <c r="BU3049" s="4"/>
    </row>
    <row r="3050" spans="29:73" s="1" customFormat="1" x14ac:dyDescent="0.25">
      <c r="AC3050" s="4"/>
      <c r="AD3050" s="4"/>
      <c r="AE3050" s="4"/>
      <c r="AF3050" s="4"/>
      <c r="AG3050" s="4"/>
      <c r="AH3050" s="4"/>
      <c r="AI3050" s="4"/>
      <c r="AJ3050" s="4"/>
      <c r="AK3050" s="4"/>
      <c r="AL3050" s="4"/>
      <c r="AM3050" s="4"/>
      <c r="AN3050" s="4"/>
      <c r="AO3050" s="4"/>
      <c r="AP3050" s="4"/>
      <c r="AQ3050" s="4"/>
      <c r="AR3050" s="4"/>
      <c r="AS3050" s="4"/>
      <c r="AT3050" s="4"/>
      <c r="AU3050" s="4"/>
      <c r="AV3050" s="4"/>
      <c r="AW3050" s="4"/>
      <c r="AX3050" s="4"/>
      <c r="AY3050" s="4"/>
      <c r="AZ3050" s="4"/>
      <c r="BA3050" s="4"/>
      <c r="BB3050" s="4"/>
      <c r="BC3050" s="4"/>
      <c r="BD3050" s="4"/>
      <c r="BE3050" s="4"/>
      <c r="BF3050" s="4"/>
      <c r="BG3050" s="4"/>
      <c r="BH3050" s="4"/>
      <c r="BI3050" s="4"/>
      <c r="BJ3050" s="4"/>
      <c r="BK3050" s="4"/>
      <c r="BL3050" s="4"/>
      <c r="BM3050" s="4"/>
      <c r="BN3050" s="4"/>
      <c r="BO3050" s="4"/>
      <c r="BP3050" s="4"/>
      <c r="BQ3050" s="4"/>
      <c r="BR3050" s="4"/>
      <c r="BS3050" s="4"/>
      <c r="BT3050" s="4"/>
      <c r="BU3050" s="4"/>
    </row>
    <row r="3051" spans="29:73" s="1" customFormat="1" x14ac:dyDescent="0.25">
      <c r="AC3051" s="4"/>
      <c r="AD3051" s="4"/>
      <c r="AE3051" s="4"/>
      <c r="AF3051" s="4"/>
      <c r="AG3051" s="4"/>
      <c r="AH3051" s="4"/>
      <c r="AI3051" s="4"/>
      <c r="AJ3051" s="4"/>
      <c r="AK3051" s="4"/>
      <c r="AL3051" s="4"/>
      <c r="AM3051" s="4"/>
      <c r="AN3051" s="4"/>
      <c r="AO3051" s="4"/>
      <c r="AP3051" s="4"/>
      <c r="AQ3051" s="4"/>
      <c r="AR3051" s="4"/>
      <c r="AS3051" s="4"/>
      <c r="AT3051" s="4"/>
      <c r="AU3051" s="4"/>
      <c r="AV3051" s="4"/>
      <c r="AW3051" s="4"/>
      <c r="AX3051" s="4"/>
      <c r="AY3051" s="4"/>
      <c r="AZ3051" s="4"/>
      <c r="BA3051" s="4"/>
      <c r="BB3051" s="4"/>
      <c r="BC3051" s="4"/>
      <c r="BD3051" s="4"/>
      <c r="BE3051" s="4"/>
      <c r="BF3051" s="4"/>
      <c r="BG3051" s="4"/>
      <c r="BH3051" s="4"/>
      <c r="BI3051" s="4"/>
      <c r="BJ3051" s="4"/>
      <c r="BK3051" s="4"/>
      <c r="BL3051" s="4"/>
      <c r="BM3051" s="4"/>
      <c r="BN3051" s="4"/>
      <c r="BO3051" s="4"/>
      <c r="BP3051" s="4"/>
      <c r="BQ3051" s="4"/>
      <c r="BR3051" s="4"/>
      <c r="BS3051" s="4"/>
      <c r="BT3051" s="4"/>
      <c r="BU3051" s="4"/>
    </row>
    <row r="3052" spans="29:73" s="1" customFormat="1" x14ac:dyDescent="0.25">
      <c r="AC3052" s="4"/>
      <c r="AD3052" s="4"/>
      <c r="AE3052" s="4"/>
      <c r="AF3052" s="4"/>
      <c r="AG3052" s="4"/>
      <c r="AH3052" s="4"/>
      <c r="AI3052" s="4"/>
      <c r="AJ3052" s="4"/>
      <c r="AK3052" s="4"/>
      <c r="AL3052" s="4"/>
      <c r="AM3052" s="4"/>
      <c r="AN3052" s="4"/>
      <c r="AO3052" s="4"/>
      <c r="AP3052" s="4"/>
      <c r="AQ3052" s="4"/>
      <c r="AR3052" s="4"/>
      <c r="AS3052" s="4"/>
      <c r="AT3052" s="4"/>
      <c r="AU3052" s="4"/>
      <c r="AV3052" s="4"/>
      <c r="AW3052" s="4"/>
      <c r="AX3052" s="4"/>
      <c r="AY3052" s="4"/>
      <c r="AZ3052" s="4"/>
      <c r="BA3052" s="4"/>
      <c r="BB3052" s="4"/>
      <c r="BC3052" s="4"/>
      <c r="BD3052" s="4"/>
      <c r="BE3052" s="4"/>
      <c r="BF3052" s="4"/>
      <c r="BG3052" s="4"/>
      <c r="BH3052" s="4"/>
      <c r="BI3052" s="4"/>
      <c r="BJ3052" s="4"/>
      <c r="BK3052" s="4"/>
      <c r="BL3052" s="4"/>
      <c r="BM3052" s="4"/>
      <c r="BN3052" s="4"/>
      <c r="BO3052" s="4"/>
      <c r="BP3052" s="4"/>
      <c r="BQ3052" s="4"/>
      <c r="BR3052" s="4"/>
      <c r="BS3052" s="4"/>
      <c r="BT3052" s="4"/>
      <c r="BU3052" s="4"/>
    </row>
    <row r="3053" spans="29:73" s="1" customFormat="1" x14ac:dyDescent="0.25">
      <c r="AC3053" s="4"/>
      <c r="AD3053" s="4"/>
      <c r="AE3053" s="4"/>
      <c r="AF3053" s="4"/>
      <c r="AG3053" s="4"/>
      <c r="AH3053" s="4"/>
      <c r="AI3053" s="4"/>
      <c r="AJ3053" s="4"/>
      <c r="AK3053" s="4"/>
      <c r="AL3053" s="4"/>
      <c r="AM3053" s="4"/>
      <c r="AN3053" s="4"/>
      <c r="AO3053" s="4"/>
      <c r="AP3053" s="4"/>
      <c r="AQ3053" s="4"/>
      <c r="AR3053" s="4"/>
      <c r="AS3053" s="4"/>
      <c r="AT3053" s="4"/>
      <c r="AU3053" s="4"/>
      <c r="AV3053" s="4"/>
      <c r="AW3053" s="4"/>
      <c r="AX3053" s="4"/>
      <c r="AY3053" s="4"/>
      <c r="AZ3053" s="4"/>
      <c r="BA3053" s="4"/>
      <c r="BB3053" s="4"/>
      <c r="BC3053" s="4"/>
      <c r="BD3053" s="4"/>
      <c r="BE3053" s="4"/>
      <c r="BF3053" s="4"/>
      <c r="BG3053" s="4"/>
      <c r="BH3053" s="4"/>
      <c r="BI3053" s="4"/>
      <c r="BJ3053" s="4"/>
      <c r="BK3053" s="4"/>
      <c r="BL3053" s="4"/>
      <c r="BM3053" s="4"/>
      <c r="BN3053" s="4"/>
      <c r="BO3053" s="4"/>
      <c r="BP3053" s="4"/>
      <c r="BQ3053" s="4"/>
      <c r="BR3053" s="4"/>
      <c r="BS3053" s="4"/>
      <c r="BT3053" s="4"/>
      <c r="BU3053" s="4"/>
    </row>
    <row r="3054" spans="29:73" s="1" customFormat="1" x14ac:dyDescent="0.25">
      <c r="AC3054" s="4"/>
      <c r="AD3054" s="4"/>
      <c r="AE3054" s="4"/>
      <c r="AF3054" s="4"/>
      <c r="AG3054" s="4"/>
      <c r="AH3054" s="4"/>
      <c r="AI3054" s="4"/>
      <c r="AJ3054" s="4"/>
      <c r="AK3054" s="4"/>
      <c r="AL3054" s="4"/>
      <c r="AM3054" s="4"/>
      <c r="AN3054" s="4"/>
      <c r="AO3054" s="4"/>
      <c r="AP3054" s="4"/>
      <c r="AQ3054" s="4"/>
      <c r="AR3054" s="4"/>
      <c r="AS3054" s="4"/>
      <c r="AT3054" s="4"/>
      <c r="AU3054" s="4"/>
      <c r="AV3054" s="4"/>
      <c r="AW3054" s="4"/>
      <c r="AX3054" s="4"/>
      <c r="AY3054" s="4"/>
      <c r="AZ3054" s="4"/>
      <c r="BA3054" s="4"/>
      <c r="BB3054" s="4"/>
      <c r="BC3054" s="4"/>
      <c r="BD3054" s="4"/>
      <c r="BE3054" s="4"/>
      <c r="BF3054" s="4"/>
      <c r="BG3054" s="4"/>
      <c r="BH3054" s="4"/>
      <c r="BI3054" s="4"/>
      <c r="BJ3054" s="4"/>
      <c r="BK3054" s="4"/>
      <c r="BL3054" s="4"/>
      <c r="BM3054" s="4"/>
      <c r="BN3054" s="4"/>
      <c r="BO3054" s="4"/>
      <c r="BP3054" s="4"/>
      <c r="BQ3054" s="4"/>
      <c r="BR3054" s="4"/>
      <c r="BS3054" s="4"/>
      <c r="BT3054" s="4"/>
      <c r="BU3054" s="4"/>
    </row>
    <row r="3055" spans="29:73" s="1" customFormat="1" x14ac:dyDescent="0.25">
      <c r="AC3055" s="4"/>
      <c r="AD3055" s="4"/>
      <c r="AE3055" s="4"/>
      <c r="AF3055" s="4"/>
      <c r="AG3055" s="4"/>
      <c r="AH3055" s="4"/>
      <c r="AI3055" s="4"/>
      <c r="AJ3055" s="4"/>
      <c r="AK3055" s="4"/>
      <c r="AL3055" s="4"/>
      <c r="AM3055" s="4"/>
      <c r="AN3055" s="4"/>
      <c r="AO3055" s="4"/>
      <c r="AP3055" s="4"/>
      <c r="AQ3055" s="4"/>
      <c r="AR3055" s="4"/>
      <c r="AS3055" s="4"/>
      <c r="AT3055" s="4"/>
      <c r="AU3055" s="4"/>
      <c r="AV3055" s="4"/>
      <c r="AW3055" s="4"/>
      <c r="AX3055" s="4"/>
      <c r="AY3055" s="4"/>
      <c r="AZ3055" s="4"/>
      <c r="BA3055" s="4"/>
      <c r="BB3055" s="4"/>
      <c r="BC3055" s="4"/>
      <c r="BD3055" s="4"/>
      <c r="BE3055" s="4"/>
      <c r="BF3055" s="4"/>
      <c r="BG3055" s="4"/>
      <c r="BH3055" s="4"/>
      <c r="BI3055" s="4"/>
      <c r="BJ3055" s="4"/>
      <c r="BK3055" s="4"/>
      <c r="BL3055" s="4"/>
      <c r="BM3055" s="4"/>
      <c r="BN3055" s="4"/>
      <c r="BO3055" s="4"/>
      <c r="BP3055" s="4"/>
      <c r="BQ3055" s="4"/>
      <c r="BR3055" s="4"/>
      <c r="BS3055" s="4"/>
      <c r="BT3055" s="4"/>
      <c r="BU3055" s="4"/>
    </row>
    <row r="3056" spans="29:73" s="1" customFormat="1" x14ac:dyDescent="0.25">
      <c r="AC3056" s="4"/>
      <c r="AD3056" s="4"/>
      <c r="AE3056" s="4"/>
      <c r="AF3056" s="4"/>
      <c r="AG3056" s="4"/>
      <c r="AH3056" s="4"/>
      <c r="AI3056" s="4"/>
      <c r="AJ3056" s="4"/>
      <c r="AK3056" s="4"/>
      <c r="AL3056" s="4"/>
      <c r="AM3056" s="4"/>
      <c r="AN3056" s="4"/>
      <c r="AO3056" s="4"/>
      <c r="AP3056" s="4"/>
      <c r="AQ3056" s="4"/>
      <c r="AR3056" s="4"/>
      <c r="AS3056" s="4"/>
      <c r="AT3056" s="4"/>
      <c r="AU3056" s="4"/>
      <c r="AV3056" s="4"/>
      <c r="AW3056" s="4"/>
      <c r="AX3056" s="4"/>
      <c r="AY3056" s="4"/>
      <c r="AZ3056" s="4"/>
      <c r="BA3056" s="4"/>
      <c r="BB3056" s="4"/>
      <c r="BC3056" s="4"/>
      <c r="BD3056" s="4"/>
      <c r="BE3056" s="4"/>
      <c r="BF3056" s="4"/>
      <c r="BG3056" s="4"/>
      <c r="BH3056" s="4"/>
      <c r="BI3056" s="4"/>
      <c r="BJ3056" s="4"/>
      <c r="BK3056" s="4"/>
      <c r="BL3056" s="4"/>
      <c r="BM3056" s="4"/>
      <c r="BN3056" s="4"/>
      <c r="BO3056" s="4"/>
      <c r="BP3056" s="4"/>
      <c r="BQ3056" s="4"/>
      <c r="BR3056" s="4"/>
      <c r="BS3056" s="4"/>
      <c r="BT3056" s="4"/>
      <c r="BU3056" s="4"/>
    </row>
    <row r="3057" spans="29:73" s="1" customFormat="1" x14ac:dyDescent="0.25">
      <c r="AC3057" s="4"/>
      <c r="AD3057" s="4"/>
      <c r="AE3057" s="4"/>
      <c r="AF3057" s="4"/>
      <c r="AG3057" s="4"/>
      <c r="AH3057" s="4"/>
      <c r="AI3057" s="4"/>
      <c r="AJ3057" s="4"/>
      <c r="AK3057" s="4"/>
      <c r="AL3057" s="4"/>
      <c r="AM3057" s="4"/>
      <c r="AN3057" s="4"/>
      <c r="AO3057" s="4"/>
      <c r="AP3057" s="4"/>
      <c r="AQ3057" s="4"/>
      <c r="AR3057" s="4"/>
      <c r="AS3057" s="4"/>
      <c r="AT3057" s="4"/>
      <c r="AU3057" s="4"/>
      <c r="AV3057" s="4"/>
      <c r="AW3057" s="4"/>
      <c r="AX3057" s="4"/>
      <c r="AY3057" s="4"/>
      <c r="AZ3057" s="4"/>
      <c r="BA3057" s="4"/>
      <c r="BB3057" s="4"/>
      <c r="BC3057" s="4"/>
      <c r="BD3057" s="4"/>
      <c r="BE3057" s="4"/>
      <c r="BF3057" s="4"/>
      <c r="BG3057" s="4"/>
      <c r="BH3057" s="4"/>
      <c r="BI3057" s="4"/>
      <c r="BJ3057" s="4"/>
      <c r="BK3057" s="4"/>
      <c r="BL3057" s="4"/>
      <c r="BM3057" s="4"/>
      <c r="BN3057" s="4"/>
      <c r="BO3057" s="4"/>
      <c r="BP3057" s="4"/>
      <c r="BQ3057" s="4"/>
      <c r="BR3057" s="4"/>
      <c r="BS3057" s="4"/>
      <c r="BT3057" s="4"/>
      <c r="BU3057" s="4"/>
    </row>
    <row r="3058" spans="29:73" s="1" customFormat="1" x14ac:dyDescent="0.25">
      <c r="AC3058" s="4"/>
      <c r="AD3058" s="4"/>
      <c r="AE3058" s="4"/>
      <c r="AF3058" s="4"/>
      <c r="AG3058" s="4"/>
      <c r="AH3058" s="4"/>
      <c r="AI3058" s="4"/>
      <c r="AJ3058" s="4"/>
      <c r="AK3058" s="4"/>
      <c r="AL3058" s="4"/>
      <c r="AM3058" s="4"/>
      <c r="AN3058" s="4"/>
      <c r="AO3058" s="4"/>
      <c r="AP3058" s="4"/>
      <c r="AQ3058" s="4"/>
      <c r="AR3058" s="4"/>
      <c r="AS3058" s="4"/>
      <c r="AT3058" s="4"/>
      <c r="AU3058" s="4"/>
      <c r="AV3058" s="4"/>
      <c r="AW3058" s="4"/>
      <c r="AX3058" s="4"/>
      <c r="AY3058" s="4"/>
      <c r="AZ3058" s="4"/>
      <c r="BA3058" s="4"/>
      <c r="BB3058" s="4"/>
      <c r="BC3058" s="4"/>
      <c r="BD3058" s="4"/>
      <c r="BE3058" s="4"/>
      <c r="BF3058" s="4"/>
      <c r="BG3058" s="4"/>
      <c r="BH3058" s="4"/>
      <c r="BI3058" s="4"/>
      <c r="BJ3058" s="4"/>
      <c r="BK3058" s="4"/>
      <c r="BL3058" s="4"/>
      <c r="BM3058" s="4"/>
      <c r="BN3058" s="4"/>
      <c r="BO3058" s="4"/>
      <c r="BP3058" s="4"/>
      <c r="BQ3058" s="4"/>
      <c r="BR3058" s="4"/>
      <c r="BS3058" s="4"/>
      <c r="BT3058" s="4"/>
      <c r="BU3058" s="4"/>
    </row>
    <row r="3059" spans="29:73" s="1" customFormat="1" x14ac:dyDescent="0.25">
      <c r="AC3059" s="4"/>
      <c r="AD3059" s="4"/>
      <c r="AE3059" s="4"/>
      <c r="AF3059" s="4"/>
      <c r="AG3059" s="4"/>
      <c r="AH3059" s="4"/>
      <c r="AI3059" s="4"/>
      <c r="AJ3059" s="4"/>
      <c r="AK3059" s="4"/>
      <c r="AL3059" s="4"/>
      <c r="AM3059" s="4"/>
      <c r="AN3059" s="4"/>
      <c r="AO3059" s="4"/>
      <c r="AP3059" s="4"/>
      <c r="AQ3059" s="4"/>
      <c r="AR3059" s="4"/>
      <c r="AS3059" s="4"/>
      <c r="AT3059" s="4"/>
      <c r="AU3059" s="4"/>
      <c r="AV3059" s="4"/>
      <c r="AW3059" s="4"/>
      <c r="AX3059" s="4"/>
      <c r="AY3059" s="4"/>
      <c r="AZ3059" s="4"/>
      <c r="BA3059" s="4"/>
      <c r="BB3059" s="4"/>
      <c r="BC3059" s="4"/>
      <c r="BD3059" s="4"/>
      <c r="BE3059" s="4"/>
      <c r="BF3059" s="4"/>
      <c r="BG3059" s="4"/>
      <c r="BH3059" s="4"/>
      <c r="BI3059" s="4"/>
      <c r="BJ3059" s="4"/>
      <c r="BK3059" s="4"/>
      <c r="BL3059" s="4"/>
      <c r="BM3059" s="4"/>
      <c r="BN3059" s="4"/>
      <c r="BO3059" s="4"/>
      <c r="BP3059" s="4"/>
      <c r="BQ3059" s="4"/>
      <c r="BR3059" s="4"/>
      <c r="BS3059" s="4"/>
      <c r="BT3059" s="4"/>
      <c r="BU3059" s="4"/>
    </row>
    <row r="3060" spans="29:73" s="1" customFormat="1" x14ac:dyDescent="0.25">
      <c r="AC3060" s="4"/>
      <c r="AD3060" s="4"/>
      <c r="AE3060" s="4"/>
      <c r="AF3060" s="4"/>
      <c r="AG3060" s="4"/>
      <c r="AH3060" s="4"/>
      <c r="AI3060" s="4"/>
      <c r="AJ3060" s="4"/>
      <c r="AK3060" s="4"/>
      <c r="AL3060" s="4"/>
      <c r="AM3060" s="4"/>
      <c r="AN3060" s="4"/>
      <c r="AO3060" s="4"/>
      <c r="AP3060" s="4"/>
      <c r="AQ3060" s="4"/>
      <c r="AR3060" s="4"/>
      <c r="AS3060" s="4"/>
      <c r="AT3060" s="4"/>
      <c r="AU3060" s="4"/>
      <c r="AV3060" s="4"/>
      <c r="AW3060" s="4"/>
      <c r="AX3060" s="4"/>
      <c r="AY3060" s="4"/>
      <c r="AZ3060" s="4"/>
      <c r="BA3060" s="4"/>
      <c r="BB3060" s="4"/>
      <c r="BC3060" s="4"/>
      <c r="BD3060" s="4"/>
      <c r="BE3060" s="4"/>
      <c r="BF3060" s="4"/>
      <c r="BG3060" s="4"/>
      <c r="BH3060" s="4"/>
      <c r="BI3060" s="4"/>
      <c r="BJ3060" s="4"/>
      <c r="BK3060" s="4"/>
      <c r="BL3060" s="4"/>
      <c r="BM3060" s="4"/>
      <c r="BN3060" s="4"/>
      <c r="BO3060" s="4"/>
      <c r="BP3060" s="4"/>
      <c r="BQ3060" s="4"/>
      <c r="BR3060" s="4"/>
      <c r="BS3060" s="4"/>
      <c r="BT3060" s="4"/>
      <c r="BU3060" s="4"/>
    </row>
    <row r="3061" spans="29:73" s="1" customFormat="1" x14ac:dyDescent="0.25">
      <c r="AC3061" s="4"/>
      <c r="AD3061" s="4"/>
      <c r="AE3061" s="4"/>
      <c r="AF3061" s="4"/>
      <c r="AG3061" s="4"/>
      <c r="AH3061" s="4"/>
      <c r="AI3061" s="4"/>
      <c r="AJ3061" s="4"/>
      <c r="AK3061" s="4"/>
      <c r="AL3061" s="4"/>
      <c r="AM3061" s="4"/>
      <c r="AN3061" s="4"/>
      <c r="AO3061" s="4"/>
      <c r="AP3061" s="4"/>
      <c r="AQ3061" s="4"/>
      <c r="AR3061" s="4"/>
      <c r="AS3061" s="4"/>
      <c r="AT3061" s="4"/>
      <c r="AU3061" s="4"/>
      <c r="AV3061" s="4"/>
      <c r="AW3061" s="4"/>
      <c r="AX3061" s="4"/>
      <c r="AY3061" s="4"/>
      <c r="AZ3061" s="4"/>
      <c r="BA3061" s="4"/>
      <c r="BB3061" s="4"/>
      <c r="BC3061" s="4"/>
      <c r="BD3061" s="4"/>
      <c r="BE3061" s="4"/>
      <c r="BF3061" s="4"/>
      <c r="BG3061" s="4"/>
      <c r="BH3061" s="4"/>
      <c r="BI3061" s="4"/>
      <c r="BJ3061" s="4"/>
      <c r="BK3061" s="4"/>
      <c r="BL3061" s="4"/>
      <c r="BM3061" s="4"/>
      <c r="BN3061" s="4"/>
      <c r="BO3061" s="4"/>
      <c r="BP3061" s="4"/>
      <c r="BQ3061" s="4"/>
      <c r="BR3061" s="4"/>
      <c r="BS3061" s="4"/>
      <c r="BT3061" s="4"/>
      <c r="BU3061" s="4"/>
    </row>
    <row r="3062" spans="29:73" s="1" customFormat="1" x14ac:dyDescent="0.25">
      <c r="AC3062" s="4"/>
      <c r="AD3062" s="4"/>
      <c r="AE3062" s="4"/>
      <c r="AF3062" s="4"/>
      <c r="AG3062" s="4"/>
      <c r="AH3062" s="4"/>
      <c r="AI3062" s="4"/>
      <c r="AJ3062" s="4"/>
      <c r="AK3062" s="4"/>
      <c r="AL3062" s="4"/>
      <c r="AM3062" s="4"/>
      <c r="AN3062" s="4"/>
      <c r="AO3062" s="4"/>
      <c r="AP3062" s="4"/>
      <c r="AQ3062" s="4"/>
      <c r="AR3062" s="4"/>
      <c r="AS3062" s="4"/>
      <c r="AT3062" s="4"/>
      <c r="AU3062" s="4"/>
      <c r="AV3062" s="4"/>
      <c r="AW3062" s="4"/>
      <c r="AX3062" s="4"/>
      <c r="AY3062" s="4"/>
      <c r="AZ3062" s="4"/>
      <c r="BA3062" s="4"/>
      <c r="BB3062" s="4"/>
      <c r="BC3062" s="4"/>
      <c r="BD3062" s="4"/>
      <c r="BE3062" s="4"/>
      <c r="BF3062" s="4"/>
      <c r="BG3062" s="4"/>
      <c r="BH3062" s="4"/>
      <c r="BI3062" s="4"/>
      <c r="BJ3062" s="4"/>
      <c r="BK3062" s="4"/>
      <c r="BL3062" s="4"/>
      <c r="BM3062" s="4"/>
      <c r="BN3062" s="4"/>
      <c r="BO3062" s="4"/>
      <c r="BP3062" s="4"/>
      <c r="BQ3062" s="4"/>
      <c r="BR3062" s="4"/>
      <c r="BS3062" s="4"/>
      <c r="BT3062" s="4"/>
      <c r="BU3062" s="4"/>
    </row>
    <row r="3063" spans="29:73" s="1" customFormat="1" x14ac:dyDescent="0.25">
      <c r="AC3063" s="4"/>
      <c r="AD3063" s="4"/>
      <c r="AE3063" s="4"/>
      <c r="AF3063" s="4"/>
      <c r="AG3063" s="4"/>
      <c r="AH3063" s="4"/>
      <c r="AI3063" s="4"/>
      <c r="AJ3063" s="4"/>
      <c r="AK3063" s="4"/>
      <c r="AL3063" s="4"/>
      <c r="AM3063" s="4"/>
      <c r="AN3063" s="4"/>
      <c r="AO3063" s="4"/>
      <c r="AP3063" s="4"/>
      <c r="AQ3063" s="4"/>
      <c r="AR3063" s="4"/>
      <c r="AS3063" s="4"/>
      <c r="AT3063" s="4"/>
      <c r="AU3063" s="4"/>
      <c r="AV3063" s="4"/>
      <c r="AW3063" s="4"/>
      <c r="AX3063" s="4"/>
      <c r="AY3063" s="4"/>
      <c r="AZ3063" s="4"/>
      <c r="BA3063" s="4"/>
      <c r="BB3063" s="4"/>
      <c r="BC3063" s="4"/>
      <c r="BD3063" s="4"/>
      <c r="BE3063" s="4"/>
      <c r="BF3063" s="4"/>
      <c r="BG3063" s="4"/>
      <c r="BH3063" s="4"/>
      <c r="BI3063" s="4"/>
      <c r="BJ3063" s="4"/>
      <c r="BK3063" s="4"/>
      <c r="BL3063" s="4"/>
      <c r="BM3063" s="4"/>
      <c r="BN3063" s="4"/>
      <c r="BO3063" s="4"/>
      <c r="BP3063" s="4"/>
      <c r="BQ3063" s="4"/>
      <c r="BR3063" s="4"/>
      <c r="BS3063" s="4"/>
      <c r="BT3063" s="4"/>
      <c r="BU3063" s="4"/>
    </row>
    <row r="3064" spans="29:73" s="1" customFormat="1" x14ac:dyDescent="0.25">
      <c r="AC3064" s="4"/>
      <c r="AD3064" s="4"/>
      <c r="AE3064" s="4"/>
      <c r="AF3064" s="4"/>
      <c r="AG3064" s="4"/>
      <c r="AH3064" s="4"/>
      <c r="AI3064" s="4"/>
      <c r="AJ3064" s="4"/>
      <c r="AK3064" s="4"/>
      <c r="AL3064" s="4"/>
      <c r="AM3064" s="4"/>
      <c r="AN3064" s="4"/>
      <c r="AO3064" s="4"/>
      <c r="AP3064" s="4"/>
      <c r="AQ3064" s="4"/>
      <c r="AR3064" s="4"/>
      <c r="AS3064" s="4"/>
      <c r="AT3064" s="4"/>
      <c r="AU3064" s="4"/>
      <c r="AV3064" s="4"/>
      <c r="AW3064" s="4"/>
      <c r="AX3064" s="4"/>
      <c r="AY3064" s="4"/>
      <c r="AZ3064" s="4"/>
      <c r="BA3064" s="4"/>
      <c r="BB3064" s="4"/>
      <c r="BC3064" s="4"/>
      <c r="BD3064" s="4"/>
      <c r="BE3064" s="4"/>
      <c r="BF3064" s="4"/>
      <c r="BG3064" s="4"/>
      <c r="BH3064" s="4"/>
      <c r="BI3064" s="4"/>
      <c r="BJ3064" s="4"/>
      <c r="BK3064" s="4"/>
      <c r="BL3064" s="4"/>
      <c r="BM3064" s="4"/>
      <c r="BN3064" s="4"/>
      <c r="BO3064" s="4"/>
      <c r="BP3064" s="4"/>
      <c r="BQ3064" s="4"/>
      <c r="BR3064" s="4"/>
      <c r="BS3064" s="4"/>
      <c r="BT3064" s="4"/>
      <c r="BU3064" s="4"/>
    </row>
    <row r="3065" spans="29:73" s="1" customFormat="1" x14ac:dyDescent="0.25">
      <c r="AC3065" s="4"/>
      <c r="AD3065" s="4"/>
      <c r="AE3065" s="4"/>
      <c r="AF3065" s="4"/>
      <c r="AG3065" s="4"/>
      <c r="AH3065" s="4"/>
      <c r="AI3065" s="4"/>
      <c r="AJ3065" s="4"/>
      <c r="AK3065" s="4"/>
      <c r="AL3065" s="4"/>
      <c r="AM3065" s="4"/>
      <c r="AN3065" s="4"/>
      <c r="AO3065" s="4"/>
      <c r="AP3065" s="4"/>
      <c r="AQ3065" s="4"/>
      <c r="AR3065" s="4"/>
      <c r="AS3065" s="4"/>
      <c r="AT3065" s="4"/>
      <c r="AU3065" s="4"/>
      <c r="AV3065" s="4"/>
      <c r="AW3065" s="4"/>
      <c r="AX3065" s="4"/>
      <c r="AY3065" s="4"/>
      <c r="AZ3065" s="4"/>
      <c r="BA3065" s="4"/>
      <c r="BB3065" s="4"/>
      <c r="BC3065" s="4"/>
      <c r="BD3065" s="4"/>
      <c r="BE3065" s="4"/>
      <c r="BF3065" s="4"/>
      <c r="BG3065" s="4"/>
      <c r="BH3065" s="4"/>
      <c r="BI3065" s="4"/>
      <c r="BJ3065" s="4"/>
      <c r="BK3065" s="4"/>
      <c r="BL3065" s="4"/>
      <c r="BM3065" s="4"/>
      <c r="BN3065" s="4"/>
      <c r="BO3065" s="4"/>
      <c r="BP3065" s="4"/>
      <c r="BQ3065" s="4"/>
      <c r="BR3065" s="4"/>
      <c r="BS3065" s="4"/>
      <c r="BT3065" s="4"/>
      <c r="BU3065" s="4"/>
    </row>
    <row r="3066" spans="29:73" s="1" customFormat="1" x14ac:dyDescent="0.25">
      <c r="AC3066" s="4"/>
      <c r="AD3066" s="4"/>
      <c r="AE3066" s="4"/>
      <c r="AF3066" s="4"/>
      <c r="AG3066" s="4"/>
      <c r="AH3066" s="4"/>
      <c r="AI3066" s="4"/>
      <c r="AJ3066" s="4"/>
      <c r="AK3066" s="4"/>
      <c r="AL3066" s="4"/>
      <c r="AM3066" s="4"/>
      <c r="AN3066" s="4"/>
      <c r="AO3066" s="4"/>
      <c r="AP3066" s="4"/>
      <c r="AQ3066" s="4"/>
      <c r="AR3066" s="4"/>
      <c r="AS3066" s="4"/>
      <c r="AT3066" s="4"/>
      <c r="AU3066" s="4"/>
      <c r="AV3066" s="4"/>
      <c r="AW3066" s="4"/>
      <c r="AX3066" s="4"/>
      <c r="AY3066" s="4"/>
      <c r="AZ3066" s="4"/>
      <c r="BA3066" s="4"/>
      <c r="BB3066" s="4"/>
      <c r="BC3066" s="4"/>
      <c r="BD3066" s="4"/>
      <c r="BE3066" s="4"/>
      <c r="BF3066" s="4"/>
      <c r="BG3066" s="4"/>
      <c r="BH3066" s="4"/>
      <c r="BI3066" s="4"/>
      <c r="BJ3066" s="4"/>
      <c r="BK3066" s="4"/>
      <c r="BL3066" s="4"/>
      <c r="BM3066" s="4"/>
      <c r="BN3066" s="4"/>
      <c r="BO3066" s="4"/>
      <c r="BP3066" s="4"/>
      <c r="BQ3066" s="4"/>
      <c r="BR3066" s="4"/>
      <c r="BS3066" s="4"/>
      <c r="BT3066" s="4"/>
      <c r="BU3066" s="4"/>
    </row>
    <row r="3067" spans="29:73" s="1" customFormat="1" x14ac:dyDescent="0.25">
      <c r="AC3067" s="4"/>
      <c r="AD3067" s="4"/>
      <c r="AE3067" s="4"/>
      <c r="AF3067" s="4"/>
      <c r="AG3067" s="4"/>
      <c r="AH3067" s="4"/>
      <c r="AI3067" s="4"/>
      <c r="AJ3067" s="4"/>
      <c r="AK3067" s="4"/>
      <c r="AL3067" s="4"/>
      <c r="AM3067" s="4"/>
      <c r="AN3067" s="4"/>
      <c r="AO3067" s="4"/>
      <c r="AP3067" s="4"/>
      <c r="AQ3067" s="4"/>
      <c r="AR3067" s="4"/>
      <c r="AS3067" s="4"/>
      <c r="AT3067" s="4"/>
      <c r="AU3067" s="4"/>
      <c r="AV3067" s="4"/>
      <c r="AW3067" s="4"/>
      <c r="AX3067" s="4"/>
      <c r="AY3067" s="4"/>
      <c r="AZ3067" s="4"/>
      <c r="BA3067" s="4"/>
      <c r="BB3067" s="4"/>
      <c r="BC3067" s="4"/>
      <c r="BD3067" s="4"/>
      <c r="BE3067" s="4"/>
      <c r="BF3067" s="4"/>
      <c r="BG3067" s="4"/>
      <c r="BH3067" s="4"/>
      <c r="BI3067" s="4"/>
      <c r="BJ3067" s="4"/>
      <c r="BK3067" s="4"/>
      <c r="BL3067" s="4"/>
      <c r="BM3067" s="4"/>
      <c r="BN3067" s="4"/>
      <c r="BO3067" s="4"/>
      <c r="BP3067" s="4"/>
      <c r="BQ3067" s="4"/>
      <c r="BR3067" s="4"/>
      <c r="BS3067" s="4"/>
      <c r="BT3067" s="4"/>
      <c r="BU3067" s="4"/>
    </row>
    <row r="3068" spans="29:73" s="1" customFormat="1" x14ac:dyDescent="0.25">
      <c r="AC3068" s="4"/>
      <c r="AD3068" s="4"/>
      <c r="AE3068" s="4"/>
      <c r="AF3068" s="4"/>
      <c r="AG3068" s="4"/>
      <c r="AH3068" s="4"/>
      <c r="AI3068" s="4"/>
      <c r="AJ3068" s="4"/>
      <c r="AK3068" s="4"/>
      <c r="AL3068" s="4"/>
      <c r="AM3068" s="4"/>
      <c r="AN3068" s="4"/>
      <c r="AO3068" s="4"/>
      <c r="AP3068" s="4"/>
      <c r="AQ3068" s="4"/>
      <c r="AR3068" s="4"/>
      <c r="AS3068" s="4"/>
      <c r="AT3068" s="4"/>
      <c r="AU3068" s="4"/>
      <c r="AV3068" s="4"/>
      <c r="AW3068" s="4"/>
      <c r="AX3068" s="4"/>
      <c r="AY3068" s="4"/>
      <c r="AZ3068" s="4"/>
      <c r="BA3068" s="4"/>
      <c r="BB3068" s="4"/>
      <c r="BC3068" s="4"/>
      <c r="BD3068" s="4"/>
      <c r="BE3068" s="4"/>
      <c r="BF3068" s="4"/>
      <c r="BG3068" s="4"/>
      <c r="BH3068" s="4"/>
      <c r="BI3068" s="4"/>
      <c r="BJ3068" s="4"/>
      <c r="BK3068" s="4"/>
      <c r="BL3068" s="4"/>
      <c r="BM3068" s="4"/>
      <c r="BN3068" s="4"/>
      <c r="BO3068" s="4"/>
      <c r="BP3068" s="4"/>
      <c r="BQ3068" s="4"/>
      <c r="BR3068" s="4"/>
      <c r="BS3068" s="4"/>
      <c r="BT3068" s="4"/>
      <c r="BU3068" s="4"/>
    </row>
    <row r="3069" spans="29:73" s="1" customFormat="1" x14ac:dyDescent="0.25">
      <c r="AC3069" s="4"/>
      <c r="AD3069" s="4"/>
      <c r="AE3069" s="4"/>
      <c r="AF3069" s="4"/>
      <c r="AG3069" s="4"/>
      <c r="AH3069" s="4"/>
      <c r="AI3069" s="4"/>
      <c r="AJ3069" s="4"/>
      <c r="AK3069" s="4"/>
      <c r="AL3069" s="4"/>
      <c r="AM3069" s="4"/>
      <c r="AN3069" s="4"/>
      <c r="AO3069" s="4"/>
      <c r="AP3069" s="4"/>
      <c r="AQ3069" s="4"/>
      <c r="AR3069" s="4"/>
      <c r="AS3069" s="4"/>
      <c r="AT3069" s="4"/>
      <c r="AU3069" s="4"/>
      <c r="AV3069" s="4"/>
      <c r="AW3069" s="4"/>
      <c r="AX3069" s="4"/>
      <c r="AY3069" s="4"/>
      <c r="AZ3069" s="4"/>
      <c r="BA3069" s="4"/>
      <c r="BB3069" s="4"/>
      <c r="BC3069" s="4"/>
      <c r="BD3069" s="4"/>
      <c r="BE3069" s="4"/>
      <c r="BF3069" s="4"/>
      <c r="BG3069" s="4"/>
      <c r="BH3069" s="4"/>
      <c r="BI3069" s="4"/>
      <c r="BJ3069" s="4"/>
      <c r="BK3069" s="4"/>
      <c r="BL3069" s="4"/>
      <c r="BM3069" s="4"/>
      <c r="BN3069" s="4"/>
      <c r="BO3069" s="4"/>
      <c r="BP3069" s="4"/>
      <c r="BQ3069" s="4"/>
      <c r="BR3069" s="4"/>
      <c r="BS3069" s="4"/>
      <c r="BT3069" s="4"/>
      <c r="BU3069" s="4"/>
    </row>
    <row r="3070" spans="29:73" s="1" customFormat="1" x14ac:dyDescent="0.25">
      <c r="AC3070" s="4"/>
      <c r="AD3070" s="4"/>
      <c r="AE3070" s="4"/>
      <c r="AF3070" s="4"/>
      <c r="AG3070" s="4"/>
      <c r="AH3070" s="4"/>
      <c r="AI3070" s="4"/>
      <c r="AJ3070" s="4"/>
      <c r="AK3070" s="4"/>
      <c r="AL3070" s="4"/>
      <c r="AM3070" s="4"/>
      <c r="AN3070" s="4"/>
      <c r="AO3070" s="4"/>
      <c r="AP3070" s="4"/>
      <c r="AQ3070" s="4"/>
      <c r="AR3070" s="4"/>
      <c r="AS3070" s="4"/>
      <c r="AT3070" s="4"/>
      <c r="AU3070" s="4"/>
      <c r="AV3070" s="4"/>
      <c r="AW3070" s="4"/>
      <c r="AX3070" s="4"/>
      <c r="AY3070" s="4"/>
      <c r="AZ3070" s="4"/>
      <c r="BA3070" s="4"/>
      <c r="BB3070" s="4"/>
      <c r="BC3070" s="4"/>
      <c r="BD3070" s="4"/>
      <c r="BE3070" s="4"/>
      <c r="BF3070" s="4"/>
      <c r="BG3070" s="4"/>
      <c r="BH3070" s="4"/>
      <c r="BI3070" s="4"/>
      <c r="BJ3070" s="4"/>
      <c r="BK3070" s="4"/>
      <c r="BL3070" s="4"/>
      <c r="BM3070" s="4"/>
      <c r="BN3070" s="4"/>
      <c r="BO3070" s="4"/>
      <c r="BP3070" s="4"/>
      <c r="BQ3070" s="4"/>
      <c r="BR3070" s="4"/>
      <c r="BS3070" s="4"/>
      <c r="BT3070" s="4"/>
      <c r="BU3070" s="4"/>
    </row>
    <row r="3071" spans="29:73" s="1" customFormat="1" x14ac:dyDescent="0.25">
      <c r="AC3071" s="4"/>
      <c r="AD3071" s="4"/>
      <c r="AE3071" s="4"/>
      <c r="AF3071" s="4"/>
      <c r="AG3071" s="4"/>
      <c r="AH3071" s="4"/>
      <c r="AI3071" s="4"/>
      <c r="AJ3071" s="4"/>
      <c r="AK3071" s="4"/>
      <c r="AL3071" s="4"/>
      <c r="AM3071" s="4"/>
      <c r="AN3071" s="4"/>
      <c r="AO3071" s="4"/>
      <c r="AP3071" s="4"/>
      <c r="AQ3071" s="4"/>
      <c r="AR3071" s="4"/>
      <c r="AS3071" s="4"/>
      <c r="AT3071" s="4"/>
      <c r="AU3071" s="4"/>
      <c r="AV3071" s="4"/>
      <c r="AW3071" s="4"/>
      <c r="AX3071" s="4"/>
      <c r="AY3071" s="4"/>
      <c r="AZ3071" s="4"/>
      <c r="BA3071" s="4"/>
      <c r="BB3071" s="4"/>
      <c r="BC3071" s="4"/>
      <c r="BD3071" s="4"/>
      <c r="BE3071" s="4"/>
      <c r="BF3071" s="4"/>
      <c r="BG3071" s="4"/>
      <c r="BH3071" s="4"/>
      <c r="BI3071" s="4"/>
      <c r="BJ3071" s="4"/>
      <c r="BK3071" s="4"/>
      <c r="BL3071" s="4"/>
      <c r="BM3071" s="4"/>
      <c r="BN3071" s="4"/>
      <c r="BO3071" s="4"/>
      <c r="BP3071" s="4"/>
      <c r="BQ3071" s="4"/>
      <c r="BR3071" s="4"/>
      <c r="BS3071" s="4"/>
      <c r="BT3071" s="4"/>
      <c r="BU3071" s="4"/>
    </row>
    <row r="3072" spans="29:73" s="1" customFormat="1" x14ac:dyDescent="0.25">
      <c r="AC3072" s="4"/>
      <c r="AD3072" s="4"/>
      <c r="AE3072" s="4"/>
      <c r="AF3072" s="4"/>
      <c r="AG3072" s="4"/>
      <c r="AH3072" s="4"/>
      <c r="AI3072" s="4"/>
      <c r="AJ3072" s="4"/>
      <c r="AK3072" s="4"/>
      <c r="AL3072" s="4"/>
      <c r="AM3072" s="4"/>
      <c r="AN3072" s="4"/>
      <c r="AO3072" s="4"/>
      <c r="AP3072" s="4"/>
      <c r="AQ3072" s="4"/>
      <c r="AR3072" s="4"/>
      <c r="AS3072" s="4"/>
      <c r="AT3072" s="4"/>
      <c r="AU3072" s="4"/>
      <c r="AV3072" s="4"/>
      <c r="AW3072" s="4"/>
      <c r="AX3072" s="4"/>
      <c r="AY3072" s="4"/>
      <c r="AZ3072" s="4"/>
      <c r="BA3072" s="4"/>
      <c r="BB3072" s="4"/>
      <c r="BC3072" s="4"/>
      <c r="BD3072" s="4"/>
      <c r="BE3072" s="4"/>
      <c r="BF3072" s="4"/>
      <c r="BG3072" s="4"/>
      <c r="BH3072" s="4"/>
      <c r="BI3072" s="4"/>
      <c r="BJ3072" s="4"/>
      <c r="BK3072" s="4"/>
      <c r="BL3072" s="4"/>
      <c r="BM3072" s="4"/>
      <c r="BN3072" s="4"/>
      <c r="BO3072" s="4"/>
      <c r="BP3072" s="4"/>
      <c r="BQ3072" s="4"/>
      <c r="BR3072" s="4"/>
      <c r="BS3072" s="4"/>
      <c r="BT3072" s="4"/>
      <c r="BU3072" s="4"/>
    </row>
    <row r="3073" spans="29:73" s="1" customFormat="1" x14ac:dyDescent="0.25">
      <c r="AC3073" s="4"/>
      <c r="AD3073" s="4"/>
      <c r="AE3073" s="4"/>
      <c r="AF3073" s="4"/>
      <c r="AG3073" s="4"/>
      <c r="AH3073" s="4"/>
      <c r="AI3073" s="4"/>
      <c r="AJ3073" s="4"/>
      <c r="AK3073" s="4"/>
      <c r="AL3073" s="4"/>
      <c r="AM3073" s="4"/>
      <c r="AN3073" s="4"/>
      <c r="AO3073" s="4"/>
      <c r="AP3073" s="4"/>
      <c r="AQ3073" s="4"/>
      <c r="AR3073" s="4"/>
      <c r="AS3073" s="4"/>
      <c r="AT3073" s="4"/>
      <c r="AU3073" s="4"/>
      <c r="AV3073" s="4"/>
      <c r="AW3073" s="4"/>
      <c r="AX3073" s="4"/>
      <c r="AY3073" s="4"/>
      <c r="AZ3073" s="4"/>
      <c r="BA3073" s="4"/>
      <c r="BB3073" s="4"/>
      <c r="BC3073" s="4"/>
      <c r="BD3073" s="4"/>
      <c r="BE3073" s="4"/>
      <c r="BF3073" s="4"/>
      <c r="BG3073" s="4"/>
      <c r="BH3073" s="4"/>
      <c r="BI3073" s="4"/>
      <c r="BJ3073" s="4"/>
      <c r="BK3073" s="4"/>
      <c r="BL3073" s="4"/>
      <c r="BM3073" s="4"/>
      <c r="BN3073" s="4"/>
      <c r="BO3073" s="4"/>
      <c r="BP3073" s="4"/>
      <c r="BQ3073" s="4"/>
      <c r="BR3073" s="4"/>
      <c r="BS3073" s="4"/>
      <c r="BT3073" s="4"/>
      <c r="BU3073" s="4"/>
    </row>
    <row r="3074" spans="29:73" s="1" customFormat="1" x14ac:dyDescent="0.25">
      <c r="AC3074" s="4"/>
      <c r="AD3074" s="4"/>
      <c r="AE3074" s="4"/>
      <c r="AF3074" s="4"/>
      <c r="AG3074" s="4"/>
      <c r="AH3074" s="4"/>
      <c r="AI3074" s="4"/>
      <c r="AJ3074" s="4"/>
      <c r="AK3074" s="4"/>
      <c r="AL3074" s="4"/>
      <c r="AM3074" s="4"/>
      <c r="AN3074" s="4"/>
      <c r="AO3074" s="4"/>
      <c r="AP3074" s="4"/>
      <c r="AQ3074" s="4"/>
      <c r="AR3074" s="4"/>
      <c r="AS3074" s="4"/>
      <c r="AT3074" s="4"/>
      <c r="AU3074" s="4"/>
      <c r="AV3074" s="4"/>
      <c r="AW3074" s="4"/>
      <c r="AX3074" s="4"/>
      <c r="AY3074" s="4"/>
      <c r="AZ3074" s="4"/>
      <c r="BA3074" s="4"/>
      <c r="BB3074" s="4"/>
      <c r="BC3074" s="4"/>
      <c r="BD3074" s="4"/>
      <c r="BE3074" s="4"/>
      <c r="BF3074" s="4"/>
      <c r="BG3074" s="4"/>
      <c r="BH3074" s="4"/>
      <c r="BI3074" s="4"/>
      <c r="BJ3074" s="4"/>
      <c r="BK3074" s="4"/>
      <c r="BL3074" s="4"/>
      <c r="BM3074" s="4"/>
      <c r="BN3074" s="4"/>
      <c r="BO3074" s="4"/>
      <c r="BP3074" s="4"/>
      <c r="BQ3074" s="4"/>
      <c r="BR3074" s="4"/>
      <c r="BS3074" s="4"/>
      <c r="BT3074" s="4"/>
      <c r="BU3074" s="4"/>
    </row>
    <row r="3075" spans="29:73" s="1" customFormat="1" x14ac:dyDescent="0.25">
      <c r="AC3075" s="4"/>
      <c r="AD3075" s="4"/>
      <c r="AE3075" s="4"/>
      <c r="AF3075" s="4"/>
      <c r="AG3075" s="4"/>
      <c r="AH3075" s="4"/>
      <c r="AI3075" s="4"/>
      <c r="AJ3075" s="4"/>
      <c r="AK3075" s="4"/>
      <c r="AL3075" s="4"/>
      <c r="AM3075" s="4"/>
      <c r="AN3075" s="4"/>
      <c r="AO3075" s="4"/>
      <c r="AP3075" s="4"/>
      <c r="AQ3075" s="4"/>
      <c r="AR3075" s="4"/>
      <c r="AS3075" s="4"/>
      <c r="AT3075" s="4"/>
      <c r="AU3075" s="4"/>
      <c r="AV3075" s="4"/>
      <c r="AW3075" s="4"/>
      <c r="AX3075" s="4"/>
      <c r="AY3075" s="4"/>
      <c r="AZ3075" s="4"/>
      <c r="BA3075" s="4"/>
      <c r="BB3075" s="4"/>
      <c r="BC3075" s="4"/>
      <c r="BD3075" s="4"/>
      <c r="BE3075" s="4"/>
      <c r="BF3075" s="4"/>
      <c r="BG3075" s="4"/>
      <c r="BH3075" s="4"/>
      <c r="BI3075" s="4"/>
      <c r="BJ3075" s="4"/>
      <c r="BK3075" s="4"/>
      <c r="BL3075" s="4"/>
      <c r="BM3075" s="4"/>
      <c r="BN3075" s="4"/>
      <c r="BO3075" s="4"/>
      <c r="BP3075" s="4"/>
      <c r="BQ3075" s="4"/>
      <c r="BR3075" s="4"/>
      <c r="BS3075" s="4"/>
      <c r="BT3075" s="4"/>
      <c r="BU3075" s="4"/>
    </row>
    <row r="3076" spans="29:73" s="1" customFormat="1" x14ac:dyDescent="0.25">
      <c r="AC3076" s="4"/>
      <c r="AD3076" s="4"/>
      <c r="AE3076" s="4"/>
      <c r="AF3076" s="4"/>
      <c r="AG3076" s="4"/>
      <c r="AH3076" s="4"/>
      <c r="AI3076" s="4"/>
      <c r="AJ3076" s="4"/>
      <c r="AK3076" s="4"/>
      <c r="AL3076" s="4"/>
      <c r="AM3076" s="4"/>
      <c r="AN3076" s="4"/>
      <c r="AO3076" s="4"/>
      <c r="AP3076" s="4"/>
      <c r="AQ3076" s="4"/>
      <c r="AR3076" s="4"/>
      <c r="AS3076" s="4"/>
      <c r="AT3076" s="4"/>
      <c r="AU3076" s="4"/>
      <c r="AV3076" s="4"/>
      <c r="AW3076" s="4"/>
      <c r="AX3076" s="4"/>
      <c r="AY3076" s="4"/>
      <c r="AZ3076" s="4"/>
      <c r="BA3076" s="4"/>
      <c r="BB3076" s="4"/>
      <c r="BC3076" s="4"/>
      <c r="BD3076" s="4"/>
      <c r="BE3076" s="4"/>
      <c r="BF3076" s="4"/>
      <c r="BG3076" s="4"/>
      <c r="BH3076" s="4"/>
      <c r="BI3076" s="4"/>
      <c r="BJ3076" s="4"/>
      <c r="BK3076" s="4"/>
      <c r="BL3076" s="4"/>
      <c r="BM3076" s="4"/>
      <c r="BN3076" s="4"/>
      <c r="BO3076" s="4"/>
      <c r="BP3076" s="4"/>
      <c r="BQ3076" s="4"/>
      <c r="BR3076" s="4"/>
      <c r="BS3076" s="4"/>
      <c r="BT3076" s="4"/>
      <c r="BU3076" s="4"/>
    </row>
    <row r="3077" spans="29:73" s="1" customFormat="1" x14ac:dyDescent="0.25">
      <c r="AC3077" s="4"/>
      <c r="AD3077" s="4"/>
      <c r="AE3077" s="4"/>
      <c r="AF3077" s="4"/>
      <c r="AG3077" s="4"/>
      <c r="AH3077" s="4"/>
      <c r="AI3077" s="4"/>
      <c r="AJ3077" s="4"/>
      <c r="AK3077" s="4"/>
      <c r="AL3077" s="4"/>
      <c r="AM3077" s="4"/>
      <c r="AN3077" s="4"/>
      <c r="AO3077" s="4"/>
      <c r="AP3077" s="4"/>
      <c r="AQ3077" s="4"/>
      <c r="AR3077" s="4"/>
      <c r="AS3077" s="4"/>
      <c r="AT3077" s="4"/>
      <c r="AU3077" s="4"/>
      <c r="AV3077" s="4"/>
      <c r="AW3077" s="4"/>
      <c r="AX3077" s="4"/>
      <c r="AY3077" s="4"/>
      <c r="AZ3077" s="4"/>
      <c r="BA3077" s="4"/>
      <c r="BB3077" s="4"/>
      <c r="BC3077" s="4"/>
      <c r="BD3077" s="4"/>
      <c r="BE3077" s="4"/>
      <c r="BF3077" s="4"/>
      <c r="BG3077" s="4"/>
      <c r="BH3077" s="4"/>
      <c r="BI3077" s="4"/>
      <c r="BJ3077" s="4"/>
      <c r="BK3077" s="4"/>
      <c r="BL3077" s="4"/>
      <c r="BM3077" s="4"/>
      <c r="BN3077" s="4"/>
      <c r="BO3077" s="4"/>
      <c r="BP3077" s="4"/>
      <c r="BQ3077" s="4"/>
      <c r="BR3077" s="4"/>
      <c r="BS3077" s="4"/>
      <c r="BT3077" s="4"/>
      <c r="BU3077" s="4"/>
    </row>
    <row r="3078" spans="29:73" s="1" customFormat="1" x14ac:dyDescent="0.25">
      <c r="AC3078" s="4"/>
      <c r="AD3078" s="4"/>
      <c r="AE3078" s="4"/>
      <c r="AF3078" s="4"/>
      <c r="AG3078" s="4"/>
      <c r="AH3078" s="4"/>
      <c r="AI3078" s="4"/>
      <c r="AJ3078" s="4"/>
      <c r="AK3078" s="4"/>
      <c r="AL3078" s="4"/>
      <c r="AM3078" s="4"/>
      <c r="AN3078" s="4"/>
      <c r="AO3078" s="4"/>
      <c r="AP3078" s="4"/>
      <c r="AQ3078" s="4"/>
      <c r="AR3078" s="4"/>
      <c r="AS3078" s="4"/>
      <c r="AT3078" s="4"/>
      <c r="AU3078" s="4"/>
      <c r="AV3078" s="4"/>
      <c r="AW3078" s="4"/>
      <c r="AX3078" s="4"/>
      <c r="AY3078" s="4"/>
      <c r="AZ3078" s="4"/>
      <c r="BA3078" s="4"/>
      <c r="BB3078" s="4"/>
      <c r="BC3078" s="4"/>
      <c r="BD3078" s="4"/>
      <c r="BE3078" s="4"/>
      <c r="BF3078" s="4"/>
      <c r="BG3078" s="4"/>
      <c r="BH3078" s="4"/>
      <c r="BI3078" s="4"/>
      <c r="BJ3078" s="4"/>
      <c r="BK3078" s="4"/>
      <c r="BL3078" s="4"/>
      <c r="BM3078" s="4"/>
      <c r="BN3078" s="4"/>
      <c r="BO3078" s="4"/>
      <c r="BP3078" s="4"/>
      <c r="BQ3078" s="4"/>
      <c r="BR3078" s="4"/>
      <c r="BS3078" s="4"/>
      <c r="BT3078" s="4"/>
      <c r="BU3078" s="4"/>
    </row>
    <row r="3079" spans="29:73" s="1" customFormat="1" x14ac:dyDescent="0.25">
      <c r="AC3079" s="4"/>
      <c r="AD3079" s="4"/>
      <c r="AE3079" s="4"/>
      <c r="AF3079" s="4"/>
      <c r="AG3079" s="4"/>
      <c r="AH3079" s="4"/>
      <c r="AI3079" s="4"/>
      <c r="AJ3079" s="4"/>
      <c r="AK3079" s="4"/>
      <c r="AL3079" s="4"/>
      <c r="AM3079" s="4"/>
      <c r="AN3079" s="4"/>
      <c r="AO3079" s="4"/>
      <c r="AP3079" s="4"/>
      <c r="AQ3079" s="4"/>
      <c r="AR3079" s="4"/>
      <c r="AS3079" s="4"/>
      <c r="AT3079" s="4"/>
      <c r="AU3079" s="4"/>
      <c r="AV3079" s="4"/>
      <c r="AW3079" s="4"/>
      <c r="AX3079" s="4"/>
      <c r="AY3079" s="4"/>
      <c r="AZ3079" s="4"/>
      <c r="BA3079" s="4"/>
      <c r="BB3079" s="4"/>
      <c r="BC3079" s="4"/>
      <c r="BD3079" s="4"/>
      <c r="BE3079" s="4"/>
      <c r="BF3079" s="4"/>
      <c r="BG3079" s="4"/>
      <c r="BH3079" s="4"/>
      <c r="BI3079" s="4"/>
      <c r="BJ3079" s="4"/>
      <c r="BK3079" s="4"/>
      <c r="BL3079" s="4"/>
      <c r="BM3079" s="4"/>
      <c r="BN3079" s="4"/>
      <c r="BO3079" s="4"/>
      <c r="BP3079" s="4"/>
      <c r="BQ3079" s="4"/>
      <c r="BR3079" s="4"/>
      <c r="BS3079" s="4"/>
      <c r="BT3079" s="4"/>
      <c r="BU3079" s="4"/>
    </row>
    <row r="3080" spans="29:73" s="1" customFormat="1" x14ac:dyDescent="0.25">
      <c r="AC3080" s="4"/>
      <c r="AD3080" s="4"/>
      <c r="AE3080" s="4"/>
      <c r="AF3080" s="4"/>
      <c r="AG3080" s="4"/>
      <c r="AH3080" s="4"/>
      <c r="AI3080" s="4"/>
      <c r="AJ3080" s="4"/>
      <c r="AK3080" s="4"/>
      <c r="AL3080" s="4"/>
      <c r="AM3080" s="4"/>
      <c r="AN3080" s="4"/>
      <c r="AO3080" s="4"/>
      <c r="AP3080" s="4"/>
      <c r="AQ3080" s="4"/>
      <c r="AR3080" s="4"/>
      <c r="AS3080" s="4"/>
      <c r="AT3080" s="4"/>
      <c r="AU3080" s="4"/>
      <c r="AV3080" s="4"/>
      <c r="AW3080" s="4"/>
      <c r="AX3080" s="4"/>
      <c r="AY3080" s="4"/>
      <c r="AZ3080" s="4"/>
      <c r="BA3080" s="4"/>
      <c r="BB3080" s="4"/>
      <c r="BC3080" s="4"/>
      <c r="BD3080" s="4"/>
      <c r="BE3080" s="4"/>
      <c r="BF3080" s="4"/>
      <c r="BG3080" s="4"/>
      <c r="BH3080" s="4"/>
      <c r="BI3080" s="4"/>
      <c r="BJ3080" s="4"/>
      <c r="BK3080" s="4"/>
      <c r="BL3080" s="4"/>
      <c r="BM3080" s="4"/>
      <c r="BN3080" s="4"/>
      <c r="BO3080" s="4"/>
      <c r="BP3080" s="4"/>
      <c r="BQ3080" s="4"/>
      <c r="BR3080" s="4"/>
      <c r="BS3080" s="4"/>
      <c r="BT3080" s="4"/>
      <c r="BU3080" s="4"/>
    </row>
    <row r="3081" spans="29:73" s="1" customFormat="1" x14ac:dyDescent="0.25">
      <c r="AC3081" s="4"/>
      <c r="AD3081" s="4"/>
      <c r="AE3081" s="4"/>
      <c r="AF3081" s="4"/>
      <c r="AG3081" s="4"/>
      <c r="AH3081" s="4"/>
      <c r="AI3081" s="4"/>
      <c r="AJ3081" s="4"/>
      <c r="AK3081" s="4"/>
      <c r="AL3081" s="4"/>
      <c r="AM3081" s="4"/>
      <c r="AN3081" s="4"/>
      <c r="AO3081" s="4"/>
      <c r="AP3081" s="4"/>
      <c r="AQ3081" s="4"/>
      <c r="AR3081" s="4"/>
      <c r="AS3081" s="4"/>
      <c r="AT3081" s="4"/>
      <c r="AU3081" s="4"/>
      <c r="AV3081" s="4"/>
      <c r="AW3081" s="4"/>
      <c r="AX3081" s="4"/>
      <c r="AY3081" s="4"/>
      <c r="AZ3081" s="4"/>
      <c r="BA3081" s="4"/>
      <c r="BB3081" s="4"/>
      <c r="BC3081" s="4"/>
      <c r="BD3081" s="4"/>
      <c r="BE3081" s="4"/>
      <c r="BF3081" s="4"/>
      <c r="BG3081" s="4"/>
      <c r="BH3081" s="4"/>
      <c r="BI3081" s="4"/>
      <c r="BJ3081" s="4"/>
      <c r="BK3081" s="4"/>
      <c r="BL3081" s="4"/>
      <c r="BM3081" s="4"/>
      <c r="BN3081" s="4"/>
      <c r="BO3081" s="4"/>
      <c r="BP3081" s="4"/>
      <c r="BQ3081" s="4"/>
      <c r="BR3081" s="4"/>
      <c r="BS3081" s="4"/>
      <c r="BT3081" s="4"/>
      <c r="BU3081" s="4"/>
    </row>
    <row r="3082" spans="29:73" s="1" customFormat="1" x14ac:dyDescent="0.25">
      <c r="AC3082" s="4"/>
      <c r="AD3082" s="4"/>
      <c r="AE3082" s="4"/>
      <c r="AF3082" s="4"/>
      <c r="AG3082" s="4"/>
      <c r="AH3082" s="4"/>
      <c r="AI3082" s="4"/>
      <c r="AJ3082" s="4"/>
      <c r="AK3082" s="4"/>
      <c r="AL3082" s="4"/>
      <c r="AM3082" s="4"/>
      <c r="AN3082" s="4"/>
      <c r="AO3082" s="4"/>
      <c r="AP3082" s="4"/>
      <c r="AQ3082" s="4"/>
      <c r="AR3082" s="4"/>
      <c r="AS3082" s="4"/>
      <c r="AT3082" s="4"/>
      <c r="AU3082" s="4"/>
      <c r="AV3082" s="4"/>
      <c r="AW3082" s="4"/>
      <c r="AX3082" s="4"/>
      <c r="AY3082" s="4"/>
      <c r="AZ3082" s="4"/>
      <c r="BA3082" s="4"/>
      <c r="BB3082" s="4"/>
      <c r="BC3082" s="4"/>
      <c r="BD3082" s="4"/>
      <c r="BE3082" s="4"/>
      <c r="BF3082" s="4"/>
      <c r="BG3082" s="4"/>
      <c r="BH3082" s="4"/>
      <c r="BI3082" s="4"/>
      <c r="BJ3082" s="4"/>
      <c r="BK3082" s="4"/>
      <c r="BL3082" s="4"/>
      <c r="BM3082" s="4"/>
      <c r="BN3082" s="4"/>
      <c r="BO3082" s="4"/>
      <c r="BP3082" s="4"/>
      <c r="BQ3082" s="4"/>
      <c r="BR3082" s="4"/>
      <c r="BS3082" s="4"/>
      <c r="BT3082" s="4"/>
      <c r="BU3082" s="4"/>
    </row>
    <row r="3083" spans="29:73" s="1" customFormat="1" x14ac:dyDescent="0.25">
      <c r="AC3083" s="4"/>
      <c r="AD3083" s="4"/>
      <c r="AE3083" s="4"/>
      <c r="AF3083" s="4"/>
      <c r="AG3083" s="4"/>
      <c r="AH3083" s="4"/>
      <c r="AI3083" s="4"/>
      <c r="AJ3083" s="4"/>
      <c r="AK3083" s="4"/>
      <c r="AL3083" s="4"/>
      <c r="AM3083" s="4"/>
      <c r="AN3083" s="4"/>
      <c r="AO3083" s="4"/>
      <c r="AP3083" s="4"/>
      <c r="AQ3083" s="4"/>
      <c r="AR3083" s="4"/>
      <c r="AS3083" s="4"/>
      <c r="AT3083" s="4"/>
      <c r="AU3083" s="4"/>
      <c r="AV3083" s="4"/>
      <c r="AW3083" s="4"/>
      <c r="AX3083" s="4"/>
      <c r="AY3083" s="4"/>
      <c r="AZ3083" s="4"/>
      <c r="BA3083" s="4"/>
      <c r="BB3083" s="4"/>
      <c r="BC3083" s="4"/>
      <c r="BD3083" s="4"/>
      <c r="BE3083" s="4"/>
      <c r="BF3083" s="4"/>
      <c r="BG3083" s="4"/>
      <c r="BH3083" s="4"/>
      <c r="BI3083" s="4"/>
      <c r="BJ3083" s="4"/>
      <c r="BK3083" s="4"/>
      <c r="BL3083" s="4"/>
      <c r="BM3083" s="4"/>
      <c r="BN3083" s="4"/>
      <c r="BO3083" s="4"/>
      <c r="BP3083" s="4"/>
      <c r="BQ3083" s="4"/>
      <c r="BR3083" s="4"/>
      <c r="BS3083" s="4"/>
      <c r="BT3083" s="4"/>
      <c r="BU3083" s="4"/>
    </row>
    <row r="3084" spans="29:73" s="1" customFormat="1" x14ac:dyDescent="0.25">
      <c r="AC3084" s="4"/>
      <c r="AD3084" s="4"/>
      <c r="AE3084" s="4"/>
      <c r="AF3084" s="4"/>
      <c r="AG3084" s="4"/>
      <c r="AH3084" s="4"/>
      <c r="AI3084" s="4"/>
      <c r="AJ3084" s="4"/>
      <c r="AK3084" s="4"/>
      <c r="AL3084" s="4"/>
      <c r="AM3084" s="4"/>
      <c r="AN3084" s="4"/>
      <c r="AO3084" s="4"/>
      <c r="AP3084" s="4"/>
      <c r="AQ3084" s="4"/>
      <c r="AR3084" s="4"/>
      <c r="AS3084" s="4"/>
      <c r="AT3084" s="4"/>
      <c r="AU3084" s="4"/>
      <c r="AV3084" s="4"/>
      <c r="AW3084" s="4"/>
      <c r="AX3084" s="4"/>
      <c r="AY3084" s="4"/>
      <c r="AZ3084" s="4"/>
      <c r="BA3084" s="4"/>
      <c r="BB3084" s="4"/>
      <c r="BC3084" s="4"/>
      <c r="BD3084" s="4"/>
      <c r="BE3084" s="4"/>
      <c r="BF3084" s="4"/>
      <c r="BG3084" s="4"/>
      <c r="BH3084" s="4"/>
      <c r="BI3084" s="4"/>
      <c r="BJ3084" s="4"/>
      <c r="BK3084" s="4"/>
      <c r="BL3084" s="4"/>
      <c r="BM3084" s="4"/>
      <c r="BN3084" s="4"/>
      <c r="BO3084" s="4"/>
      <c r="BP3084" s="4"/>
      <c r="BQ3084" s="4"/>
      <c r="BR3084" s="4"/>
      <c r="BS3084" s="4"/>
      <c r="BT3084" s="4"/>
      <c r="BU3084" s="4"/>
    </row>
    <row r="3085" spans="29:73" s="1" customFormat="1" x14ac:dyDescent="0.25">
      <c r="AC3085" s="4"/>
      <c r="AD3085" s="4"/>
      <c r="AE3085" s="4"/>
      <c r="AF3085" s="4"/>
      <c r="AG3085" s="4"/>
      <c r="AH3085" s="4"/>
      <c r="AI3085" s="4"/>
      <c r="AJ3085" s="4"/>
      <c r="AK3085" s="4"/>
      <c r="AL3085" s="4"/>
      <c r="AM3085" s="4"/>
      <c r="AN3085" s="4"/>
      <c r="AO3085" s="4"/>
      <c r="AP3085" s="4"/>
      <c r="AQ3085" s="4"/>
      <c r="AR3085" s="4"/>
      <c r="AS3085" s="4"/>
      <c r="AT3085" s="4"/>
      <c r="AU3085" s="4"/>
      <c r="AV3085" s="4"/>
      <c r="AW3085" s="4"/>
      <c r="AX3085" s="4"/>
      <c r="AY3085" s="4"/>
      <c r="AZ3085" s="4"/>
      <c r="BA3085" s="4"/>
      <c r="BB3085" s="4"/>
      <c r="BC3085" s="4"/>
      <c r="BD3085" s="4"/>
      <c r="BE3085" s="4"/>
      <c r="BF3085" s="4"/>
      <c r="BG3085" s="4"/>
      <c r="BH3085" s="4"/>
      <c r="BI3085" s="4"/>
      <c r="BJ3085" s="4"/>
      <c r="BK3085" s="4"/>
      <c r="BL3085" s="4"/>
      <c r="BM3085" s="4"/>
      <c r="BN3085" s="4"/>
      <c r="BO3085" s="4"/>
      <c r="BP3085" s="4"/>
      <c r="BQ3085" s="4"/>
      <c r="BR3085" s="4"/>
      <c r="BS3085" s="4"/>
      <c r="BT3085" s="4"/>
      <c r="BU3085" s="4"/>
    </row>
    <row r="3086" spans="29:73" s="1" customFormat="1" x14ac:dyDescent="0.25">
      <c r="AC3086" s="4"/>
      <c r="AD3086" s="4"/>
      <c r="AE3086" s="4"/>
      <c r="AF3086" s="4"/>
      <c r="AG3086" s="4"/>
      <c r="AH3086" s="4"/>
      <c r="AI3086" s="4"/>
      <c r="AJ3086" s="4"/>
      <c r="AK3086" s="4"/>
      <c r="AL3086" s="4"/>
      <c r="AM3086" s="4"/>
      <c r="AN3086" s="4"/>
      <c r="AO3086" s="4"/>
      <c r="AP3086" s="4"/>
      <c r="AQ3086" s="4"/>
      <c r="AR3086" s="4"/>
      <c r="AS3086" s="4"/>
      <c r="AT3086" s="4"/>
      <c r="AU3086" s="4"/>
      <c r="AV3086" s="4"/>
      <c r="AW3086" s="4"/>
      <c r="AX3086" s="4"/>
      <c r="AY3086" s="4"/>
      <c r="AZ3086" s="4"/>
      <c r="BA3086" s="4"/>
      <c r="BB3086" s="4"/>
      <c r="BC3086" s="4"/>
      <c r="BD3086" s="4"/>
      <c r="BE3086" s="4"/>
      <c r="BF3086" s="4"/>
      <c r="BG3086" s="4"/>
      <c r="BH3086" s="4"/>
      <c r="BI3086" s="4"/>
      <c r="BJ3086" s="4"/>
      <c r="BK3086" s="4"/>
      <c r="BL3086" s="4"/>
      <c r="BM3086" s="4"/>
      <c r="BN3086" s="4"/>
      <c r="BO3086" s="4"/>
      <c r="BP3086" s="4"/>
      <c r="BQ3086" s="4"/>
      <c r="BR3086" s="4"/>
      <c r="BS3086" s="4"/>
      <c r="BT3086" s="4"/>
      <c r="BU3086" s="4"/>
    </row>
    <row r="3087" spans="29:73" s="1" customFormat="1" x14ac:dyDescent="0.25">
      <c r="AC3087" s="4"/>
      <c r="AD3087" s="4"/>
      <c r="AE3087" s="4"/>
      <c r="AF3087" s="4"/>
      <c r="AG3087" s="4"/>
      <c r="AH3087" s="4"/>
      <c r="AI3087" s="4"/>
      <c r="AJ3087" s="4"/>
      <c r="AK3087" s="4"/>
      <c r="AL3087" s="4"/>
      <c r="AM3087" s="4"/>
      <c r="AN3087" s="4"/>
      <c r="AO3087" s="4"/>
      <c r="AP3087" s="4"/>
      <c r="AQ3087" s="4"/>
      <c r="AR3087" s="4"/>
      <c r="AS3087" s="4"/>
      <c r="AT3087" s="4"/>
      <c r="AU3087" s="4"/>
      <c r="AV3087" s="4"/>
      <c r="AW3087" s="4"/>
      <c r="AX3087" s="4"/>
      <c r="AY3087" s="4"/>
      <c r="AZ3087" s="4"/>
      <c r="BA3087" s="4"/>
      <c r="BB3087" s="4"/>
      <c r="BC3087" s="4"/>
      <c r="BD3087" s="4"/>
      <c r="BE3087" s="4"/>
      <c r="BF3087" s="4"/>
      <c r="BG3087" s="4"/>
      <c r="BH3087" s="4"/>
      <c r="BI3087" s="4"/>
      <c r="BJ3087" s="4"/>
      <c r="BK3087" s="4"/>
      <c r="BL3087" s="4"/>
      <c r="BM3087" s="4"/>
      <c r="BN3087" s="4"/>
      <c r="BO3087" s="4"/>
      <c r="BP3087" s="4"/>
      <c r="BQ3087" s="4"/>
      <c r="BR3087" s="4"/>
      <c r="BS3087" s="4"/>
      <c r="BT3087" s="4"/>
      <c r="BU3087" s="4"/>
    </row>
    <row r="3088" spans="29:73" s="1" customFormat="1" x14ac:dyDescent="0.25">
      <c r="AC3088" s="4"/>
      <c r="AD3088" s="4"/>
      <c r="AE3088" s="4"/>
      <c r="AF3088" s="4"/>
      <c r="AG3088" s="4"/>
      <c r="AH3088" s="4"/>
      <c r="AI3088" s="4"/>
      <c r="AJ3088" s="4"/>
      <c r="AK3088" s="4"/>
      <c r="AL3088" s="4"/>
      <c r="AM3088" s="4"/>
      <c r="AN3088" s="4"/>
      <c r="AO3088" s="4"/>
      <c r="AP3088" s="4"/>
      <c r="AQ3088" s="4"/>
      <c r="AR3088" s="4"/>
      <c r="AS3088" s="4"/>
      <c r="AT3088" s="4"/>
      <c r="AU3088" s="4"/>
      <c r="AV3088" s="4"/>
      <c r="AW3088" s="4"/>
      <c r="AX3088" s="4"/>
      <c r="AY3088" s="4"/>
      <c r="AZ3088" s="4"/>
      <c r="BA3088" s="4"/>
      <c r="BB3088" s="4"/>
      <c r="BC3088" s="4"/>
      <c r="BD3088" s="4"/>
      <c r="BE3088" s="4"/>
      <c r="BF3088" s="4"/>
      <c r="BG3088" s="4"/>
      <c r="BH3088" s="4"/>
      <c r="BI3088" s="4"/>
      <c r="BJ3088" s="4"/>
      <c r="BK3088" s="4"/>
      <c r="BL3088" s="4"/>
      <c r="BM3088" s="4"/>
      <c r="BN3088" s="4"/>
      <c r="BO3088" s="4"/>
      <c r="BP3088" s="4"/>
      <c r="BQ3088" s="4"/>
      <c r="BR3088" s="4"/>
      <c r="BS3088" s="4"/>
      <c r="BT3088" s="4"/>
      <c r="BU3088" s="4"/>
    </row>
    <row r="3089" spans="29:73" s="1" customFormat="1" x14ac:dyDescent="0.25">
      <c r="AC3089" s="4"/>
      <c r="AD3089" s="4"/>
      <c r="AE3089" s="4"/>
      <c r="AF3089" s="4"/>
      <c r="AG3089" s="4"/>
      <c r="AH3089" s="4"/>
      <c r="AI3089" s="4"/>
      <c r="AJ3089" s="4"/>
      <c r="AK3089" s="4"/>
      <c r="AL3089" s="4"/>
      <c r="AM3089" s="4"/>
      <c r="AN3089" s="4"/>
      <c r="AO3089" s="4"/>
      <c r="AP3089" s="4"/>
      <c r="AQ3089" s="4"/>
      <c r="AR3089" s="4"/>
      <c r="AS3089" s="4"/>
      <c r="AT3089" s="4"/>
      <c r="AU3089" s="4"/>
      <c r="AV3089" s="4"/>
      <c r="AW3089" s="4"/>
      <c r="AX3089" s="4"/>
      <c r="AY3089" s="4"/>
      <c r="AZ3089" s="4"/>
      <c r="BA3089" s="4"/>
      <c r="BB3089" s="4"/>
      <c r="BC3089" s="4"/>
      <c r="BD3089" s="4"/>
      <c r="BE3089" s="4"/>
      <c r="BF3089" s="4"/>
      <c r="BG3089" s="4"/>
      <c r="BH3089" s="4"/>
      <c r="BI3089" s="4"/>
      <c r="BJ3089" s="4"/>
      <c r="BK3089" s="4"/>
      <c r="BL3089" s="4"/>
      <c r="BM3089" s="4"/>
      <c r="BN3089" s="4"/>
      <c r="BO3089" s="4"/>
      <c r="BP3089" s="4"/>
      <c r="BQ3089" s="4"/>
      <c r="BR3089" s="4"/>
      <c r="BS3089" s="4"/>
      <c r="BT3089" s="4"/>
      <c r="BU3089" s="4"/>
    </row>
    <row r="3090" spans="29:73" s="1" customFormat="1" x14ac:dyDescent="0.25">
      <c r="AC3090" s="4"/>
      <c r="AD3090" s="4"/>
      <c r="AE3090" s="4"/>
      <c r="AF3090" s="4"/>
      <c r="AG3090" s="4"/>
      <c r="AH3090" s="4"/>
      <c r="AI3090" s="4"/>
      <c r="AJ3090" s="4"/>
      <c r="AK3090" s="4"/>
      <c r="AL3090" s="4"/>
      <c r="AM3090" s="4"/>
      <c r="AN3090" s="4"/>
      <c r="AO3090" s="4"/>
      <c r="AP3090" s="4"/>
      <c r="AQ3090" s="4"/>
      <c r="AR3090" s="4"/>
      <c r="AS3090" s="4"/>
      <c r="AT3090" s="4"/>
      <c r="AU3090" s="4"/>
      <c r="AV3090" s="4"/>
      <c r="AW3090" s="4"/>
      <c r="AX3090" s="4"/>
      <c r="AY3090" s="4"/>
      <c r="AZ3090" s="4"/>
      <c r="BA3090" s="4"/>
      <c r="BB3090" s="4"/>
      <c r="BC3090" s="4"/>
      <c r="BD3090" s="4"/>
      <c r="BE3090" s="4"/>
      <c r="BF3090" s="4"/>
      <c r="BG3090" s="4"/>
      <c r="BH3090" s="4"/>
      <c r="BI3090" s="4"/>
      <c r="BJ3090" s="4"/>
      <c r="BK3090" s="4"/>
      <c r="BL3090" s="4"/>
      <c r="BM3090" s="4"/>
      <c r="BN3090" s="4"/>
      <c r="BO3090" s="4"/>
      <c r="BP3090" s="4"/>
      <c r="BQ3090" s="4"/>
      <c r="BR3090" s="4"/>
      <c r="BS3090" s="4"/>
      <c r="BT3090" s="4"/>
      <c r="BU3090" s="4"/>
    </row>
    <row r="3091" spans="29:73" s="1" customFormat="1" x14ac:dyDescent="0.25">
      <c r="AC3091" s="4"/>
      <c r="AD3091" s="4"/>
      <c r="AE3091" s="4"/>
      <c r="AF3091" s="4"/>
      <c r="AG3091" s="4"/>
      <c r="AH3091" s="4"/>
      <c r="AI3091" s="4"/>
      <c r="AJ3091" s="4"/>
      <c r="AK3091" s="4"/>
      <c r="AL3091" s="4"/>
      <c r="AM3091" s="4"/>
      <c r="AN3091" s="4"/>
      <c r="AO3091" s="4"/>
      <c r="AP3091" s="4"/>
      <c r="AQ3091" s="4"/>
      <c r="AR3091" s="4"/>
      <c r="AS3091" s="4"/>
      <c r="AT3091" s="4"/>
      <c r="AU3091" s="4"/>
      <c r="AV3091" s="4"/>
      <c r="AW3091" s="4"/>
      <c r="AX3091" s="4"/>
      <c r="AY3091" s="4"/>
      <c r="AZ3091" s="4"/>
      <c r="BA3091" s="4"/>
      <c r="BB3091" s="4"/>
      <c r="BC3091" s="4"/>
      <c r="BD3091" s="4"/>
      <c r="BE3091" s="4"/>
      <c r="BF3091" s="4"/>
      <c r="BG3091" s="4"/>
      <c r="BH3091" s="4"/>
      <c r="BI3091" s="4"/>
      <c r="BJ3091" s="4"/>
      <c r="BK3091" s="4"/>
      <c r="BL3091" s="4"/>
      <c r="BM3091" s="4"/>
      <c r="BN3091" s="4"/>
      <c r="BO3091" s="4"/>
      <c r="BP3091" s="4"/>
      <c r="BQ3091" s="4"/>
      <c r="BR3091" s="4"/>
      <c r="BS3091" s="4"/>
      <c r="BT3091" s="4"/>
      <c r="BU3091" s="4"/>
    </row>
    <row r="3092" spans="29:73" s="1" customFormat="1" x14ac:dyDescent="0.25">
      <c r="AC3092" s="4"/>
      <c r="AD3092" s="4"/>
      <c r="AE3092" s="4"/>
      <c r="AF3092" s="4"/>
      <c r="AG3092" s="4"/>
      <c r="AH3092" s="4"/>
      <c r="AI3092" s="4"/>
      <c r="AJ3092" s="4"/>
      <c r="AK3092" s="4"/>
      <c r="AL3092" s="4"/>
      <c r="AM3092" s="4"/>
      <c r="AN3092" s="4"/>
      <c r="AO3092" s="4"/>
      <c r="AP3092" s="4"/>
      <c r="AQ3092" s="4"/>
      <c r="AR3092" s="4"/>
      <c r="AS3092" s="4"/>
      <c r="AT3092" s="4"/>
      <c r="AU3092" s="4"/>
      <c r="AV3092" s="4"/>
      <c r="AW3092" s="4"/>
      <c r="AX3092" s="4"/>
      <c r="AY3092" s="4"/>
      <c r="AZ3092" s="4"/>
      <c r="BA3092" s="4"/>
      <c r="BB3092" s="4"/>
      <c r="BC3092" s="4"/>
      <c r="BD3092" s="4"/>
      <c r="BE3092" s="4"/>
      <c r="BF3092" s="4"/>
      <c r="BG3092" s="4"/>
      <c r="BH3092" s="4"/>
      <c r="BI3092" s="4"/>
      <c r="BJ3092" s="4"/>
      <c r="BK3092" s="4"/>
      <c r="BL3092" s="4"/>
      <c r="BM3092" s="4"/>
      <c r="BN3092" s="4"/>
      <c r="BO3092" s="4"/>
      <c r="BP3092" s="4"/>
      <c r="BQ3092" s="4"/>
      <c r="BR3092" s="4"/>
      <c r="BS3092" s="4"/>
      <c r="BT3092" s="4"/>
      <c r="BU3092" s="4"/>
    </row>
    <row r="3093" spans="29:73" s="1" customFormat="1" x14ac:dyDescent="0.25">
      <c r="AC3093" s="4"/>
      <c r="AD3093" s="4"/>
      <c r="AE3093" s="4"/>
      <c r="AF3093" s="4"/>
      <c r="AG3093" s="4"/>
      <c r="AH3093" s="4"/>
      <c r="AI3093" s="4"/>
      <c r="AJ3093" s="4"/>
      <c r="AK3093" s="4"/>
      <c r="AL3093" s="4"/>
      <c r="AM3093" s="4"/>
      <c r="AN3093" s="4"/>
      <c r="AO3093" s="4"/>
      <c r="AP3093" s="4"/>
      <c r="AQ3093" s="4"/>
      <c r="AR3093" s="4"/>
      <c r="AS3093" s="4"/>
      <c r="AT3093" s="4"/>
      <c r="AU3093" s="4"/>
      <c r="AV3093" s="4"/>
      <c r="AW3093" s="4"/>
      <c r="AX3093" s="4"/>
      <c r="AY3093" s="4"/>
      <c r="AZ3093" s="4"/>
      <c r="BA3093" s="4"/>
      <c r="BB3093" s="4"/>
      <c r="BC3093" s="4"/>
      <c r="BD3093" s="4"/>
      <c r="BE3093" s="4"/>
      <c r="BF3093" s="4"/>
      <c r="BG3093" s="4"/>
      <c r="BH3093" s="4"/>
      <c r="BI3093" s="4"/>
      <c r="BJ3093" s="4"/>
      <c r="BK3093" s="4"/>
      <c r="BL3093" s="4"/>
      <c r="BM3093" s="4"/>
      <c r="BN3093" s="4"/>
      <c r="BO3093" s="4"/>
      <c r="BP3093" s="4"/>
      <c r="BQ3093" s="4"/>
      <c r="BR3093" s="4"/>
      <c r="BS3093" s="4"/>
      <c r="BT3093" s="4"/>
      <c r="BU3093" s="4"/>
    </row>
    <row r="3094" spans="29:73" s="1" customFormat="1" x14ac:dyDescent="0.25">
      <c r="AC3094" s="4"/>
      <c r="AD3094" s="4"/>
      <c r="AE3094" s="4"/>
      <c r="AF3094" s="4"/>
      <c r="AG3094" s="4"/>
      <c r="AH3094" s="4"/>
      <c r="AI3094" s="4"/>
      <c r="AJ3094" s="4"/>
      <c r="AK3094" s="4"/>
      <c r="AL3094" s="4"/>
      <c r="AM3094" s="4"/>
      <c r="AN3094" s="4"/>
      <c r="AO3094" s="4"/>
      <c r="AP3094" s="4"/>
      <c r="AQ3094" s="4"/>
      <c r="AR3094" s="4"/>
      <c r="AS3094" s="4"/>
      <c r="AT3094" s="4"/>
      <c r="AU3094" s="4"/>
      <c r="AV3094" s="4"/>
      <c r="AW3094" s="4"/>
      <c r="AX3094" s="4"/>
      <c r="AY3094" s="4"/>
      <c r="AZ3094" s="4"/>
      <c r="BA3094" s="4"/>
      <c r="BB3094" s="4"/>
      <c r="BC3094" s="4"/>
      <c r="BD3094" s="4"/>
      <c r="BE3094" s="4"/>
      <c r="BF3094" s="4"/>
      <c r="BG3094" s="4"/>
      <c r="BH3094" s="4"/>
      <c r="BI3094" s="4"/>
      <c r="BJ3094" s="4"/>
      <c r="BK3094" s="4"/>
      <c r="BL3094" s="4"/>
      <c r="BM3094" s="4"/>
      <c r="BN3094" s="4"/>
      <c r="BO3094" s="4"/>
      <c r="BP3094" s="4"/>
      <c r="BQ3094" s="4"/>
      <c r="BR3094" s="4"/>
      <c r="BS3094" s="4"/>
      <c r="BT3094" s="4"/>
      <c r="BU3094" s="4"/>
    </row>
    <row r="3095" spans="29:73" s="1" customFormat="1" x14ac:dyDescent="0.25">
      <c r="AC3095" s="4"/>
      <c r="AD3095" s="4"/>
      <c r="AE3095" s="4"/>
      <c r="AF3095" s="4"/>
      <c r="AG3095" s="4"/>
      <c r="AH3095" s="4"/>
      <c r="AI3095" s="4"/>
      <c r="AJ3095" s="4"/>
      <c r="AK3095" s="4"/>
      <c r="AL3095" s="4"/>
      <c r="AM3095" s="4"/>
      <c r="AN3095" s="4"/>
      <c r="AO3095" s="4"/>
      <c r="AP3095" s="4"/>
      <c r="AQ3095" s="4"/>
      <c r="AR3095" s="4"/>
      <c r="AS3095" s="4"/>
      <c r="AT3095" s="4"/>
      <c r="AU3095" s="4"/>
      <c r="AV3095" s="4"/>
      <c r="AW3095" s="4"/>
      <c r="AX3095" s="4"/>
      <c r="AY3095" s="4"/>
      <c r="AZ3095" s="4"/>
      <c r="BA3095" s="4"/>
      <c r="BB3095" s="4"/>
      <c r="BC3095" s="4"/>
      <c r="BD3095" s="4"/>
      <c r="BE3095" s="4"/>
      <c r="BF3095" s="4"/>
      <c r="BG3095" s="4"/>
      <c r="BH3095" s="4"/>
      <c r="BI3095" s="4"/>
      <c r="BJ3095" s="4"/>
      <c r="BK3095" s="4"/>
      <c r="BL3095" s="4"/>
      <c r="BM3095" s="4"/>
      <c r="BN3095" s="4"/>
      <c r="BO3095" s="4"/>
      <c r="BP3095" s="4"/>
      <c r="BQ3095" s="4"/>
      <c r="BR3095" s="4"/>
      <c r="BS3095" s="4"/>
      <c r="BT3095" s="4"/>
      <c r="BU3095" s="4"/>
    </row>
    <row r="3096" spans="29:73" s="1" customFormat="1" x14ac:dyDescent="0.25">
      <c r="AC3096" s="4"/>
      <c r="AD3096" s="4"/>
      <c r="AE3096" s="4"/>
      <c r="AF3096" s="4"/>
      <c r="AG3096" s="4"/>
      <c r="AH3096" s="4"/>
      <c r="AI3096" s="4"/>
      <c r="AJ3096" s="4"/>
      <c r="AK3096" s="4"/>
      <c r="AL3096" s="4"/>
      <c r="AM3096" s="4"/>
      <c r="AN3096" s="4"/>
      <c r="AO3096" s="4"/>
      <c r="AP3096" s="4"/>
      <c r="AQ3096" s="4"/>
      <c r="AR3096" s="4"/>
      <c r="AS3096" s="4"/>
      <c r="AT3096" s="4"/>
      <c r="AU3096" s="4"/>
      <c r="AV3096" s="4"/>
      <c r="AW3096" s="4"/>
      <c r="AX3096" s="4"/>
      <c r="AY3096" s="4"/>
      <c r="AZ3096" s="4"/>
      <c r="BA3096" s="4"/>
      <c r="BB3096" s="4"/>
      <c r="BC3096" s="4"/>
      <c r="BD3096" s="4"/>
      <c r="BE3096" s="4"/>
      <c r="BF3096" s="4"/>
      <c r="BG3096" s="4"/>
      <c r="BH3096" s="4"/>
      <c r="BI3096" s="4"/>
      <c r="BJ3096" s="4"/>
      <c r="BK3096" s="4"/>
      <c r="BL3096" s="4"/>
      <c r="BM3096" s="4"/>
      <c r="BN3096" s="4"/>
      <c r="BO3096" s="4"/>
      <c r="BP3096" s="4"/>
      <c r="BQ3096" s="4"/>
      <c r="BR3096" s="4"/>
      <c r="BS3096" s="4"/>
      <c r="BT3096" s="4"/>
      <c r="BU3096" s="4"/>
    </row>
    <row r="3097" spans="29:73" s="1" customFormat="1" x14ac:dyDescent="0.25">
      <c r="AC3097" s="4"/>
      <c r="AD3097" s="4"/>
      <c r="AE3097" s="4"/>
      <c r="AF3097" s="4"/>
      <c r="AG3097" s="4"/>
      <c r="AH3097" s="4"/>
      <c r="AI3097" s="4"/>
      <c r="AJ3097" s="4"/>
      <c r="AK3097" s="4"/>
      <c r="AL3097" s="4"/>
      <c r="AM3097" s="4"/>
      <c r="AN3097" s="4"/>
      <c r="AO3097" s="4"/>
      <c r="AP3097" s="4"/>
      <c r="AQ3097" s="4"/>
      <c r="AR3097" s="4"/>
      <c r="AS3097" s="4"/>
      <c r="AT3097" s="4"/>
      <c r="AU3097" s="4"/>
      <c r="AV3097" s="4"/>
      <c r="AW3097" s="4"/>
      <c r="AX3097" s="4"/>
      <c r="AY3097" s="4"/>
      <c r="AZ3097" s="4"/>
      <c r="BA3097" s="4"/>
      <c r="BB3097" s="4"/>
      <c r="BC3097" s="4"/>
      <c r="BD3097" s="4"/>
      <c r="BE3097" s="4"/>
      <c r="BF3097" s="4"/>
      <c r="BG3097" s="4"/>
      <c r="BH3097" s="4"/>
      <c r="BI3097" s="4"/>
      <c r="BJ3097" s="4"/>
      <c r="BK3097" s="4"/>
      <c r="BL3097" s="4"/>
      <c r="BM3097" s="4"/>
      <c r="BN3097" s="4"/>
      <c r="BO3097" s="4"/>
      <c r="BP3097" s="4"/>
      <c r="BQ3097" s="4"/>
      <c r="BR3097" s="4"/>
      <c r="BS3097" s="4"/>
      <c r="BT3097" s="4"/>
      <c r="BU3097" s="4"/>
    </row>
    <row r="3098" spans="29:73" s="1" customFormat="1" x14ac:dyDescent="0.25">
      <c r="AC3098" s="4"/>
      <c r="AD3098" s="4"/>
      <c r="AE3098" s="4"/>
      <c r="AF3098" s="4"/>
      <c r="AG3098" s="4"/>
      <c r="AH3098" s="4"/>
      <c r="AI3098" s="4"/>
      <c r="AJ3098" s="4"/>
      <c r="AK3098" s="4"/>
      <c r="AL3098" s="4"/>
      <c r="AM3098" s="4"/>
      <c r="AN3098" s="4"/>
      <c r="AO3098" s="4"/>
      <c r="AP3098" s="4"/>
      <c r="AQ3098" s="4"/>
      <c r="AR3098" s="4"/>
      <c r="AS3098" s="4"/>
      <c r="AT3098" s="4"/>
      <c r="AU3098" s="4"/>
      <c r="AV3098" s="4"/>
      <c r="AW3098" s="4"/>
      <c r="AX3098" s="4"/>
      <c r="AY3098" s="4"/>
      <c r="AZ3098" s="4"/>
      <c r="BA3098" s="4"/>
      <c r="BB3098" s="4"/>
      <c r="BC3098" s="4"/>
      <c r="BD3098" s="4"/>
      <c r="BE3098" s="4"/>
      <c r="BF3098" s="4"/>
      <c r="BG3098" s="4"/>
      <c r="BH3098" s="4"/>
      <c r="BI3098" s="4"/>
      <c r="BJ3098" s="4"/>
      <c r="BK3098" s="4"/>
      <c r="BL3098" s="4"/>
      <c r="BM3098" s="4"/>
      <c r="BN3098" s="4"/>
      <c r="BO3098" s="4"/>
      <c r="BP3098" s="4"/>
      <c r="BQ3098" s="4"/>
      <c r="BR3098" s="4"/>
      <c r="BS3098" s="4"/>
      <c r="BT3098" s="4"/>
      <c r="BU3098" s="4"/>
    </row>
    <row r="3099" spans="29:73" s="1" customFormat="1" x14ac:dyDescent="0.25">
      <c r="AC3099" s="4"/>
      <c r="AD3099" s="4"/>
      <c r="AE3099" s="4"/>
      <c r="AF3099" s="4"/>
      <c r="AG3099" s="4"/>
      <c r="AH3099" s="4"/>
      <c r="AI3099" s="4"/>
      <c r="AJ3099" s="4"/>
      <c r="AK3099" s="4"/>
      <c r="AL3099" s="4"/>
      <c r="AM3099" s="4"/>
      <c r="AN3099" s="4"/>
      <c r="AO3099" s="4"/>
      <c r="AP3099" s="4"/>
      <c r="AQ3099" s="4"/>
      <c r="AR3099" s="4"/>
      <c r="AS3099" s="4"/>
      <c r="AT3099" s="4"/>
      <c r="AU3099" s="4"/>
      <c r="AV3099" s="4"/>
      <c r="AW3099" s="4"/>
      <c r="AX3099" s="4"/>
      <c r="AY3099" s="4"/>
      <c r="AZ3099" s="4"/>
      <c r="BA3099" s="4"/>
      <c r="BB3099" s="4"/>
      <c r="BC3099" s="4"/>
      <c r="BD3099" s="4"/>
      <c r="BE3099" s="4"/>
      <c r="BF3099" s="4"/>
      <c r="BG3099" s="4"/>
      <c r="BH3099" s="4"/>
      <c r="BI3099" s="4"/>
      <c r="BJ3099" s="4"/>
      <c r="BK3099" s="4"/>
      <c r="BL3099" s="4"/>
      <c r="BM3099" s="4"/>
      <c r="BN3099" s="4"/>
      <c r="BO3099" s="4"/>
      <c r="BP3099" s="4"/>
      <c r="BQ3099" s="4"/>
      <c r="BR3099" s="4"/>
      <c r="BS3099" s="4"/>
      <c r="BT3099" s="4"/>
      <c r="BU3099" s="4"/>
    </row>
    <row r="3100" spans="29:73" s="1" customFormat="1" x14ac:dyDescent="0.25">
      <c r="AC3100" s="4"/>
      <c r="AD3100" s="4"/>
      <c r="AE3100" s="4"/>
      <c r="AF3100" s="4"/>
      <c r="AG3100" s="4"/>
      <c r="AH3100" s="4"/>
      <c r="AI3100" s="4"/>
      <c r="AJ3100" s="4"/>
      <c r="AK3100" s="4"/>
      <c r="AL3100" s="4"/>
      <c r="AM3100" s="4"/>
      <c r="AN3100" s="4"/>
      <c r="AO3100" s="4"/>
      <c r="AP3100" s="4"/>
      <c r="AQ3100" s="4"/>
      <c r="AR3100" s="4"/>
      <c r="AS3100" s="4"/>
      <c r="AT3100" s="4"/>
      <c r="AU3100" s="4"/>
      <c r="AV3100" s="4"/>
      <c r="AW3100" s="4"/>
      <c r="AX3100" s="4"/>
      <c r="AY3100" s="4"/>
      <c r="AZ3100" s="4"/>
      <c r="BA3100" s="4"/>
      <c r="BB3100" s="4"/>
      <c r="BC3100" s="4"/>
      <c r="BD3100" s="4"/>
      <c r="BE3100" s="4"/>
      <c r="BF3100" s="4"/>
      <c r="BG3100" s="4"/>
      <c r="BH3100" s="4"/>
      <c r="BI3100" s="4"/>
      <c r="BJ3100" s="4"/>
      <c r="BK3100" s="4"/>
      <c r="BL3100" s="4"/>
      <c r="BM3100" s="4"/>
      <c r="BN3100" s="4"/>
      <c r="BO3100" s="4"/>
      <c r="BP3100" s="4"/>
      <c r="BQ3100" s="4"/>
      <c r="BR3100" s="4"/>
      <c r="BS3100" s="4"/>
      <c r="BT3100" s="4"/>
      <c r="BU3100" s="4"/>
    </row>
    <row r="3101" spans="29:73" s="1" customFormat="1" x14ac:dyDescent="0.25">
      <c r="AC3101" s="4"/>
      <c r="AD3101" s="4"/>
      <c r="AE3101" s="4"/>
      <c r="AF3101" s="4"/>
      <c r="AG3101" s="4"/>
      <c r="AH3101" s="4"/>
      <c r="AI3101" s="4"/>
      <c r="AJ3101" s="4"/>
      <c r="AK3101" s="4"/>
      <c r="AL3101" s="4"/>
      <c r="AM3101" s="4"/>
      <c r="AN3101" s="4"/>
      <c r="AO3101" s="4"/>
      <c r="AP3101" s="4"/>
      <c r="AQ3101" s="4"/>
      <c r="AR3101" s="4"/>
      <c r="AS3101" s="4"/>
      <c r="AT3101" s="4"/>
      <c r="AU3101" s="4"/>
      <c r="AV3101" s="4"/>
      <c r="AW3101" s="4"/>
      <c r="AX3101" s="4"/>
      <c r="AY3101" s="4"/>
      <c r="AZ3101" s="4"/>
      <c r="BA3101" s="4"/>
      <c r="BB3101" s="4"/>
      <c r="BC3101" s="4"/>
      <c r="BD3101" s="4"/>
      <c r="BE3101" s="4"/>
      <c r="BF3101" s="4"/>
      <c r="BG3101" s="4"/>
      <c r="BH3101" s="4"/>
      <c r="BI3101" s="4"/>
      <c r="BJ3101" s="4"/>
      <c r="BK3101" s="4"/>
      <c r="BL3101" s="4"/>
      <c r="BM3101" s="4"/>
      <c r="BN3101" s="4"/>
      <c r="BO3101" s="4"/>
      <c r="BP3101" s="4"/>
      <c r="BQ3101" s="4"/>
      <c r="BR3101" s="4"/>
      <c r="BS3101" s="4"/>
      <c r="BT3101" s="4"/>
      <c r="BU3101" s="4"/>
    </row>
    <row r="3102" spans="29:73" s="1" customFormat="1" x14ac:dyDescent="0.25">
      <c r="AC3102" s="4"/>
      <c r="AD3102" s="4"/>
      <c r="AE3102" s="4"/>
      <c r="AF3102" s="4"/>
      <c r="AG3102" s="4"/>
      <c r="AH3102" s="4"/>
      <c r="AI3102" s="4"/>
      <c r="AJ3102" s="4"/>
      <c r="AK3102" s="4"/>
      <c r="AL3102" s="4"/>
      <c r="AM3102" s="4"/>
      <c r="AN3102" s="4"/>
      <c r="AO3102" s="4"/>
      <c r="AP3102" s="4"/>
      <c r="AQ3102" s="4"/>
      <c r="AR3102" s="4"/>
      <c r="AS3102" s="4"/>
      <c r="AT3102" s="4"/>
      <c r="AU3102" s="4"/>
      <c r="AV3102" s="4"/>
      <c r="AW3102" s="4"/>
      <c r="AX3102" s="4"/>
      <c r="AY3102" s="4"/>
      <c r="AZ3102" s="4"/>
      <c r="BA3102" s="4"/>
      <c r="BB3102" s="4"/>
      <c r="BC3102" s="4"/>
      <c r="BD3102" s="4"/>
      <c r="BE3102" s="4"/>
      <c r="BF3102" s="4"/>
      <c r="BG3102" s="4"/>
      <c r="BH3102" s="4"/>
      <c r="BI3102" s="4"/>
      <c r="BJ3102" s="4"/>
      <c r="BK3102" s="4"/>
      <c r="BL3102" s="4"/>
      <c r="BM3102" s="4"/>
      <c r="BN3102" s="4"/>
      <c r="BO3102" s="4"/>
      <c r="BP3102" s="4"/>
      <c r="BQ3102" s="4"/>
      <c r="BR3102" s="4"/>
      <c r="BS3102" s="4"/>
      <c r="BT3102" s="4"/>
      <c r="BU3102" s="4"/>
    </row>
    <row r="3103" spans="29:73" s="1" customFormat="1" x14ac:dyDescent="0.25">
      <c r="AC3103" s="4"/>
      <c r="AD3103" s="4"/>
      <c r="AE3103" s="4"/>
      <c r="AF3103" s="4"/>
      <c r="AG3103" s="4"/>
      <c r="AH3103" s="4"/>
      <c r="AI3103" s="4"/>
      <c r="AJ3103" s="4"/>
      <c r="AK3103" s="4"/>
      <c r="AL3103" s="4"/>
      <c r="AM3103" s="4"/>
      <c r="AN3103" s="4"/>
      <c r="AO3103" s="4"/>
      <c r="AP3103" s="4"/>
      <c r="AQ3103" s="4"/>
      <c r="AR3103" s="4"/>
      <c r="AS3103" s="4"/>
      <c r="AT3103" s="4"/>
      <c r="AU3103" s="4"/>
      <c r="AV3103" s="4"/>
      <c r="AW3103" s="4"/>
      <c r="AX3103" s="4"/>
      <c r="AY3103" s="4"/>
      <c r="AZ3103" s="4"/>
      <c r="BA3103" s="4"/>
      <c r="BB3103" s="4"/>
      <c r="BC3103" s="4"/>
      <c r="BD3103" s="4"/>
      <c r="BE3103" s="4"/>
      <c r="BF3103" s="4"/>
      <c r="BG3103" s="4"/>
      <c r="BH3103" s="4"/>
      <c r="BI3103" s="4"/>
      <c r="BJ3103" s="4"/>
      <c r="BK3103" s="4"/>
      <c r="BL3103" s="4"/>
      <c r="BM3103" s="4"/>
      <c r="BN3103" s="4"/>
      <c r="BO3103" s="4"/>
      <c r="BP3103" s="4"/>
      <c r="BQ3103" s="4"/>
      <c r="BR3103" s="4"/>
      <c r="BS3103" s="4"/>
      <c r="BT3103" s="4"/>
      <c r="BU3103" s="4"/>
    </row>
  </sheetData>
  <mergeCells count="69">
    <mergeCell ref="N5:BJ5"/>
    <mergeCell ref="BJ6:BJ8"/>
    <mergeCell ref="P7:R7"/>
    <mergeCell ref="V7:X7"/>
    <mergeCell ref="AB7:AD7"/>
    <mergeCell ref="AH7:AJ7"/>
    <mergeCell ref="T6:T8"/>
    <mergeCell ref="BF7:BH7"/>
    <mergeCell ref="AR6:AR8"/>
    <mergeCell ref="AX6:AX8"/>
    <mergeCell ref="BD6:BD8"/>
    <mergeCell ref="N6:N8"/>
    <mergeCell ref="AL6:AL8"/>
    <mergeCell ref="Z6:Z8"/>
    <mergeCell ref="AF6:AF8"/>
    <mergeCell ref="AN7:AP7"/>
    <mergeCell ref="AT7:AV7"/>
    <mergeCell ref="AZ7:BB7"/>
    <mergeCell ref="C34:G34"/>
    <mergeCell ref="BP34:BT34"/>
    <mergeCell ref="BP10:BQ10"/>
    <mergeCell ref="L11:M11"/>
    <mergeCell ref="D14:F14"/>
    <mergeCell ref="E15:E17"/>
    <mergeCell ref="BP15:BQ18"/>
    <mergeCell ref="D18:F18"/>
    <mergeCell ref="K10:K12"/>
    <mergeCell ref="AN35:AP35"/>
    <mergeCell ref="BF35:BH35"/>
    <mergeCell ref="BP35:BT35"/>
    <mergeCell ref="BP22:BQ22"/>
    <mergeCell ref="M25:BK25"/>
    <mergeCell ref="C35:G35"/>
    <mergeCell ref="P35:R35"/>
    <mergeCell ref="V35:X35"/>
    <mergeCell ref="AB35:AD35"/>
    <mergeCell ref="AH35:AJ35"/>
    <mergeCell ref="BP54:BQ54"/>
    <mergeCell ref="M60:BK60"/>
    <mergeCell ref="BP52:BQ52"/>
    <mergeCell ref="BP53:BQ53"/>
    <mergeCell ref="E41:F41"/>
    <mergeCell ref="BI41:BI43"/>
    <mergeCell ref="BC40:BC42"/>
    <mergeCell ref="F48:K48"/>
    <mergeCell ref="G38:G40"/>
    <mergeCell ref="S40:S42"/>
    <mergeCell ref="L50:M50"/>
    <mergeCell ref="P50:R50"/>
    <mergeCell ref="AE40:AE42"/>
    <mergeCell ref="AK40:AK42"/>
    <mergeCell ref="V50:V51"/>
    <mergeCell ref="Y40:Y42"/>
    <mergeCell ref="A1:BV1"/>
    <mergeCell ref="Q14:Q18"/>
    <mergeCell ref="BR39:BR41"/>
    <mergeCell ref="W39:W40"/>
    <mergeCell ref="G49:K49"/>
    <mergeCell ref="E42:F42"/>
    <mergeCell ref="AQ40:AQ42"/>
    <mergeCell ref="AW40:AW42"/>
    <mergeCell ref="AT35:AV35"/>
    <mergeCell ref="AZ35:BB35"/>
    <mergeCell ref="BR15:BS18"/>
    <mergeCell ref="D44:D47"/>
    <mergeCell ref="BS44:BT46"/>
    <mergeCell ref="BR45:BR48"/>
    <mergeCell ref="C37:D37"/>
    <mergeCell ref="BP37:BQ37"/>
  </mergeCells>
  <printOptions horizontalCentered="1"/>
  <pageMargins left="0.25" right="0.25" top="1" bottom="0.25" header="0.5" footer="0"/>
  <pageSetup paperSize="9" scale="75" orientation="landscape" horizontalDpi="180" verticalDpi="18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K80"/>
  <sheetViews>
    <sheetView showGridLines="0" topLeftCell="B1" workbookViewId="0">
      <pane ySplit="2" topLeftCell="A60" activePane="bottomLeft" state="frozen"/>
      <selection activeCell="H39" sqref="H39:I39"/>
      <selection pane="bottomLeft" activeCell="O12" sqref="O12"/>
    </sheetView>
  </sheetViews>
  <sheetFormatPr defaultRowHeight="12.75" x14ac:dyDescent="0.25"/>
  <cols>
    <col min="1" max="1" width="51.140625" style="267" bestFit="1" customWidth="1"/>
    <col min="2" max="2" width="9.85546875" style="268" bestFit="1" customWidth="1"/>
    <col min="3" max="3" width="5.5703125" style="267" bestFit="1" customWidth="1"/>
    <col min="4" max="4" width="16.5703125" style="268" bestFit="1" customWidth="1"/>
    <col min="5" max="5" width="5" style="268" bestFit="1" customWidth="1"/>
    <col min="6" max="6" width="10.85546875" style="267" bestFit="1" customWidth="1"/>
    <col min="7" max="8" width="9.5703125" style="267" bestFit="1" customWidth="1"/>
    <col min="9" max="9" width="8.5703125" style="267" bestFit="1" customWidth="1"/>
    <col min="10" max="16384" width="9.140625" style="267"/>
  </cols>
  <sheetData>
    <row r="1" spans="1:8" s="226" customFormat="1" ht="21.95" customHeight="1" thickBot="1" x14ac:dyDescent="0.3">
      <c r="A1" s="322" t="s">
        <v>16</v>
      </c>
      <c r="B1" s="322"/>
      <c r="C1" s="322"/>
      <c r="D1" s="322"/>
      <c r="E1" s="322"/>
      <c r="F1" s="322"/>
      <c r="G1" s="229"/>
      <c r="H1" s="230"/>
    </row>
    <row r="2" spans="1:8" s="236" customFormat="1" ht="15.75" thickBot="1" x14ac:dyDescent="0.3">
      <c r="A2" s="231" t="s">
        <v>17</v>
      </c>
      <c r="B2" s="232" t="s">
        <v>18</v>
      </c>
      <c r="C2" s="233" t="s">
        <v>19</v>
      </c>
      <c r="D2" s="234" t="s">
        <v>20</v>
      </c>
      <c r="E2" s="234" t="s">
        <v>21</v>
      </c>
      <c r="F2" s="234" t="s">
        <v>22</v>
      </c>
      <c r="G2" s="235"/>
    </row>
    <row r="3" spans="1:8" s="241" customFormat="1" ht="15" x14ac:dyDescent="0.25">
      <c r="A3" s="237" t="s">
        <v>23</v>
      </c>
      <c r="B3" s="238" t="s">
        <v>18</v>
      </c>
      <c r="C3" s="239">
        <v>0.7</v>
      </c>
      <c r="D3" s="238" t="s">
        <v>24</v>
      </c>
      <c r="E3" s="238"/>
      <c r="F3" s="240" t="s">
        <v>25</v>
      </c>
    </row>
    <row r="4" spans="1:8" s="241" customFormat="1" ht="15" x14ac:dyDescent="0.25">
      <c r="A4" s="242"/>
      <c r="B4" s="243"/>
      <c r="C4" s="244"/>
      <c r="D4" s="243"/>
      <c r="E4" s="243"/>
      <c r="F4" s="245"/>
    </row>
    <row r="5" spans="1:8" s="241" customFormat="1" ht="15" x14ac:dyDescent="0.25">
      <c r="A5" s="246" t="s">
        <v>26</v>
      </c>
      <c r="B5" s="247" t="s">
        <v>18</v>
      </c>
      <c r="C5" s="248">
        <v>0.5</v>
      </c>
      <c r="D5" s="247" t="s">
        <v>24</v>
      </c>
      <c r="E5" s="247"/>
      <c r="F5" s="249" t="s">
        <v>25</v>
      </c>
    </row>
    <row r="6" spans="1:8" s="241" customFormat="1" ht="15" x14ac:dyDescent="0.25">
      <c r="A6" s="242"/>
      <c r="B6" s="243"/>
      <c r="C6" s="244"/>
      <c r="D6" s="243"/>
      <c r="E6" s="243"/>
      <c r="F6" s="245"/>
    </row>
    <row r="7" spans="1:8" s="241" customFormat="1" ht="15" x14ac:dyDescent="0.25">
      <c r="A7" s="323" t="s">
        <v>27</v>
      </c>
      <c r="B7" s="247" t="s">
        <v>28</v>
      </c>
      <c r="C7" s="250">
        <f>0.5/10</f>
        <v>0.05</v>
      </c>
      <c r="D7" s="247" t="s">
        <v>29</v>
      </c>
      <c r="E7" s="247" t="s">
        <v>30</v>
      </c>
      <c r="F7" s="251">
        <f>[1]BoQ!AA34</f>
        <v>42</v>
      </c>
    </row>
    <row r="8" spans="1:8" s="241" customFormat="1" ht="15" x14ac:dyDescent="0.25">
      <c r="A8" s="324"/>
      <c r="B8" s="247" t="s">
        <v>18</v>
      </c>
      <c r="C8" s="250">
        <f>1/10</f>
        <v>0.1</v>
      </c>
      <c r="D8" s="247" t="s">
        <v>31</v>
      </c>
      <c r="E8" s="247" t="s">
        <v>32</v>
      </c>
      <c r="F8" s="249">
        <f>0.71/10</f>
        <v>7.0999999999999994E-2</v>
      </c>
    </row>
    <row r="9" spans="1:8" s="241" customFormat="1" ht="15" x14ac:dyDescent="0.25">
      <c r="A9" s="242"/>
      <c r="B9" s="243"/>
      <c r="C9" s="244"/>
      <c r="D9" s="243"/>
      <c r="E9" s="243"/>
      <c r="F9" s="245"/>
    </row>
    <row r="10" spans="1:8" s="241" customFormat="1" ht="15" x14ac:dyDescent="0.25">
      <c r="A10" s="323" t="s">
        <v>33</v>
      </c>
      <c r="B10" s="247" t="s">
        <v>28</v>
      </c>
      <c r="C10" s="250">
        <v>1</v>
      </c>
      <c r="D10" s="247" t="s">
        <v>34</v>
      </c>
      <c r="E10" s="247" t="s">
        <v>32</v>
      </c>
      <c r="F10" s="249">
        <v>1.1000000000000001</v>
      </c>
    </row>
    <row r="11" spans="1:8" s="241" customFormat="1" ht="15" x14ac:dyDescent="0.25">
      <c r="A11" s="324"/>
      <c r="B11" s="247" t="s">
        <v>18</v>
      </c>
      <c r="C11" s="250">
        <v>1.5</v>
      </c>
      <c r="D11" s="247" t="s">
        <v>31</v>
      </c>
      <c r="E11" s="247" t="s">
        <v>32</v>
      </c>
      <c r="F11" s="249">
        <v>0.71</v>
      </c>
    </row>
    <row r="12" spans="1:8" s="241" customFormat="1" ht="15" x14ac:dyDescent="0.25">
      <c r="A12" s="242"/>
      <c r="B12" s="243"/>
      <c r="C12" s="244"/>
      <c r="D12" s="243"/>
      <c r="E12" s="243"/>
      <c r="F12" s="245"/>
    </row>
    <row r="13" spans="1:8" s="241" customFormat="1" ht="15" x14ac:dyDescent="0.25">
      <c r="A13" s="323" t="s">
        <v>35</v>
      </c>
      <c r="B13" s="247" t="s">
        <v>28</v>
      </c>
      <c r="C13" s="250">
        <f>1.1/10</f>
        <v>0.11000000000000001</v>
      </c>
      <c r="D13" s="247" t="s">
        <v>29</v>
      </c>
      <c r="E13" s="247" t="s">
        <v>30</v>
      </c>
      <c r="F13" s="251">
        <f>[1]BoQ!Z34</f>
        <v>56</v>
      </c>
    </row>
    <row r="14" spans="1:8" s="241" customFormat="1" ht="15" x14ac:dyDescent="0.25">
      <c r="A14" s="324"/>
      <c r="B14" s="247" t="s">
        <v>18</v>
      </c>
      <c r="C14" s="250">
        <f>1.8/10</f>
        <v>0.18</v>
      </c>
      <c r="D14" s="247" t="s">
        <v>31</v>
      </c>
      <c r="E14" s="247" t="s">
        <v>32</v>
      </c>
      <c r="F14" s="252">
        <v>7.0999999999999994E-2</v>
      </c>
      <c r="G14" s="253"/>
    </row>
    <row r="15" spans="1:8" s="241" customFormat="1" ht="15" x14ac:dyDescent="0.25">
      <c r="A15" s="254"/>
      <c r="B15" s="243"/>
      <c r="C15" s="244"/>
      <c r="D15" s="243"/>
      <c r="E15" s="243"/>
      <c r="F15" s="245"/>
    </row>
    <row r="16" spans="1:8" s="241" customFormat="1" ht="15" x14ac:dyDescent="0.25">
      <c r="A16" s="255" t="s">
        <v>36</v>
      </c>
      <c r="B16" s="247" t="s">
        <v>28</v>
      </c>
      <c r="C16" s="250">
        <v>1.5</v>
      </c>
      <c r="D16" s="247" t="s">
        <v>34</v>
      </c>
      <c r="E16" s="247" t="s">
        <v>32</v>
      </c>
      <c r="F16" s="249">
        <v>1.1000000000000001</v>
      </c>
    </row>
    <row r="17" spans="1:6" s="241" customFormat="1" ht="15" x14ac:dyDescent="0.25">
      <c r="A17" s="256"/>
      <c r="B17" s="247" t="s">
        <v>18</v>
      </c>
      <c r="C17" s="250">
        <v>5</v>
      </c>
      <c r="D17" s="247" t="s">
        <v>37</v>
      </c>
      <c r="E17" s="247" t="s">
        <v>38</v>
      </c>
      <c r="F17" s="249">
        <f>159</f>
        <v>159</v>
      </c>
    </row>
    <row r="18" spans="1:6" s="241" customFormat="1" ht="15" x14ac:dyDescent="0.25">
      <c r="A18" s="257"/>
      <c r="B18" s="247"/>
      <c r="C18" s="250"/>
      <c r="D18" s="247" t="s">
        <v>31</v>
      </c>
      <c r="E18" s="247" t="s">
        <v>39</v>
      </c>
      <c r="F18" s="249">
        <v>0.45</v>
      </c>
    </row>
    <row r="19" spans="1:6" s="241" customFormat="1" ht="15" x14ac:dyDescent="0.25">
      <c r="A19" s="258"/>
      <c r="B19" s="243"/>
      <c r="C19" s="244"/>
      <c r="D19" s="243"/>
      <c r="E19" s="243"/>
      <c r="F19" s="245"/>
    </row>
    <row r="20" spans="1:6" s="241" customFormat="1" ht="15" x14ac:dyDescent="0.25">
      <c r="A20" s="320" t="s">
        <v>40</v>
      </c>
      <c r="B20" s="247" t="s">
        <v>28</v>
      </c>
      <c r="C20" s="250">
        <v>1.5</v>
      </c>
      <c r="D20" s="247" t="s">
        <v>34</v>
      </c>
      <c r="E20" s="247" t="s">
        <v>32</v>
      </c>
      <c r="F20" s="249">
        <v>1.1000000000000001</v>
      </c>
    </row>
    <row r="21" spans="1:6" s="241" customFormat="1" ht="15" x14ac:dyDescent="0.25">
      <c r="A21" s="325"/>
      <c r="B21" s="247" t="s">
        <v>18</v>
      </c>
      <c r="C21" s="250">
        <v>5</v>
      </c>
      <c r="D21" s="247" t="s">
        <v>37</v>
      </c>
      <c r="E21" s="247" t="s">
        <v>38</v>
      </c>
      <c r="F21" s="249">
        <v>106</v>
      </c>
    </row>
    <row r="22" spans="1:6" s="241" customFormat="1" ht="15" x14ac:dyDescent="0.25">
      <c r="A22" s="321"/>
      <c r="B22" s="247"/>
      <c r="C22" s="250"/>
      <c r="D22" s="247" t="s">
        <v>31</v>
      </c>
      <c r="E22" s="247" t="s">
        <v>39</v>
      </c>
      <c r="F22" s="249">
        <v>0.47</v>
      </c>
    </row>
    <row r="23" spans="1:6" s="241" customFormat="1" ht="15" x14ac:dyDescent="0.25">
      <c r="A23" s="254"/>
      <c r="B23" s="243"/>
      <c r="C23" s="244"/>
      <c r="D23" s="243"/>
      <c r="E23" s="243"/>
      <c r="F23" s="245"/>
    </row>
    <row r="24" spans="1:6" s="241" customFormat="1" ht="15" x14ac:dyDescent="0.25">
      <c r="A24" s="323" t="s">
        <v>41</v>
      </c>
      <c r="B24" s="247" t="s">
        <v>28</v>
      </c>
      <c r="C24" s="250">
        <v>1</v>
      </c>
      <c r="D24" s="247" t="s">
        <v>34</v>
      </c>
      <c r="E24" s="247" t="s">
        <v>32</v>
      </c>
      <c r="F24" s="249">
        <v>1.1000000000000001</v>
      </c>
    </row>
    <row r="25" spans="1:6" s="241" customFormat="1" ht="15" x14ac:dyDescent="0.25">
      <c r="A25" s="324"/>
      <c r="B25" s="247" t="s">
        <v>18</v>
      </c>
      <c r="C25" s="250">
        <v>2</v>
      </c>
      <c r="D25" s="247"/>
      <c r="E25" s="247"/>
      <c r="F25" s="249"/>
    </row>
    <row r="26" spans="1:6" s="241" customFormat="1" ht="15" x14ac:dyDescent="0.25">
      <c r="A26" s="254"/>
      <c r="B26" s="243"/>
      <c r="C26" s="244"/>
      <c r="D26" s="243"/>
      <c r="E26" s="243"/>
      <c r="F26" s="245"/>
    </row>
    <row r="27" spans="1:6" s="241" customFormat="1" ht="15" x14ac:dyDescent="0.25">
      <c r="A27" s="320" t="s">
        <v>42</v>
      </c>
      <c r="B27" s="247" t="s">
        <v>28</v>
      </c>
      <c r="C27" s="250">
        <v>1.5</v>
      </c>
      <c r="D27" s="247" t="s">
        <v>29</v>
      </c>
      <c r="E27" s="247" t="s">
        <v>30</v>
      </c>
      <c r="F27" s="249">
        <f>[1]BoQ!Y34</f>
        <v>428</v>
      </c>
    </row>
    <row r="28" spans="1:6" s="241" customFormat="1" ht="15" x14ac:dyDescent="0.25">
      <c r="A28" s="325"/>
      <c r="B28" s="247" t="s">
        <v>18</v>
      </c>
      <c r="C28" s="250">
        <v>2.2000000000000002</v>
      </c>
      <c r="D28" s="247" t="s">
        <v>37</v>
      </c>
      <c r="E28" s="247" t="s">
        <v>38</v>
      </c>
      <c r="F28" s="249">
        <v>100</v>
      </c>
    </row>
    <row r="29" spans="1:6" s="241" customFormat="1" ht="15" x14ac:dyDescent="0.25">
      <c r="A29" s="321"/>
      <c r="B29" s="247"/>
      <c r="C29" s="250"/>
      <c r="D29" s="247" t="s">
        <v>31</v>
      </c>
      <c r="E29" s="247" t="s">
        <v>39</v>
      </c>
      <c r="F29" s="249">
        <v>0.28000000000000003</v>
      </c>
    </row>
    <row r="30" spans="1:6" s="241" customFormat="1" ht="15" x14ac:dyDescent="0.25">
      <c r="A30" s="259"/>
      <c r="B30" s="243"/>
      <c r="C30" s="244"/>
      <c r="D30" s="243"/>
      <c r="E30" s="243"/>
      <c r="F30" s="245"/>
    </row>
    <row r="31" spans="1:6" s="241" customFormat="1" ht="15" x14ac:dyDescent="0.25">
      <c r="A31" s="320" t="s">
        <v>43</v>
      </c>
      <c r="B31" s="247" t="s">
        <v>28</v>
      </c>
      <c r="C31" s="250">
        <v>1.5</v>
      </c>
      <c r="D31" s="247" t="s">
        <v>29</v>
      </c>
      <c r="E31" s="247" t="s">
        <v>30</v>
      </c>
      <c r="F31" s="249">
        <f>[1]BoQ!Y34</f>
        <v>428</v>
      </c>
    </row>
    <row r="32" spans="1:6" s="241" customFormat="1" ht="15" x14ac:dyDescent="0.25">
      <c r="A32" s="325"/>
      <c r="B32" s="247" t="s">
        <v>18</v>
      </c>
      <c r="C32" s="250">
        <v>2.2000000000000002</v>
      </c>
      <c r="D32" s="247" t="s">
        <v>37</v>
      </c>
      <c r="E32" s="247" t="s">
        <v>38</v>
      </c>
      <c r="F32" s="249">
        <v>70</v>
      </c>
    </row>
    <row r="33" spans="1:11" s="241" customFormat="1" ht="15" x14ac:dyDescent="0.25">
      <c r="A33" s="321"/>
      <c r="B33" s="247"/>
      <c r="C33" s="250"/>
      <c r="D33" s="247" t="s">
        <v>31</v>
      </c>
      <c r="E33" s="247" t="s">
        <v>39</v>
      </c>
      <c r="F33" s="249">
        <v>0.3</v>
      </c>
    </row>
    <row r="34" spans="1:11" s="241" customFormat="1" ht="15" x14ac:dyDescent="0.25">
      <c r="A34" s="254"/>
      <c r="B34" s="243"/>
      <c r="C34" s="244"/>
      <c r="D34" s="243"/>
      <c r="E34" s="243"/>
      <c r="F34" s="245"/>
    </row>
    <row r="35" spans="1:11" s="241" customFormat="1" ht="15" x14ac:dyDescent="0.25">
      <c r="A35" s="320" t="s">
        <v>44</v>
      </c>
      <c r="B35" s="247" t="s">
        <v>28</v>
      </c>
      <c r="C35" s="250">
        <v>1</v>
      </c>
      <c r="D35" s="247" t="s">
        <v>37</v>
      </c>
      <c r="E35" s="247" t="s">
        <v>38</v>
      </c>
      <c r="F35" s="260">
        <v>220</v>
      </c>
      <c r="G35" s="236" t="s">
        <v>45</v>
      </c>
      <c r="H35" s="236" t="s">
        <v>46</v>
      </c>
      <c r="K35" s="261"/>
    </row>
    <row r="36" spans="1:11" s="241" customFormat="1" ht="15" x14ac:dyDescent="0.25">
      <c r="A36" s="325"/>
      <c r="B36" s="247" t="s">
        <v>18</v>
      </c>
      <c r="C36" s="250">
        <v>4</v>
      </c>
      <c r="D36" s="247" t="s">
        <v>47</v>
      </c>
      <c r="E36" s="247" t="s">
        <v>32</v>
      </c>
      <c r="F36" s="260">
        <f>G36+H36</f>
        <v>0.89</v>
      </c>
      <c r="G36" s="262">
        <v>0.65</v>
      </c>
      <c r="H36" s="262">
        <v>0.24</v>
      </c>
    </row>
    <row r="37" spans="1:11" s="241" customFormat="1" ht="15" x14ac:dyDescent="0.25">
      <c r="A37" s="321"/>
      <c r="B37" s="247"/>
      <c r="C37" s="250"/>
      <c r="D37" s="247" t="s">
        <v>31</v>
      </c>
      <c r="E37" s="247" t="s">
        <v>39</v>
      </c>
      <c r="F37" s="260">
        <v>0.47</v>
      </c>
      <c r="G37" s="263"/>
    </row>
    <row r="38" spans="1:11" s="241" customFormat="1" ht="15" x14ac:dyDescent="0.25">
      <c r="A38" s="259"/>
      <c r="B38" s="243"/>
      <c r="C38" s="244"/>
      <c r="D38" s="243"/>
      <c r="E38" s="243"/>
      <c r="F38" s="245"/>
      <c r="G38" s="263"/>
    </row>
    <row r="39" spans="1:11" s="241" customFormat="1" ht="15" x14ac:dyDescent="0.25">
      <c r="A39" s="326" t="s">
        <v>48</v>
      </c>
      <c r="B39" s="247" t="s">
        <v>28</v>
      </c>
      <c r="C39" s="250">
        <v>1</v>
      </c>
      <c r="D39" s="247" t="s">
        <v>37</v>
      </c>
      <c r="E39" s="247" t="s">
        <v>38</v>
      </c>
      <c r="F39" s="260">
        <v>320</v>
      </c>
      <c r="G39" s="236" t="s">
        <v>45</v>
      </c>
      <c r="H39" s="236" t="s">
        <v>46</v>
      </c>
      <c r="I39" s="236" t="s">
        <v>49</v>
      </c>
    </row>
    <row r="40" spans="1:11" s="241" customFormat="1" ht="15" x14ac:dyDescent="0.25">
      <c r="A40" s="326"/>
      <c r="B40" s="247" t="s">
        <v>18</v>
      </c>
      <c r="C40" s="250">
        <v>4</v>
      </c>
      <c r="D40" s="247" t="s">
        <v>47</v>
      </c>
      <c r="E40" s="247" t="s">
        <v>32</v>
      </c>
      <c r="F40" s="260">
        <f>G40+H40+I40</f>
        <v>0.85</v>
      </c>
      <c r="G40" s="262">
        <v>0.52</v>
      </c>
      <c r="H40" s="262">
        <v>0.22</v>
      </c>
      <c r="I40" s="262">
        <v>0.11</v>
      </c>
    </row>
    <row r="41" spans="1:11" s="241" customFormat="1" ht="15" x14ac:dyDescent="0.25">
      <c r="A41" s="326"/>
      <c r="B41" s="247"/>
      <c r="C41" s="250"/>
      <c r="D41" s="247" t="s">
        <v>31</v>
      </c>
      <c r="E41" s="247" t="s">
        <v>39</v>
      </c>
      <c r="F41" s="260">
        <v>0.45</v>
      </c>
    </row>
    <row r="42" spans="1:11" s="241" customFormat="1" ht="15" x14ac:dyDescent="0.25">
      <c r="A42" s="254"/>
      <c r="B42" s="243"/>
      <c r="C42" s="244"/>
      <c r="D42" s="243"/>
      <c r="E42" s="243"/>
      <c r="F42" s="245"/>
      <c r="G42" s="263"/>
    </row>
    <row r="43" spans="1:11" s="241" customFormat="1" ht="15" x14ac:dyDescent="0.25">
      <c r="A43" s="320" t="s">
        <v>50</v>
      </c>
      <c r="B43" s="247" t="s">
        <v>28</v>
      </c>
      <c r="C43" s="250">
        <v>0.8</v>
      </c>
      <c r="D43" s="247" t="s">
        <v>37</v>
      </c>
      <c r="E43" s="247" t="s">
        <v>38</v>
      </c>
      <c r="F43" s="260">
        <v>320</v>
      </c>
      <c r="G43" s="236" t="s">
        <v>45</v>
      </c>
      <c r="H43" s="236" t="s">
        <v>46</v>
      </c>
      <c r="I43" s="236" t="s">
        <v>49</v>
      </c>
    </row>
    <row r="44" spans="1:11" s="241" customFormat="1" ht="15" x14ac:dyDescent="0.25">
      <c r="A44" s="325"/>
      <c r="B44" s="247" t="s">
        <v>18</v>
      </c>
      <c r="C44" s="250">
        <v>7</v>
      </c>
      <c r="D44" s="247" t="s">
        <v>47</v>
      </c>
      <c r="E44" s="247" t="s">
        <v>32</v>
      </c>
      <c r="F44" s="260">
        <f>G44+H44+I44</f>
        <v>0.85</v>
      </c>
      <c r="G44" s="262">
        <v>0.52</v>
      </c>
      <c r="H44" s="262">
        <v>0.22</v>
      </c>
      <c r="I44" s="262">
        <v>0.11</v>
      </c>
    </row>
    <row r="45" spans="1:11" s="241" customFormat="1" ht="15" x14ac:dyDescent="0.25">
      <c r="A45" s="321"/>
      <c r="B45" s="247"/>
      <c r="C45" s="250"/>
      <c r="D45" s="247" t="s">
        <v>31</v>
      </c>
      <c r="E45" s="247" t="s">
        <v>39</v>
      </c>
      <c r="F45" s="260">
        <v>0.45</v>
      </c>
    </row>
    <row r="46" spans="1:11" s="241" customFormat="1" ht="15" x14ac:dyDescent="0.25">
      <c r="A46" s="254"/>
      <c r="B46" s="243"/>
      <c r="C46" s="244"/>
      <c r="D46" s="243"/>
      <c r="E46" s="243"/>
      <c r="F46" s="245"/>
      <c r="G46" s="263"/>
    </row>
    <row r="47" spans="1:11" s="241" customFormat="1" ht="15" x14ac:dyDescent="0.25">
      <c r="A47" s="320" t="s">
        <v>51</v>
      </c>
      <c r="B47" s="247" t="s">
        <v>28</v>
      </c>
      <c r="C47" s="264">
        <f>12</f>
        <v>12</v>
      </c>
      <c r="D47" s="247" t="s">
        <v>52</v>
      </c>
      <c r="E47" s="247" t="s">
        <v>38</v>
      </c>
      <c r="F47" s="251">
        <f>1.05*1000</f>
        <v>1050</v>
      </c>
      <c r="G47" s="265"/>
    </row>
    <row r="48" spans="1:11" s="241" customFormat="1" ht="15" x14ac:dyDescent="0.25">
      <c r="A48" s="321"/>
      <c r="B48" s="247" t="s">
        <v>18</v>
      </c>
      <c r="C48" s="264">
        <f>12</f>
        <v>12</v>
      </c>
      <c r="D48" s="247" t="s">
        <v>53</v>
      </c>
      <c r="E48" s="247" t="s">
        <v>38</v>
      </c>
      <c r="F48" s="251">
        <f>10</f>
        <v>10</v>
      </c>
      <c r="G48" s="263"/>
    </row>
    <row r="49" spans="1:7" s="241" customFormat="1" ht="15" x14ac:dyDescent="0.25">
      <c r="A49" s="242"/>
      <c r="B49" s="243"/>
      <c r="C49" s="244"/>
      <c r="D49" s="243"/>
      <c r="E49" s="243"/>
      <c r="F49" s="245"/>
      <c r="G49" s="263"/>
    </row>
    <row r="50" spans="1:7" s="241" customFormat="1" ht="15" x14ac:dyDescent="0.25">
      <c r="A50" s="320" t="s">
        <v>54</v>
      </c>
      <c r="B50" s="247" t="s">
        <v>55</v>
      </c>
      <c r="C50" s="250">
        <v>0.17199999999999999</v>
      </c>
      <c r="D50" s="247" t="s">
        <v>56</v>
      </c>
      <c r="E50" s="247" t="s">
        <v>32</v>
      </c>
      <c r="F50" s="260">
        <v>9.8600000000000007E-3</v>
      </c>
      <c r="G50" s="263"/>
    </row>
    <row r="51" spans="1:7" s="241" customFormat="1" ht="15" x14ac:dyDescent="0.25">
      <c r="A51" s="321"/>
      <c r="B51" s="247" t="s">
        <v>18</v>
      </c>
      <c r="C51" s="250">
        <v>0.27500000000000002</v>
      </c>
      <c r="D51" s="247" t="s">
        <v>57</v>
      </c>
      <c r="E51" s="247" t="s">
        <v>38</v>
      </c>
      <c r="F51" s="260">
        <v>0.25</v>
      </c>
      <c r="G51" s="263"/>
    </row>
    <row r="52" spans="1:7" s="241" customFormat="1" ht="15" x14ac:dyDescent="0.25">
      <c r="A52" s="242"/>
      <c r="B52" s="243"/>
      <c r="C52" s="244"/>
      <c r="D52" s="243"/>
      <c r="E52" s="243"/>
      <c r="F52" s="245"/>
      <c r="G52" s="263"/>
    </row>
    <row r="53" spans="1:7" s="241" customFormat="1" ht="15" x14ac:dyDescent="0.25">
      <c r="A53" s="327" t="s">
        <v>58</v>
      </c>
      <c r="B53" s="247" t="s">
        <v>55</v>
      </c>
      <c r="C53" s="250">
        <v>34</v>
      </c>
      <c r="D53" s="247" t="s">
        <v>56</v>
      </c>
      <c r="E53" s="247" t="s">
        <v>39</v>
      </c>
      <c r="F53" s="260">
        <v>1.1000000000000001</v>
      </c>
      <c r="G53" s="263"/>
    </row>
    <row r="54" spans="1:7" s="241" customFormat="1" ht="15" x14ac:dyDescent="0.25">
      <c r="A54" s="327"/>
      <c r="B54" s="247" t="s">
        <v>18</v>
      </c>
      <c r="C54" s="250">
        <v>3.4</v>
      </c>
      <c r="D54" s="247" t="s">
        <v>59</v>
      </c>
      <c r="E54" s="247" t="s">
        <v>60</v>
      </c>
      <c r="F54" s="260">
        <v>92</v>
      </c>
      <c r="G54" s="263"/>
    </row>
    <row r="55" spans="1:7" s="241" customFormat="1" ht="15" x14ac:dyDescent="0.25">
      <c r="A55" s="327"/>
      <c r="B55" s="247"/>
      <c r="C55" s="250"/>
      <c r="D55" s="247" t="s">
        <v>61</v>
      </c>
      <c r="E55" s="247" t="s">
        <v>60</v>
      </c>
      <c r="F55" s="260">
        <v>184</v>
      </c>
      <c r="G55" s="263"/>
    </row>
    <row r="56" spans="1:7" s="241" customFormat="1" ht="15" x14ac:dyDescent="0.25">
      <c r="A56" s="242"/>
      <c r="B56" s="243"/>
      <c r="C56" s="244"/>
      <c r="D56" s="243"/>
      <c r="E56" s="243"/>
      <c r="F56" s="245"/>
      <c r="G56" s="263"/>
    </row>
    <row r="57" spans="1:7" s="241" customFormat="1" ht="15" customHeight="1" x14ac:dyDescent="0.25">
      <c r="A57" s="327" t="s">
        <v>62</v>
      </c>
      <c r="B57" s="247" t="s">
        <v>28</v>
      </c>
      <c r="C57" s="250">
        <v>0.12</v>
      </c>
      <c r="D57" s="247" t="s">
        <v>37</v>
      </c>
      <c r="E57" s="247" t="s">
        <v>38</v>
      </c>
      <c r="F57" s="252">
        <v>5.38</v>
      </c>
      <c r="G57" s="253"/>
    </row>
    <row r="58" spans="1:7" s="241" customFormat="1" ht="15" x14ac:dyDescent="0.25">
      <c r="A58" s="327"/>
      <c r="B58" s="247" t="s">
        <v>18</v>
      </c>
      <c r="C58" s="250">
        <v>0.16</v>
      </c>
      <c r="D58" s="247" t="s">
        <v>31</v>
      </c>
      <c r="E58" s="247" t="s">
        <v>39</v>
      </c>
      <c r="F58" s="252">
        <v>1.46E-2</v>
      </c>
      <c r="G58" s="253"/>
    </row>
    <row r="59" spans="1:7" s="241" customFormat="1" ht="15" x14ac:dyDescent="0.25">
      <c r="A59" s="242"/>
      <c r="B59" s="243"/>
      <c r="C59" s="244"/>
      <c r="D59" s="243"/>
      <c r="E59" s="243"/>
      <c r="F59" s="245"/>
      <c r="G59" s="253"/>
    </row>
    <row r="60" spans="1:7" s="241" customFormat="1" ht="15" customHeight="1" x14ac:dyDescent="0.25">
      <c r="A60" s="327" t="s">
        <v>63</v>
      </c>
      <c r="B60" s="247" t="s">
        <v>28</v>
      </c>
      <c r="C60" s="250">
        <v>0.14000000000000001</v>
      </c>
      <c r="D60" s="247" t="s">
        <v>37</v>
      </c>
      <c r="E60" s="247" t="s">
        <v>38</v>
      </c>
      <c r="F60" s="252">
        <v>8.1</v>
      </c>
      <c r="G60" s="253"/>
    </row>
    <row r="61" spans="1:7" s="241" customFormat="1" ht="15" x14ac:dyDescent="0.25">
      <c r="A61" s="327"/>
      <c r="B61" s="247" t="s">
        <v>18</v>
      </c>
      <c r="C61" s="250">
        <v>0.19</v>
      </c>
      <c r="D61" s="247" t="s">
        <v>31</v>
      </c>
      <c r="E61" s="247" t="s">
        <v>39</v>
      </c>
      <c r="F61" s="252">
        <v>2.1999999999999999E-2</v>
      </c>
      <c r="G61" s="253"/>
    </row>
    <row r="62" spans="1:7" s="241" customFormat="1" ht="15" x14ac:dyDescent="0.25">
      <c r="A62" s="254"/>
      <c r="B62" s="243"/>
      <c r="C62" s="244"/>
      <c r="D62" s="243"/>
      <c r="E62" s="243"/>
      <c r="F62" s="245"/>
      <c r="G62" s="253"/>
    </row>
    <row r="63" spans="1:7" s="241" customFormat="1" ht="15" x14ac:dyDescent="0.25">
      <c r="A63" s="327" t="s">
        <v>64</v>
      </c>
      <c r="B63" s="247" t="s">
        <v>28</v>
      </c>
      <c r="C63" s="250">
        <v>0.1</v>
      </c>
      <c r="D63" s="247" t="s">
        <v>37</v>
      </c>
      <c r="E63" s="247" t="s">
        <v>38</v>
      </c>
      <c r="F63" s="252">
        <v>3.36</v>
      </c>
      <c r="G63" s="253"/>
    </row>
    <row r="64" spans="1:7" s="241" customFormat="1" ht="15" x14ac:dyDescent="0.25">
      <c r="A64" s="327"/>
      <c r="B64" s="247" t="s">
        <v>18</v>
      </c>
      <c r="C64" s="250">
        <v>0.1</v>
      </c>
      <c r="D64" s="247" t="s">
        <v>31</v>
      </c>
      <c r="E64" s="247" t="s">
        <v>39</v>
      </c>
      <c r="F64" s="252">
        <v>2.3E-3</v>
      </c>
      <c r="G64" s="253"/>
    </row>
    <row r="65" spans="1:7" s="241" customFormat="1" ht="15" x14ac:dyDescent="0.25">
      <c r="A65" s="254"/>
      <c r="B65" s="243"/>
      <c r="C65" s="244"/>
      <c r="D65" s="243"/>
      <c r="E65" s="243"/>
      <c r="F65" s="245"/>
      <c r="G65" s="253"/>
    </row>
    <row r="66" spans="1:7" s="241" customFormat="1" ht="15" x14ac:dyDescent="0.25">
      <c r="A66" s="320" t="s">
        <v>65</v>
      </c>
      <c r="B66" s="247" t="s">
        <v>66</v>
      </c>
      <c r="C66" s="250">
        <v>0.11</v>
      </c>
      <c r="D66" s="247" t="s">
        <v>67</v>
      </c>
      <c r="E66" s="247" t="s">
        <v>68</v>
      </c>
      <c r="F66" s="260">
        <v>1.2</v>
      </c>
      <c r="G66" s="263"/>
    </row>
    <row r="67" spans="1:7" s="241" customFormat="1" ht="15" x14ac:dyDescent="0.25">
      <c r="A67" s="325"/>
      <c r="B67" s="247" t="s">
        <v>18</v>
      </c>
      <c r="C67" s="250">
        <v>0.125</v>
      </c>
      <c r="D67" s="247" t="s">
        <v>69</v>
      </c>
      <c r="E67" s="247" t="s">
        <v>70</v>
      </c>
      <c r="F67" s="260">
        <v>3</v>
      </c>
      <c r="G67" s="263"/>
    </row>
    <row r="68" spans="1:7" s="241" customFormat="1" ht="15" x14ac:dyDescent="0.25">
      <c r="A68" s="325"/>
      <c r="B68" s="247"/>
      <c r="C68" s="250"/>
      <c r="D68" s="247" t="s">
        <v>71</v>
      </c>
      <c r="E68" s="247" t="s">
        <v>70</v>
      </c>
      <c r="F68" s="260">
        <v>2.5</v>
      </c>
      <c r="G68" s="263"/>
    </row>
    <row r="69" spans="1:7" s="241" customFormat="1" ht="15" x14ac:dyDescent="0.25">
      <c r="A69" s="321"/>
      <c r="B69" s="247"/>
      <c r="C69" s="250"/>
      <c r="D69" s="247" t="s">
        <v>72</v>
      </c>
      <c r="E69" s="247" t="s">
        <v>70</v>
      </c>
      <c r="F69" s="260">
        <v>5.5</v>
      </c>
      <c r="G69" s="263"/>
    </row>
    <row r="70" spans="1:7" s="241" customFormat="1" ht="15" x14ac:dyDescent="0.25">
      <c r="A70" s="254"/>
      <c r="B70" s="243"/>
      <c r="C70" s="244"/>
      <c r="D70" s="243"/>
      <c r="E70" s="243"/>
      <c r="F70" s="245"/>
      <c r="G70" s="263"/>
    </row>
    <row r="71" spans="1:7" s="241" customFormat="1" ht="15" x14ac:dyDescent="0.25">
      <c r="A71" s="320" t="s">
        <v>73</v>
      </c>
      <c r="B71" s="247" t="s">
        <v>28</v>
      </c>
      <c r="C71" s="250">
        <v>1.3</v>
      </c>
      <c r="D71" s="247" t="s">
        <v>37</v>
      </c>
      <c r="E71" s="247" t="s">
        <v>38</v>
      </c>
      <c r="F71" s="252">
        <v>5.6</v>
      </c>
      <c r="G71" s="253"/>
    </row>
    <row r="72" spans="1:7" s="241" customFormat="1" ht="15" x14ac:dyDescent="0.25">
      <c r="A72" s="325"/>
      <c r="B72" s="247" t="s">
        <v>18</v>
      </c>
      <c r="C72" s="250">
        <f>4.5/10</f>
        <v>0.45</v>
      </c>
      <c r="D72" s="247" t="s">
        <v>31</v>
      </c>
      <c r="E72" s="247" t="s">
        <v>39</v>
      </c>
      <c r="F72" s="252">
        <f>0.152/10</f>
        <v>1.52E-2</v>
      </c>
      <c r="G72" s="253"/>
    </row>
    <row r="73" spans="1:7" s="241" customFormat="1" ht="15" x14ac:dyDescent="0.25">
      <c r="A73" s="325"/>
      <c r="B73" s="247"/>
      <c r="C73" s="250"/>
      <c r="D73" s="247" t="s">
        <v>74</v>
      </c>
      <c r="E73" s="247" t="s">
        <v>38</v>
      </c>
      <c r="F73" s="252">
        <f>0.0032/10</f>
        <v>3.2000000000000003E-4</v>
      </c>
      <c r="G73" s="253"/>
    </row>
    <row r="74" spans="1:7" s="241" customFormat="1" ht="15" x14ac:dyDescent="0.25">
      <c r="A74" s="321"/>
      <c r="B74" s="247"/>
      <c r="C74" s="250"/>
      <c r="D74" s="247" t="s">
        <v>75</v>
      </c>
      <c r="E74" s="247" t="s">
        <v>68</v>
      </c>
      <c r="F74" s="252">
        <f>11/10</f>
        <v>1.1000000000000001</v>
      </c>
      <c r="G74" s="253"/>
    </row>
    <row r="75" spans="1:7" s="241" customFormat="1" ht="15" x14ac:dyDescent="0.25">
      <c r="A75" s="254"/>
      <c r="B75" s="243"/>
      <c r="C75" s="244"/>
      <c r="D75" s="243"/>
      <c r="E75" s="243"/>
      <c r="F75" s="245"/>
    </row>
    <row r="76" spans="1:7" s="241" customFormat="1" ht="15" x14ac:dyDescent="0.25">
      <c r="A76" s="320" t="s">
        <v>76</v>
      </c>
      <c r="B76" s="247" t="s">
        <v>28</v>
      </c>
      <c r="C76" s="264">
        <f>[4]RA!$B$135</f>
        <v>1</v>
      </c>
      <c r="D76" s="247" t="s">
        <v>34</v>
      </c>
      <c r="E76" s="247" t="s">
        <v>32</v>
      </c>
      <c r="F76" s="266">
        <f>[4]RA!$G$135</f>
        <v>1.1000000000000001</v>
      </c>
    </row>
    <row r="77" spans="1:7" s="241" customFormat="1" ht="15" x14ac:dyDescent="0.25">
      <c r="A77" s="321"/>
      <c r="B77" s="247" t="s">
        <v>18</v>
      </c>
      <c r="C77" s="264">
        <f>[4]RA!$B$136</f>
        <v>2</v>
      </c>
      <c r="D77" s="264"/>
      <c r="E77" s="247"/>
      <c r="F77" s="247"/>
    </row>
    <row r="78" spans="1:7" s="241" customFormat="1" ht="15" x14ac:dyDescent="0.25">
      <c r="A78" s="254"/>
      <c r="B78" s="243"/>
      <c r="C78" s="244"/>
      <c r="D78" s="243"/>
      <c r="E78" s="243"/>
      <c r="F78" s="245"/>
    </row>
    <row r="79" spans="1:7" s="241" customFormat="1" ht="15" x14ac:dyDescent="0.25">
      <c r="B79" s="236"/>
      <c r="D79" s="236"/>
      <c r="E79" s="236"/>
    </row>
    <row r="80" spans="1:7" s="241" customFormat="1" ht="15" x14ac:dyDescent="0.25">
      <c r="B80" s="236"/>
      <c r="D80" s="236"/>
      <c r="E80" s="236"/>
    </row>
  </sheetData>
  <mergeCells count="20">
    <mergeCell ref="A71:A74"/>
    <mergeCell ref="A76:A77"/>
    <mergeCell ref="A50:A51"/>
    <mergeCell ref="A53:A55"/>
    <mergeCell ref="A57:A58"/>
    <mergeCell ref="A60:A61"/>
    <mergeCell ref="A63:A64"/>
    <mergeCell ref="A66:A69"/>
    <mergeCell ref="A47:A48"/>
    <mergeCell ref="A1:F1"/>
    <mergeCell ref="A7:A8"/>
    <mergeCell ref="A10:A11"/>
    <mergeCell ref="A13:A14"/>
    <mergeCell ref="A20:A22"/>
    <mergeCell ref="A24:A25"/>
    <mergeCell ref="A27:A29"/>
    <mergeCell ref="A31:A33"/>
    <mergeCell ref="A35:A37"/>
    <mergeCell ref="A39:A41"/>
    <mergeCell ref="A43:A45"/>
  </mergeCell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Sheet1</vt:lpstr>
      <vt:lpstr>Drawing</vt:lpstr>
      <vt:lpstr>Norms</vt:lpstr>
      <vt:lpstr>Drawing!Height_above_liquid</vt:lpstr>
      <vt:lpstr>Drawing!Liqd_D_pipedia</vt:lpstr>
      <vt:lpstr>Drawing!Manhole_entrance</vt:lpstr>
      <vt:lpstr>Drawing!tbBafflewall</vt:lpstr>
      <vt:lpstr>Drawing!tbBaseslab</vt:lpstr>
      <vt:lpstr>Drawing!tbBreadth</vt:lpstr>
      <vt:lpstr>Drawing!tbCoverslab</vt:lpstr>
      <vt:lpstr>Drawing!tbdepth</vt:lpstr>
      <vt:lpstr>Drawing!tbFreeboard</vt:lpstr>
      <vt:lpstr>Drawing!tblength</vt:lpstr>
      <vt:lpstr>Drawing!tbManhole_B</vt:lpstr>
      <vt:lpstr>Drawing!tbManhole_D</vt:lpstr>
      <vt:lpstr>Drawing!tbManhole_L</vt:lpstr>
      <vt:lpstr>Drawing!tbManhole_T</vt:lpstr>
      <vt:lpstr>Drawing!tbOuterwall</vt:lpstr>
      <vt:lpstr>Drawing!tbPCC</vt:lpstr>
      <vt:lpstr>Drawing!tbProjBS</vt:lpstr>
      <vt:lpstr>Drawing!tbsoling</vt:lpstr>
      <vt:lpstr>Drawing!Total_breadth</vt:lpstr>
      <vt:lpstr>Drawing!total_section_height</vt:lpstr>
      <vt:lpstr>Drawing!Totallength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VOSTRO</dc:creator>
  <cp:lastModifiedBy>Santosh </cp:lastModifiedBy>
  <cp:lastPrinted>2018-10-08T09:41:18Z</cp:lastPrinted>
  <dcterms:created xsi:type="dcterms:W3CDTF">2018-10-03T03:06:38Z</dcterms:created>
  <dcterms:modified xsi:type="dcterms:W3CDTF">2023-01-05T10:38:02Z</dcterms:modified>
</cp:coreProperties>
</file>